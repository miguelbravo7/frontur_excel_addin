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osHDD\GitHub\TFG-Seleccion_de_Vuelos\src\TFG_Seleccion_de_Vuelos\excel_functions\"/>
    </mc:Choice>
  </mc:AlternateContent>
  <xr:revisionPtr revIDLastSave="0" documentId="13_ncr:1_{39F795D0-7F1D-449B-BBE9-27F4F49D7406}" xr6:coauthVersionLast="45" xr6:coauthVersionMax="45" xr10:uidLastSave="{00000000-0000-0000-0000-000000000000}"/>
  <bookViews>
    <workbookView xWindow="690" yWindow="885" windowWidth="33705" windowHeight="13950" xr2:uid="{00000000-000D-0000-FFFF-FFFF00000000}"/>
  </bookViews>
  <sheets>
    <sheet name="datos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assemble_cells">
          <x14:argumentDescriptions count="1">
            <x14:argumentDescription index="0">argumento</x14:argumentDescription>
          </x14:argumentDescriptions>
        </x14:definedName>
        <x14:definedName name="delete_whitespaces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pand_date_intervals">
          <x14:argumentDescriptions count="1">
            <x14:argumentDescription index="0">Positional argument 1</x14:argumentDescription>
          </x14:argumentDescriptions>
        </x14:definedName>
        <x14:definedName name="format_wk_days">
          <x14:argumentDescriptions count="1">
            <x14:argumentDescription index="0">Positional argument 1</x14:argumentDescription>
          </x14:argumentDescriptions>
        </x14:definedName>
        <x14:definedName name="get_flights">
          <x14:argumentDescriptions count="4">
            <x14:argumentDescription index="0">Positional argument 1</x14:argumentDescription>
            <x14:argumentDescription index="1">argumento</x14:argumentDescription>
            <x14:argumentDescription index="2">argumento</x14:argumentDescription>
            <x14:argumentDescription index="3">Positional argument 4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nner_mer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ke_dataframe">
          <x14:argumentDescriptions count="1">
            <x14:argumentDescription index="0">argumento</x14:argumentDescription>
          </x14:argumentDescriptions>
        </x14:definedName>
        <x14:definedName name="pick_selected_dates">
          <x14:argumentDescriptions count="4">
            <x14:argumentDescription index="0">Positional argument 1</x14:argumentDescription>
            <x14:argumentDescription index="1">argumento</x14:argumentDescription>
            <x14:argumentDescription index="2">argumento</x14:argumentDescription>
            <x14:argumentDescription index="3">argumento</x14:argumentDescription>
          </x14:argumentDescriptions>
        </x14:definedName>
        <x14:definedName name="substitute_rows">
          <x14:argumentDescriptions count="5">
            <x14:argumentDescription index="0">Positional argument 1</x14:argumentDescription>
            <x14:argumentDescription index="1">argumento</x14:argumentDescription>
            <x14:argumentDescription index="2">argumento</x14:argumentDescription>
            <x14:argumentDescription index="3">argumento</x14:argumentDescription>
            <x14:argumentDescription index="4">argumento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8" i="1" l="1" a="1"/>
  <c r="N33" i="1" a="1"/>
  <c r="N58" i="1" a="1"/>
  <c r="N3" i="1" a="1"/>
  <c r="Q42" i="1" a="1"/>
  <c r="AA3" i="1" a="1"/>
  <c r="AE3" i="1" l="1"/>
  <c r="AH4" i="1"/>
  <c r="AG4" i="1"/>
  <c r="AA4" i="1"/>
  <c r="AB4" i="1"/>
  <c r="AC3" i="1"/>
  <c r="AL3" i="1"/>
  <c r="AI3" i="1"/>
  <c r="AL4" i="1"/>
  <c r="AB3" i="1"/>
  <c r="AE4" i="1"/>
  <c r="AD3" i="1"/>
  <c r="AG3" i="1"/>
  <c r="AM3" i="1"/>
  <c r="AF4" i="1"/>
  <c r="AF3" i="1"/>
  <c r="AI4" i="1"/>
  <c r="AC4" i="1"/>
  <c r="AK3" i="1"/>
  <c r="AA3" i="1"/>
  <c r="AM4" i="1"/>
  <c r="AJ3" i="1"/>
  <c r="AD4" i="1"/>
  <c r="AK4" i="1"/>
  <c r="AH3" i="1"/>
  <c r="AJ4" i="1"/>
  <c r="R53" i="1"/>
  <c r="Q45" i="1"/>
  <c r="W46" i="1"/>
  <c r="V43" i="1"/>
  <c r="Q49" i="1"/>
  <c r="W55" i="1"/>
  <c r="V52" i="1"/>
  <c r="Q52" i="1"/>
  <c r="Q47" i="1"/>
  <c r="V44" i="1"/>
  <c r="R49" i="1"/>
  <c r="T51" i="1"/>
  <c r="R56" i="1"/>
  <c r="U46" i="1"/>
  <c r="X50" i="1"/>
  <c r="W50" i="1"/>
  <c r="V47" i="1"/>
  <c r="U47" i="1"/>
  <c r="X48" i="1"/>
  <c r="Q56" i="1"/>
  <c r="X44" i="1"/>
  <c r="Q48" i="1"/>
  <c r="R51" i="1"/>
  <c r="T53" i="1"/>
  <c r="W43" i="1"/>
  <c r="U56" i="1"/>
  <c r="Q46" i="1"/>
  <c r="W45" i="1"/>
  <c r="S49" i="1"/>
  <c r="T54" i="1"/>
  <c r="S46" i="1"/>
  <c r="Q42" i="1"/>
  <c r="T42" i="1"/>
  <c r="R54" i="1"/>
  <c r="T55" i="1"/>
  <c r="X51" i="1"/>
  <c r="W48" i="1"/>
  <c r="R55" i="1"/>
  <c r="V56" i="1"/>
  <c r="X46" i="1"/>
  <c r="S42" i="1"/>
  <c r="U43" i="1"/>
  <c r="W51" i="1"/>
  <c r="V48" i="1"/>
  <c r="U53" i="1"/>
  <c r="T46" i="1"/>
  <c r="S43" i="1"/>
  <c r="U54" i="1"/>
  <c r="U52" i="1"/>
  <c r="R47" i="1"/>
  <c r="R46" i="1"/>
  <c r="S51" i="1"/>
  <c r="S44" i="1"/>
  <c r="U51" i="1"/>
  <c r="W54" i="1"/>
  <c r="V51" i="1"/>
  <c r="V46" i="1"/>
  <c r="T52" i="1"/>
  <c r="Q54" i="1"/>
  <c r="V55" i="1"/>
  <c r="S54" i="1"/>
  <c r="U55" i="1"/>
  <c r="X52" i="1"/>
  <c r="W49" i="1"/>
  <c r="V49" i="1"/>
  <c r="Q55" i="1"/>
  <c r="T44" i="1"/>
  <c r="Q53" i="1"/>
  <c r="U50" i="1"/>
  <c r="S56" i="1"/>
  <c r="S50" i="1"/>
  <c r="T56" i="1"/>
  <c r="X47" i="1"/>
  <c r="W44" i="1"/>
  <c r="R44" i="1"/>
  <c r="Q51" i="1"/>
  <c r="W53" i="1"/>
  <c r="X53" i="1"/>
  <c r="R50" i="1"/>
  <c r="T49" i="1"/>
  <c r="X56" i="1"/>
  <c r="U44" i="1"/>
  <c r="S52" i="1"/>
  <c r="U48" i="1"/>
  <c r="T50" i="1"/>
  <c r="S47" i="1"/>
  <c r="S53" i="1"/>
  <c r="S48" i="1"/>
  <c r="W52" i="1"/>
  <c r="X54" i="1"/>
  <c r="T47" i="1"/>
  <c r="S45" i="1"/>
  <c r="X43" i="1"/>
  <c r="X55" i="1"/>
  <c r="X49" i="1"/>
  <c r="W47" i="1"/>
  <c r="U49" i="1"/>
  <c r="R52" i="1"/>
  <c r="X45" i="1"/>
  <c r="U42" i="1"/>
  <c r="Q50" i="1"/>
  <c r="V50" i="1"/>
  <c r="R42" i="1"/>
  <c r="T48" i="1"/>
  <c r="S55" i="1"/>
  <c r="W42" i="1"/>
  <c r="R43" i="1"/>
  <c r="X42" i="1"/>
  <c r="R45" i="1"/>
  <c r="V45" i="1"/>
  <c r="R48" i="1"/>
  <c r="Q44" i="1"/>
  <c r="Q43" i="1"/>
  <c r="T43" i="1"/>
  <c r="V54" i="1"/>
  <c r="W56" i="1"/>
  <c r="T45" i="1"/>
  <c r="U45" i="1"/>
  <c r="V53" i="1"/>
  <c r="V42" i="1"/>
  <c r="R3" i="1"/>
  <c r="N5" i="1"/>
  <c r="T6" i="1"/>
  <c r="P8" i="1"/>
  <c r="V9" i="1"/>
  <c r="R11" i="1"/>
  <c r="N13" i="1"/>
  <c r="T14" i="1"/>
  <c r="W8" i="1"/>
  <c r="U13" i="1"/>
  <c r="W3" i="1"/>
  <c r="S5" i="1"/>
  <c r="O7" i="1"/>
  <c r="U8" i="1"/>
  <c r="Q10" i="1"/>
  <c r="W11" i="1"/>
  <c r="S13" i="1"/>
  <c r="Q7" i="1"/>
  <c r="O12" i="1"/>
  <c r="T3" i="1"/>
  <c r="P5" i="1"/>
  <c r="V6" i="1"/>
  <c r="R8" i="1"/>
  <c r="N10" i="1"/>
  <c r="T11" i="1"/>
  <c r="P13" i="1"/>
  <c r="V14" i="1"/>
  <c r="S4" i="1"/>
  <c r="W6" i="1"/>
  <c r="U11" i="1"/>
  <c r="V3" i="1"/>
  <c r="R5" i="1"/>
  <c r="N7" i="1"/>
  <c r="T8" i="1"/>
  <c r="P10" i="1"/>
  <c r="V11" i="1"/>
  <c r="R13" i="1"/>
  <c r="U14" i="1"/>
  <c r="O10" i="1"/>
  <c r="W14" i="1"/>
  <c r="Q4" i="1"/>
  <c r="W5" i="1"/>
  <c r="S7" i="1"/>
  <c r="O9" i="1"/>
  <c r="U10" i="1"/>
  <c r="Q12" i="1"/>
  <c r="W13" i="1"/>
  <c r="S8" i="1"/>
  <c r="Q13" i="1"/>
  <c r="N4" i="1"/>
  <c r="T5" i="1"/>
  <c r="P7" i="1"/>
  <c r="V8" i="1"/>
  <c r="R10" i="1"/>
  <c r="N12" i="1"/>
  <c r="T13" i="1"/>
  <c r="Q3" i="1"/>
  <c r="W4" i="1"/>
  <c r="O8" i="1"/>
  <c r="W12" i="1"/>
  <c r="T4" i="1"/>
  <c r="V7" i="1"/>
  <c r="N11" i="1"/>
  <c r="P14" i="1"/>
  <c r="S12" i="1"/>
  <c r="O5" i="1"/>
  <c r="Q8" i="1"/>
  <c r="S11" i="1"/>
  <c r="Q5" i="1"/>
  <c r="P3" i="1"/>
  <c r="R6" i="1"/>
  <c r="T9" i="1"/>
  <c r="V12" i="1"/>
  <c r="O4" i="1"/>
  <c r="S10" i="1"/>
  <c r="V5" i="1"/>
  <c r="N9" i="1"/>
  <c r="P12" i="1"/>
  <c r="U5" i="1"/>
  <c r="O3" i="1"/>
  <c r="Q6" i="1"/>
  <c r="S9" i="1"/>
  <c r="U12" i="1"/>
  <c r="U9" i="1"/>
  <c r="R4" i="1"/>
  <c r="T7" i="1"/>
  <c r="V10" i="1"/>
  <c r="N14" i="1"/>
  <c r="O6" i="1"/>
  <c r="O14" i="1"/>
  <c r="N3" i="1"/>
  <c r="P6" i="1"/>
  <c r="R9" i="1"/>
  <c r="T12" i="1"/>
  <c r="U7" i="1"/>
  <c r="S3" i="1"/>
  <c r="U6" i="1"/>
  <c r="W9" i="1"/>
  <c r="O13" i="1"/>
  <c r="W10" i="1"/>
  <c r="V4" i="1"/>
  <c r="N8" i="1"/>
  <c r="P11" i="1"/>
  <c r="R14" i="1"/>
  <c r="S6" i="1"/>
  <c r="V13" i="1"/>
  <c r="O11" i="1"/>
  <c r="P9" i="1"/>
  <c r="P4" i="1"/>
  <c r="Q11" i="1"/>
  <c r="Q14" i="1"/>
  <c r="R12" i="1"/>
  <c r="R7" i="1"/>
  <c r="U4" i="1"/>
  <c r="S14" i="1"/>
  <c r="U3" i="1"/>
  <c r="T10" i="1"/>
  <c r="W7" i="1"/>
  <c r="N6" i="1"/>
  <c r="Q9" i="1"/>
  <c r="U58" i="1"/>
  <c r="N58" i="1"/>
  <c r="R59" i="1"/>
  <c r="V60" i="1"/>
  <c r="N62" i="1"/>
  <c r="R63" i="1"/>
  <c r="V64" i="1"/>
  <c r="N66" i="1"/>
  <c r="R67" i="1"/>
  <c r="V68" i="1"/>
  <c r="N70" i="1"/>
  <c r="R71" i="1"/>
  <c r="V72" i="1"/>
  <c r="N74" i="1"/>
  <c r="R75" i="1"/>
  <c r="V76" i="1"/>
  <c r="N78" i="1"/>
  <c r="R79" i="1"/>
  <c r="V80" i="1"/>
  <c r="N82" i="1"/>
  <c r="R83" i="1"/>
  <c r="V84" i="1"/>
  <c r="N86" i="1"/>
  <c r="O59" i="1"/>
  <c r="S60" i="1"/>
  <c r="W61" i="1"/>
  <c r="O63" i="1"/>
  <c r="S64" i="1"/>
  <c r="W65" i="1"/>
  <c r="O67" i="1"/>
  <c r="S68" i="1"/>
  <c r="W69" i="1"/>
  <c r="O71" i="1"/>
  <c r="S72" i="1"/>
  <c r="W73" i="1"/>
  <c r="O75" i="1"/>
  <c r="S76" i="1"/>
  <c r="W77" i="1"/>
  <c r="O79" i="1"/>
  <c r="S80" i="1"/>
  <c r="W81" i="1"/>
  <c r="O83" i="1"/>
  <c r="S84" i="1"/>
  <c r="W85" i="1"/>
  <c r="X58" i="1"/>
  <c r="P60" i="1"/>
  <c r="T61" i="1"/>
  <c r="X62" i="1"/>
  <c r="P64" i="1"/>
  <c r="T65" i="1"/>
  <c r="X66" i="1"/>
  <c r="P68" i="1"/>
  <c r="Y58" i="1"/>
  <c r="R58" i="1"/>
  <c r="V59" i="1"/>
  <c r="N61" i="1"/>
  <c r="R62" i="1"/>
  <c r="V63" i="1"/>
  <c r="N65" i="1"/>
  <c r="R66" i="1"/>
  <c r="V67" i="1"/>
  <c r="N69" i="1"/>
  <c r="R70" i="1"/>
  <c r="V71" i="1"/>
  <c r="N73" i="1"/>
  <c r="R74" i="1"/>
  <c r="V75" i="1"/>
  <c r="N77" i="1"/>
  <c r="R78" i="1"/>
  <c r="V79" i="1"/>
  <c r="N81" i="1"/>
  <c r="R82" i="1"/>
  <c r="V83" i="1"/>
  <c r="N85" i="1"/>
  <c r="O58" i="1"/>
  <c r="S59" i="1"/>
  <c r="W60" i="1"/>
  <c r="O62" i="1"/>
  <c r="S63" i="1"/>
  <c r="W64" i="1"/>
  <c r="O66" i="1"/>
  <c r="S67" i="1"/>
  <c r="W68" i="1"/>
  <c r="O70" i="1"/>
  <c r="S71" i="1"/>
  <c r="W72" i="1"/>
  <c r="O74" i="1"/>
  <c r="S75" i="1"/>
  <c r="W76" i="1"/>
  <c r="O78" i="1"/>
  <c r="S79" i="1"/>
  <c r="W80" i="1"/>
  <c r="O82" i="1"/>
  <c r="S83" i="1"/>
  <c r="W84" i="1"/>
  <c r="O86" i="1"/>
  <c r="P59" i="1"/>
  <c r="T60" i="1"/>
  <c r="X61" i="1"/>
  <c r="P63" i="1"/>
  <c r="T64" i="1"/>
  <c r="X65" i="1"/>
  <c r="P67" i="1"/>
  <c r="T68" i="1"/>
  <c r="U59" i="1"/>
  <c r="R60" i="1"/>
  <c r="N63" i="1"/>
  <c r="V65" i="1"/>
  <c r="R68" i="1"/>
  <c r="N71" i="1"/>
  <c r="V73" i="1"/>
  <c r="R76" i="1"/>
  <c r="N79" i="1"/>
  <c r="V81" i="1"/>
  <c r="R84" i="1"/>
  <c r="W58" i="1"/>
  <c r="S61" i="1"/>
  <c r="O64" i="1"/>
  <c r="W66" i="1"/>
  <c r="S69" i="1"/>
  <c r="O72" i="1"/>
  <c r="W74" i="1"/>
  <c r="S77" i="1"/>
  <c r="O80" i="1"/>
  <c r="W82" i="1"/>
  <c r="S85" i="1"/>
  <c r="X59" i="1"/>
  <c r="T62" i="1"/>
  <c r="P65" i="1"/>
  <c r="X67" i="1"/>
  <c r="X69" i="1"/>
  <c r="P71" i="1"/>
  <c r="T72" i="1"/>
  <c r="X73" i="1"/>
  <c r="P75" i="1"/>
  <c r="T76" i="1"/>
  <c r="X77" i="1"/>
  <c r="P79" i="1"/>
  <c r="T80" i="1"/>
  <c r="X81" i="1"/>
  <c r="P83" i="1"/>
  <c r="T84" i="1"/>
  <c r="X85" i="1"/>
  <c r="U62" i="1"/>
  <c r="Y67" i="1"/>
  <c r="Q73" i="1"/>
  <c r="U78" i="1"/>
  <c r="Q64" i="1"/>
  <c r="U69" i="1"/>
  <c r="Y74" i="1"/>
  <c r="Q80" i="1"/>
  <c r="U85" i="1"/>
  <c r="S87" i="1"/>
  <c r="W88" i="1"/>
  <c r="O90" i="1"/>
  <c r="S91" i="1"/>
  <c r="W92" i="1"/>
  <c r="O94" i="1"/>
  <c r="S95" i="1"/>
  <c r="W96" i="1"/>
  <c r="O98" i="1"/>
  <c r="S99" i="1"/>
  <c r="W100" i="1"/>
  <c r="O102" i="1"/>
  <c r="S103" i="1"/>
  <c r="W104" i="1"/>
  <c r="O106" i="1"/>
  <c r="U64" i="1"/>
  <c r="Y69" i="1"/>
  <c r="Q75" i="1"/>
  <c r="U80" i="1"/>
  <c r="Y85" i="1"/>
  <c r="V58" i="1"/>
  <c r="R61" i="1"/>
  <c r="N64" i="1"/>
  <c r="V66" i="1"/>
  <c r="R69" i="1"/>
  <c r="N72" i="1"/>
  <c r="V74" i="1"/>
  <c r="R77" i="1"/>
  <c r="N80" i="1"/>
  <c r="V82" i="1"/>
  <c r="R85" i="1"/>
  <c r="W59" i="1"/>
  <c r="S62" i="1"/>
  <c r="O65" i="1"/>
  <c r="W67" i="1"/>
  <c r="S70" i="1"/>
  <c r="O73" i="1"/>
  <c r="W75" i="1"/>
  <c r="S78" i="1"/>
  <c r="O81" i="1"/>
  <c r="W83" i="1"/>
  <c r="P58" i="1"/>
  <c r="X60" i="1"/>
  <c r="T63" i="1"/>
  <c r="P66" i="1"/>
  <c r="X68" i="1"/>
  <c r="P70" i="1"/>
  <c r="T71" i="1"/>
  <c r="X72" i="1"/>
  <c r="P74" i="1"/>
  <c r="T75" i="1"/>
  <c r="X76" i="1"/>
  <c r="P78" i="1"/>
  <c r="T79" i="1"/>
  <c r="X80" i="1"/>
  <c r="P82" i="1"/>
  <c r="T83" i="1"/>
  <c r="X84" i="1"/>
  <c r="P86" i="1"/>
  <c r="Y63" i="1"/>
  <c r="Q69" i="1"/>
  <c r="U74" i="1"/>
  <c r="Q60" i="1"/>
  <c r="U65" i="1"/>
  <c r="Y70" i="1"/>
  <c r="Q76" i="1"/>
  <c r="U81" i="1"/>
  <c r="S86" i="1"/>
  <c r="W87" i="1"/>
  <c r="O89" i="1"/>
  <c r="S90" i="1"/>
  <c r="W91" i="1"/>
  <c r="O93" i="1"/>
  <c r="S94" i="1"/>
  <c r="W95" i="1"/>
  <c r="O97" i="1"/>
  <c r="S98" i="1"/>
  <c r="W99" i="1"/>
  <c r="O101" i="1"/>
  <c r="S102" i="1"/>
  <c r="W103" i="1"/>
  <c r="O105" i="1"/>
  <c r="U60" i="1"/>
  <c r="Y65" i="1"/>
  <c r="Q71" i="1"/>
  <c r="U76" i="1"/>
  <c r="Y81" i="1"/>
  <c r="T86" i="1"/>
  <c r="Q58" i="1"/>
  <c r="N59" i="1"/>
  <c r="V61" i="1"/>
  <c r="R64" i="1"/>
  <c r="N67" i="1"/>
  <c r="V69" i="1"/>
  <c r="R72" i="1"/>
  <c r="N75" i="1"/>
  <c r="V77" i="1"/>
  <c r="R80" i="1"/>
  <c r="N83" i="1"/>
  <c r="V85" i="1"/>
  <c r="O60" i="1"/>
  <c r="W62" i="1"/>
  <c r="S65" i="1"/>
  <c r="O68" i="1"/>
  <c r="W70" i="1"/>
  <c r="S73" i="1"/>
  <c r="O76" i="1"/>
  <c r="W78" i="1"/>
  <c r="S81" i="1"/>
  <c r="O84" i="1"/>
  <c r="T58" i="1"/>
  <c r="P61" i="1"/>
  <c r="X63" i="1"/>
  <c r="T66" i="1"/>
  <c r="P69" i="1"/>
  <c r="T70" i="1"/>
  <c r="X71" i="1"/>
  <c r="P73" i="1"/>
  <c r="T74" i="1"/>
  <c r="X75" i="1"/>
  <c r="P77" i="1"/>
  <c r="T78" i="1"/>
  <c r="X79" i="1"/>
  <c r="P81" i="1"/>
  <c r="T82" i="1"/>
  <c r="X83" i="1"/>
  <c r="P85" i="1"/>
  <c r="Y59" i="1"/>
  <c r="Q65" i="1"/>
  <c r="U70" i="1"/>
  <c r="Y75" i="1"/>
  <c r="U61" i="1"/>
  <c r="Y66" i="1"/>
  <c r="Q72" i="1"/>
  <c r="U77" i="1"/>
  <c r="Y82" i="1"/>
  <c r="W86" i="1"/>
  <c r="O88" i="1"/>
  <c r="S89" i="1"/>
  <c r="W90" i="1"/>
  <c r="O92" i="1"/>
  <c r="S93" i="1"/>
  <c r="W94" i="1"/>
  <c r="O96" i="1"/>
  <c r="S97" i="1"/>
  <c r="W98" i="1"/>
  <c r="O100" i="1"/>
  <c r="S101" i="1"/>
  <c r="W102" i="1"/>
  <c r="O104" i="1"/>
  <c r="S105" i="1"/>
  <c r="Y61" i="1"/>
  <c r="Q67" i="1"/>
  <c r="U72" i="1"/>
  <c r="Y77" i="1"/>
  <c r="Q83" i="1"/>
  <c r="X86" i="1"/>
  <c r="P88" i="1"/>
  <c r="T89" i="1"/>
  <c r="X90" i="1"/>
  <c r="P92" i="1"/>
  <c r="T93" i="1"/>
  <c r="X94" i="1"/>
  <c r="P96" i="1"/>
  <c r="T97" i="1"/>
  <c r="X98" i="1"/>
  <c r="P100" i="1"/>
  <c r="T101" i="1"/>
  <c r="X102" i="1"/>
  <c r="P104" i="1"/>
  <c r="T105" i="1"/>
  <c r="X106" i="1"/>
  <c r="P108" i="1"/>
  <c r="Y64" i="1"/>
  <c r="Q70" i="1"/>
  <c r="U75" i="1"/>
  <c r="Y80" i="1"/>
  <c r="Q86" i="1"/>
  <c r="U87" i="1"/>
  <c r="Y88" i="1"/>
  <c r="Q90" i="1"/>
  <c r="U91" i="1"/>
  <c r="Y92" i="1"/>
  <c r="Q94" i="1"/>
  <c r="U95" i="1"/>
  <c r="Y96" i="1"/>
  <c r="Q98" i="1"/>
  <c r="U99" i="1"/>
  <c r="Y100" i="1"/>
  <c r="Q102" i="1"/>
  <c r="U103" i="1"/>
  <c r="Y104" i="1"/>
  <c r="Q106" i="1"/>
  <c r="U107" i="1"/>
  <c r="R87" i="1"/>
  <c r="V92" i="1"/>
  <c r="Q59" i="1"/>
  <c r="N68" i="1"/>
  <c r="V78" i="1"/>
  <c r="O61" i="1"/>
  <c r="W71" i="1"/>
  <c r="S82" i="1"/>
  <c r="X64" i="1"/>
  <c r="P72" i="1"/>
  <c r="T77" i="1"/>
  <c r="X82" i="1"/>
  <c r="U66" i="1"/>
  <c r="Q68" i="1"/>
  <c r="O87" i="1"/>
  <c r="S92" i="1"/>
  <c r="W97" i="1"/>
  <c r="O103" i="1"/>
  <c r="U68" i="1"/>
  <c r="P87" i="1"/>
  <c r="X88" i="1"/>
  <c r="T90" i="1"/>
  <c r="T92" i="1"/>
  <c r="P94" i="1"/>
  <c r="X95" i="1"/>
  <c r="X97" i="1"/>
  <c r="T99" i="1"/>
  <c r="P101" i="1"/>
  <c r="P103" i="1"/>
  <c r="X104" i="1"/>
  <c r="T106" i="1"/>
  <c r="Y60" i="1"/>
  <c r="U67" i="1"/>
  <c r="Q74" i="1"/>
  <c r="Q82" i="1"/>
  <c r="Y86" i="1"/>
  <c r="U88" i="1"/>
  <c r="U90" i="1"/>
  <c r="Q92" i="1"/>
  <c r="Y93" i="1"/>
  <c r="Y95" i="1"/>
  <c r="U97" i="1"/>
  <c r="Q99" i="1"/>
  <c r="Q101" i="1"/>
  <c r="Y102" i="1"/>
  <c r="U104" i="1"/>
  <c r="U106" i="1"/>
  <c r="Y79" i="1"/>
  <c r="R91" i="1"/>
  <c r="N98" i="1"/>
  <c r="R103" i="1"/>
  <c r="S107" i="1"/>
  <c r="P109" i="1"/>
  <c r="T110" i="1"/>
  <c r="X111" i="1"/>
  <c r="P113" i="1"/>
  <c r="T114" i="1"/>
  <c r="X115" i="1"/>
  <c r="P117" i="1"/>
  <c r="T118" i="1"/>
  <c r="X119" i="1"/>
  <c r="P121" i="1"/>
  <c r="T122" i="1"/>
  <c r="X123" i="1"/>
  <c r="P125" i="1"/>
  <c r="T126" i="1"/>
  <c r="X127" i="1"/>
  <c r="P129" i="1"/>
  <c r="R86" i="1"/>
  <c r="V91" i="1"/>
  <c r="N97" i="1"/>
  <c r="R102" i="1"/>
  <c r="N107" i="1"/>
  <c r="Y108" i="1"/>
  <c r="Q110" i="1"/>
  <c r="U111" i="1"/>
  <c r="Y112" i="1"/>
  <c r="Q114" i="1"/>
  <c r="U115" i="1"/>
  <c r="R89" i="1"/>
  <c r="V94" i="1"/>
  <c r="N100" i="1"/>
  <c r="R105" i="1"/>
  <c r="N60" i="1"/>
  <c r="V70" i="1"/>
  <c r="R81" i="1"/>
  <c r="W63" i="1"/>
  <c r="S74" i="1"/>
  <c r="O85" i="1"/>
  <c r="T67" i="1"/>
  <c r="T73" i="1"/>
  <c r="X78" i="1"/>
  <c r="P84" i="1"/>
  <c r="Y71" i="1"/>
  <c r="U73" i="1"/>
  <c r="S88" i="1"/>
  <c r="W93" i="1"/>
  <c r="O99" i="1"/>
  <c r="S104" i="1"/>
  <c r="Y73" i="1"/>
  <c r="T87" i="1"/>
  <c r="P89" i="1"/>
  <c r="P91" i="1"/>
  <c r="X92" i="1"/>
  <c r="T94" i="1"/>
  <c r="T96" i="1"/>
  <c r="P98" i="1"/>
  <c r="X99" i="1"/>
  <c r="X101" i="1"/>
  <c r="T103" i="1"/>
  <c r="P105" i="1"/>
  <c r="P107" i="1"/>
  <c r="Q62" i="1"/>
  <c r="Y68" i="1"/>
  <c r="Y76" i="1"/>
  <c r="U83" i="1"/>
  <c r="Q87" i="1"/>
  <c r="Q89" i="1"/>
  <c r="Y90" i="1"/>
  <c r="U92" i="1"/>
  <c r="U94" i="1"/>
  <c r="Q96" i="1"/>
  <c r="Y97" i="1"/>
  <c r="Y99" i="1"/>
  <c r="U101" i="1"/>
  <c r="Q103" i="1"/>
  <c r="Q105" i="1"/>
  <c r="Y106" i="1"/>
  <c r="Q85" i="1"/>
  <c r="N94" i="1"/>
  <c r="R99" i="1"/>
  <c r="V104" i="1"/>
  <c r="O108" i="1"/>
  <c r="T109" i="1"/>
  <c r="X110" i="1"/>
  <c r="P112" i="1"/>
  <c r="T113" i="1"/>
  <c r="X114" i="1"/>
  <c r="P116" i="1"/>
  <c r="T117" i="1"/>
  <c r="X118" i="1"/>
  <c r="P120" i="1"/>
  <c r="T121" i="1"/>
  <c r="X122" i="1"/>
  <c r="P124" i="1"/>
  <c r="T125" i="1"/>
  <c r="X126" i="1"/>
  <c r="P128" i="1"/>
  <c r="T129" i="1"/>
  <c r="V87" i="1"/>
  <c r="N93" i="1"/>
  <c r="R98" i="1"/>
  <c r="V103" i="1"/>
  <c r="V107" i="1"/>
  <c r="Q109" i="1"/>
  <c r="U110" i="1"/>
  <c r="Y111" i="1"/>
  <c r="Q113" i="1"/>
  <c r="U114" i="1"/>
  <c r="U82" i="1"/>
  <c r="V90" i="1"/>
  <c r="N96" i="1"/>
  <c r="R101" i="1"/>
  <c r="S106" i="1"/>
  <c r="V108" i="1"/>
  <c r="V62" i="1"/>
  <c r="R73" i="1"/>
  <c r="N84" i="1"/>
  <c r="S66" i="1"/>
  <c r="O77" i="1"/>
  <c r="T59" i="1"/>
  <c r="T69" i="1"/>
  <c r="X74" i="1"/>
  <c r="P80" i="1"/>
  <c r="T85" i="1"/>
  <c r="Q77" i="1"/>
  <c r="Y78" i="1"/>
  <c r="W89" i="1"/>
  <c r="O95" i="1"/>
  <c r="S100" i="1"/>
  <c r="W105" i="1"/>
  <c r="Q79" i="1"/>
  <c r="X87" i="1"/>
  <c r="X89" i="1"/>
  <c r="T91" i="1"/>
  <c r="P93" i="1"/>
  <c r="P95" i="1"/>
  <c r="X96" i="1"/>
  <c r="T98" i="1"/>
  <c r="T100" i="1"/>
  <c r="P102" i="1"/>
  <c r="X103" i="1"/>
  <c r="X105" i="1"/>
  <c r="T107" i="1"/>
  <c r="U63" i="1"/>
  <c r="U71" i="1"/>
  <c r="Q78" i="1"/>
  <c r="Y84" i="1"/>
  <c r="Y87" i="1"/>
  <c r="U89" i="1"/>
  <c r="Q91" i="1"/>
  <c r="Q93" i="1"/>
  <c r="Y94" i="1"/>
  <c r="U96" i="1"/>
  <c r="U98" i="1"/>
  <c r="Q100" i="1"/>
  <c r="Y101" i="1"/>
  <c r="Y103" i="1"/>
  <c r="U105" i="1"/>
  <c r="Q107" i="1"/>
  <c r="V88" i="1"/>
  <c r="R95" i="1"/>
  <c r="V100" i="1"/>
  <c r="N106" i="1"/>
  <c r="T108" i="1"/>
  <c r="X109" i="1"/>
  <c r="P111" i="1"/>
  <c r="T112" i="1"/>
  <c r="X113" i="1"/>
  <c r="P115" i="1"/>
  <c r="T116" i="1"/>
  <c r="X117" i="1"/>
  <c r="P119" i="1"/>
  <c r="T120" i="1"/>
  <c r="X121" i="1"/>
  <c r="P123" i="1"/>
  <c r="T124" i="1"/>
  <c r="X125" i="1"/>
  <c r="P127" i="1"/>
  <c r="T128" i="1"/>
  <c r="X129" i="1"/>
  <c r="N89" i="1"/>
  <c r="R94" i="1"/>
  <c r="V99" i="1"/>
  <c r="N105" i="1"/>
  <c r="Q108" i="1"/>
  <c r="U109" i="1"/>
  <c r="Y110" i="1"/>
  <c r="Q112" i="1"/>
  <c r="U113" i="1"/>
  <c r="Y114" i="1"/>
  <c r="V86" i="1"/>
  <c r="N92" i="1"/>
  <c r="R97" i="1"/>
  <c r="V102" i="1"/>
  <c r="O107" i="1"/>
  <c r="N109" i="1"/>
  <c r="R110" i="1"/>
  <c r="V111" i="1"/>
  <c r="N113" i="1"/>
  <c r="R114" i="1"/>
  <c r="V115" i="1"/>
  <c r="N117" i="1"/>
  <c r="R118" i="1"/>
  <c r="R65" i="1"/>
  <c r="W79" i="1"/>
  <c r="T81" i="1"/>
  <c r="O91" i="1"/>
  <c r="U84" i="1"/>
  <c r="X93" i="1"/>
  <c r="X100" i="1"/>
  <c r="X107" i="1"/>
  <c r="U86" i="1"/>
  <c r="U93" i="1"/>
  <c r="U100" i="1"/>
  <c r="Y107" i="1"/>
  <c r="W106" i="1"/>
  <c r="X112" i="1"/>
  <c r="P118" i="1"/>
  <c r="T123" i="1"/>
  <c r="X128" i="1"/>
  <c r="N101" i="1"/>
  <c r="Q111" i="1"/>
  <c r="N88" i="1"/>
  <c r="W107" i="1"/>
  <c r="N110" i="1"/>
  <c r="N112" i="1"/>
  <c r="V113" i="1"/>
  <c r="R115" i="1"/>
  <c r="R117" i="1"/>
  <c r="N119" i="1"/>
  <c r="R120" i="1"/>
  <c r="V121" i="1"/>
  <c r="N123" i="1"/>
  <c r="R124" i="1"/>
  <c r="V125" i="1"/>
  <c r="N127" i="1"/>
  <c r="R128" i="1"/>
  <c r="V129" i="1"/>
  <c r="N131" i="1"/>
  <c r="R132" i="1"/>
  <c r="V133" i="1"/>
  <c r="N135" i="1"/>
  <c r="R136" i="1"/>
  <c r="V137" i="1"/>
  <c r="N139" i="1"/>
  <c r="R140" i="1"/>
  <c r="V141" i="1"/>
  <c r="N143" i="1"/>
  <c r="R144" i="1"/>
  <c r="V145" i="1"/>
  <c r="N147" i="1"/>
  <c r="R148" i="1"/>
  <c r="V149" i="1"/>
  <c r="N87" i="1"/>
  <c r="R92" i="1"/>
  <c r="V97" i="1"/>
  <c r="N103" i="1"/>
  <c r="R107" i="1"/>
  <c r="O109" i="1"/>
  <c r="S110" i="1"/>
  <c r="W111" i="1"/>
  <c r="O113" i="1"/>
  <c r="S114" i="1"/>
  <c r="W115" i="1"/>
  <c r="O117" i="1"/>
  <c r="S118" i="1"/>
  <c r="W119" i="1"/>
  <c r="O121" i="1"/>
  <c r="S122" i="1"/>
  <c r="W123" i="1"/>
  <c r="O125" i="1"/>
  <c r="S126" i="1"/>
  <c r="W127" i="1"/>
  <c r="O129" i="1"/>
  <c r="S130" i="1"/>
  <c r="W131" i="1"/>
  <c r="O133" i="1"/>
  <c r="S134" i="1"/>
  <c r="W135" i="1"/>
  <c r="O137" i="1"/>
  <c r="S138" i="1"/>
  <c r="W139" i="1"/>
  <c r="O141" i="1"/>
  <c r="S142" i="1"/>
  <c r="W143" i="1"/>
  <c r="O145" i="1"/>
  <c r="S146" i="1"/>
  <c r="W147" i="1"/>
  <c r="O149" i="1"/>
  <c r="S150" i="1"/>
  <c r="W151" i="1"/>
  <c r="O153" i="1"/>
  <c r="S154" i="1"/>
  <c r="Y119" i="1"/>
  <c r="Q125" i="1"/>
  <c r="Q130" i="1"/>
  <c r="Y132" i="1"/>
  <c r="U135" i="1"/>
  <c r="Q138" i="1"/>
  <c r="Y140" i="1"/>
  <c r="U143" i="1"/>
  <c r="Q146" i="1"/>
  <c r="Y148" i="1"/>
  <c r="Q151" i="1"/>
  <c r="N153" i="1"/>
  <c r="W154" i="1"/>
  <c r="O156" i="1"/>
  <c r="S157" i="1"/>
  <c r="W158" i="1"/>
  <c r="O160" i="1"/>
  <c r="S161" i="1"/>
  <c r="W162" i="1"/>
  <c r="O164" i="1"/>
  <c r="S165" i="1"/>
  <c r="W166" i="1"/>
  <c r="O168" i="1"/>
  <c r="Q116" i="1"/>
  <c r="U121" i="1"/>
  <c r="Y126" i="1"/>
  <c r="P131" i="1"/>
  <c r="X133" i="1"/>
  <c r="T136" i="1"/>
  <c r="P139" i="1"/>
  <c r="X141" i="1"/>
  <c r="T144" i="1"/>
  <c r="P147" i="1"/>
  <c r="X149" i="1"/>
  <c r="X151" i="1"/>
  <c r="U153" i="1"/>
  <c r="P155" i="1"/>
  <c r="T156" i="1"/>
  <c r="X157" i="1"/>
  <c r="P159" i="1"/>
  <c r="T160" i="1"/>
  <c r="X161" i="1"/>
  <c r="P163" i="1"/>
  <c r="T164" i="1"/>
  <c r="Y117" i="1"/>
  <c r="Q123" i="1"/>
  <c r="U128" i="1"/>
  <c r="Y131" i="1"/>
  <c r="U134" i="1"/>
  <c r="Q137" i="1"/>
  <c r="Y139" i="1"/>
  <c r="U142" i="1"/>
  <c r="Q145" i="1"/>
  <c r="Y147" i="1"/>
  <c r="U150" i="1"/>
  <c r="R152" i="1"/>
  <c r="P154" i="1"/>
  <c r="U155" i="1"/>
  <c r="Y156" i="1"/>
  <c r="Q158" i="1"/>
  <c r="U159" i="1"/>
  <c r="Y160" i="1"/>
  <c r="Q162" i="1"/>
  <c r="U163" i="1"/>
  <c r="Y164" i="1"/>
  <c r="Q166" i="1"/>
  <c r="U167" i="1"/>
  <c r="Y168" i="1"/>
  <c r="Q170" i="1"/>
  <c r="U171" i="1"/>
  <c r="Y172" i="1"/>
  <c r="Q174" i="1"/>
  <c r="U175" i="1"/>
  <c r="Y176" i="1"/>
  <c r="Q178" i="1"/>
  <c r="U179" i="1"/>
  <c r="Y180" i="1"/>
  <c r="Q182" i="1"/>
  <c r="U183" i="1"/>
  <c r="N76" i="1"/>
  <c r="P62" i="1"/>
  <c r="Q61" i="1"/>
  <c r="S96" i="1"/>
  <c r="T88" i="1"/>
  <c r="T95" i="1"/>
  <c r="T102" i="1"/>
  <c r="Q66" i="1"/>
  <c r="Q88" i="1"/>
  <c r="Q95" i="1"/>
  <c r="U102" i="1"/>
  <c r="N90" i="1"/>
  <c r="X108" i="1"/>
  <c r="P114" i="1"/>
  <c r="T119" i="1"/>
  <c r="X124" i="1"/>
  <c r="Q81" i="1"/>
  <c r="R106" i="1"/>
  <c r="U112" i="1"/>
  <c r="R93" i="1"/>
  <c r="R108" i="1"/>
  <c r="V110" i="1"/>
  <c r="R112" i="1"/>
  <c r="N114" i="1"/>
  <c r="N116" i="1"/>
  <c r="V117" i="1"/>
  <c r="R119" i="1"/>
  <c r="V120" i="1"/>
  <c r="N122" i="1"/>
  <c r="R123" i="1"/>
  <c r="V124" i="1"/>
  <c r="N126" i="1"/>
  <c r="R127" i="1"/>
  <c r="V128" i="1"/>
  <c r="N130" i="1"/>
  <c r="R131" i="1"/>
  <c r="V132" i="1"/>
  <c r="N134" i="1"/>
  <c r="R135" i="1"/>
  <c r="V136" i="1"/>
  <c r="N138" i="1"/>
  <c r="R139" i="1"/>
  <c r="V140" i="1"/>
  <c r="N142" i="1"/>
  <c r="R143" i="1"/>
  <c r="V144" i="1"/>
  <c r="N146" i="1"/>
  <c r="R147" i="1"/>
  <c r="V148" i="1"/>
  <c r="N150" i="1"/>
  <c r="R88" i="1"/>
  <c r="V93" i="1"/>
  <c r="N99" i="1"/>
  <c r="R104" i="1"/>
  <c r="N108" i="1"/>
  <c r="S109" i="1"/>
  <c r="W110" i="1"/>
  <c r="O112" i="1"/>
  <c r="S113" i="1"/>
  <c r="W114" i="1"/>
  <c r="O116" i="1"/>
  <c r="S117" i="1"/>
  <c r="W118" i="1"/>
  <c r="O120" i="1"/>
  <c r="S121" i="1"/>
  <c r="W122" i="1"/>
  <c r="O124" i="1"/>
  <c r="S125" i="1"/>
  <c r="W126" i="1"/>
  <c r="O128" i="1"/>
  <c r="S129" i="1"/>
  <c r="W130" i="1"/>
  <c r="O132" i="1"/>
  <c r="S133" i="1"/>
  <c r="W134" i="1"/>
  <c r="O136" i="1"/>
  <c r="S137" i="1"/>
  <c r="W138" i="1"/>
  <c r="O140" i="1"/>
  <c r="S141" i="1"/>
  <c r="W142" i="1"/>
  <c r="O144" i="1"/>
  <c r="S145" i="1"/>
  <c r="W146" i="1"/>
  <c r="O148" i="1"/>
  <c r="S149" i="1"/>
  <c r="W150" i="1"/>
  <c r="O152" i="1"/>
  <c r="S153" i="1"/>
  <c r="Y115" i="1"/>
  <c r="Q121" i="1"/>
  <c r="U126" i="1"/>
  <c r="Y130" i="1"/>
  <c r="U133" i="1"/>
  <c r="Q136" i="1"/>
  <c r="Y138" i="1"/>
  <c r="U141" i="1"/>
  <c r="Q144" i="1"/>
  <c r="Y146" i="1"/>
  <c r="U149" i="1"/>
  <c r="V151" i="1"/>
  <c r="T153" i="1"/>
  <c r="O155" i="1"/>
  <c r="S156" i="1"/>
  <c r="W157" i="1"/>
  <c r="O159" i="1"/>
  <c r="S160" i="1"/>
  <c r="W161" i="1"/>
  <c r="O163" i="1"/>
  <c r="S164" i="1"/>
  <c r="W165" i="1"/>
  <c r="O167" i="1"/>
  <c r="S168" i="1"/>
  <c r="U117" i="1"/>
  <c r="Y122" i="1"/>
  <c r="Q128" i="1"/>
  <c r="X131" i="1"/>
  <c r="T134" i="1"/>
  <c r="P137" i="1"/>
  <c r="X139" i="1"/>
  <c r="T142" i="1"/>
  <c r="P145" i="1"/>
  <c r="X147" i="1"/>
  <c r="T150" i="1"/>
  <c r="Q152" i="1"/>
  <c r="N154" i="1"/>
  <c r="T155" i="1"/>
  <c r="X156" i="1"/>
  <c r="P158" i="1"/>
  <c r="T159" i="1"/>
  <c r="X160" i="1"/>
  <c r="P162" i="1"/>
  <c r="T163" i="1"/>
  <c r="X164" i="1"/>
  <c r="Q119" i="1"/>
  <c r="U124" i="1"/>
  <c r="Y129" i="1"/>
  <c r="U132" i="1"/>
  <c r="Q135" i="1"/>
  <c r="Y137" i="1"/>
  <c r="U140" i="1"/>
  <c r="Q143" i="1"/>
  <c r="Y145" i="1"/>
  <c r="U148" i="1"/>
  <c r="N151" i="1"/>
  <c r="X152" i="1"/>
  <c r="U154" i="1"/>
  <c r="Y155" i="1"/>
  <c r="Q157" i="1"/>
  <c r="U158" i="1"/>
  <c r="Y159" i="1"/>
  <c r="Q161" i="1"/>
  <c r="U162" i="1"/>
  <c r="Y163" i="1"/>
  <c r="Q165" i="1"/>
  <c r="U166" i="1"/>
  <c r="Y167" i="1"/>
  <c r="Q169" i="1"/>
  <c r="U170" i="1"/>
  <c r="Y171" i="1"/>
  <c r="Q173" i="1"/>
  <c r="U174" i="1"/>
  <c r="Y175" i="1"/>
  <c r="Q177" i="1"/>
  <c r="U178" i="1"/>
  <c r="Y179" i="1"/>
  <c r="Q181" i="1"/>
  <c r="S58" i="1"/>
  <c r="X70" i="1"/>
  <c r="Y62" i="1"/>
  <c r="W101" i="1"/>
  <c r="P90" i="1"/>
  <c r="P97" i="1"/>
  <c r="T104" i="1"/>
  <c r="Y72" i="1"/>
  <c r="Y89" i="1"/>
  <c r="Q97" i="1"/>
  <c r="Q104" i="1"/>
  <c r="V96" i="1"/>
  <c r="P110" i="1"/>
  <c r="T115" i="1"/>
  <c r="X120" i="1"/>
  <c r="P126" i="1"/>
  <c r="R90" i="1"/>
  <c r="U108" i="1"/>
  <c r="Y113" i="1"/>
  <c r="V98" i="1"/>
  <c r="R109" i="1"/>
  <c r="N111" i="1"/>
  <c r="V112" i="1"/>
  <c r="V114" i="1"/>
  <c r="R116" i="1"/>
  <c r="N118" i="1"/>
  <c r="V119" i="1"/>
  <c r="N121" i="1"/>
  <c r="R122" i="1"/>
  <c r="V123" i="1"/>
  <c r="N125" i="1"/>
  <c r="R126" i="1"/>
  <c r="V127" i="1"/>
  <c r="N129" i="1"/>
  <c r="R130" i="1"/>
  <c r="V131" i="1"/>
  <c r="N133" i="1"/>
  <c r="R134" i="1"/>
  <c r="V135" i="1"/>
  <c r="N137" i="1"/>
  <c r="R138" i="1"/>
  <c r="V139" i="1"/>
  <c r="N141" i="1"/>
  <c r="R142" i="1"/>
  <c r="V143" i="1"/>
  <c r="N145" i="1"/>
  <c r="R146" i="1"/>
  <c r="V147" i="1"/>
  <c r="N149" i="1"/>
  <c r="R150" i="1"/>
  <c r="V89" i="1"/>
  <c r="N95" i="1"/>
  <c r="R100" i="1"/>
  <c r="V105" i="1"/>
  <c r="S108" i="1"/>
  <c r="W109" i="1"/>
  <c r="O111" i="1"/>
  <c r="S112" i="1"/>
  <c r="W113" i="1"/>
  <c r="O115" i="1"/>
  <c r="S116" i="1"/>
  <c r="W117" i="1"/>
  <c r="O119" i="1"/>
  <c r="S120" i="1"/>
  <c r="W121" i="1"/>
  <c r="O123" i="1"/>
  <c r="S124" i="1"/>
  <c r="W125" i="1"/>
  <c r="O127" i="1"/>
  <c r="S128" i="1"/>
  <c r="W129" i="1"/>
  <c r="O131" i="1"/>
  <c r="S132" i="1"/>
  <c r="W133" i="1"/>
  <c r="O135" i="1"/>
  <c r="S136" i="1"/>
  <c r="W137" i="1"/>
  <c r="O139" i="1"/>
  <c r="S140" i="1"/>
  <c r="W141" i="1"/>
  <c r="O143" i="1"/>
  <c r="S144" i="1"/>
  <c r="W145" i="1"/>
  <c r="O147" i="1"/>
  <c r="S148" i="1"/>
  <c r="W149" i="1"/>
  <c r="O151" i="1"/>
  <c r="S152" i="1"/>
  <c r="W153" i="1"/>
  <c r="Q117" i="1"/>
  <c r="U122" i="1"/>
  <c r="Y127" i="1"/>
  <c r="U131" i="1"/>
  <c r="Q134" i="1"/>
  <c r="Y136" i="1"/>
  <c r="U139" i="1"/>
  <c r="Q142" i="1"/>
  <c r="Y144" i="1"/>
  <c r="U147" i="1"/>
  <c r="Q150" i="1"/>
  <c r="P152" i="1"/>
  <c r="Y153" i="1"/>
  <c r="S155" i="1"/>
  <c r="W156" i="1"/>
  <c r="O158" i="1"/>
  <c r="S159" i="1"/>
  <c r="W160" i="1"/>
  <c r="O162" i="1"/>
  <c r="S163" i="1"/>
  <c r="W164" i="1"/>
  <c r="O166" i="1"/>
  <c r="S167" i="1"/>
  <c r="W168" i="1"/>
  <c r="Y118" i="1"/>
  <c r="Q124" i="1"/>
  <c r="U129" i="1"/>
  <c r="T132" i="1"/>
  <c r="P135" i="1"/>
  <c r="X137" i="1"/>
  <c r="T140" i="1"/>
  <c r="P143" i="1"/>
  <c r="X145" i="1"/>
  <c r="T148" i="1"/>
  <c r="Y150" i="1"/>
  <c r="V152" i="1"/>
  <c r="T154" i="1"/>
  <c r="X155" i="1"/>
  <c r="P157" i="1"/>
  <c r="T158" i="1"/>
  <c r="X159" i="1"/>
  <c r="P161" i="1"/>
  <c r="T162" i="1"/>
  <c r="X163" i="1"/>
  <c r="P165" i="1"/>
  <c r="U120" i="1"/>
  <c r="Y125" i="1"/>
  <c r="U130" i="1"/>
  <c r="Q133" i="1"/>
  <c r="Y135" i="1"/>
  <c r="U138" i="1"/>
  <c r="Q141" i="1"/>
  <c r="Y143" i="1"/>
  <c r="U146" i="1"/>
  <c r="Q149" i="1"/>
  <c r="T151" i="1"/>
  <c r="Q153" i="1"/>
  <c r="Y154" i="1"/>
  <c r="Q156" i="1"/>
  <c r="U157" i="1"/>
  <c r="Y158" i="1"/>
  <c r="Q160" i="1"/>
  <c r="U161" i="1"/>
  <c r="Y162" i="1"/>
  <c r="Q164" i="1"/>
  <c r="U165" i="1"/>
  <c r="Y166" i="1"/>
  <c r="Q168" i="1"/>
  <c r="U169" i="1"/>
  <c r="Y170" i="1"/>
  <c r="Q172" i="1"/>
  <c r="U173" i="1"/>
  <c r="Y174" i="1"/>
  <c r="Q176" i="1"/>
  <c r="U177" i="1"/>
  <c r="Y178" i="1"/>
  <c r="Q180" i="1"/>
  <c r="U181" i="1"/>
  <c r="Y182" i="1"/>
  <c r="Q184" i="1"/>
  <c r="Q63" i="1"/>
  <c r="U79" i="1"/>
  <c r="N102" i="1"/>
  <c r="T127" i="1"/>
  <c r="N104" i="1"/>
  <c r="N115" i="1"/>
  <c r="R121" i="1"/>
  <c r="V126" i="1"/>
  <c r="N132" i="1"/>
  <c r="R137" i="1"/>
  <c r="V142" i="1"/>
  <c r="N148" i="1"/>
  <c r="R96" i="1"/>
  <c r="O110" i="1"/>
  <c r="S115" i="1"/>
  <c r="W120" i="1"/>
  <c r="O126" i="1"/>
  <c r="S131" i="1"/>
  <c r="W136" i="1"/>
  <c r="O142" i="1"/>
  <c r="S147" i="1"/>
  <c r="W152" i="1"/>
  <c r="Q129" i="1"/>
  <c r="Q140" i="1"/>
  <c r="X150" i="1"/>
  <c r="O157" i="1"/>
  <c r="S162" i="1"/>
  <c r="W167" i="1"/>
  <c r="T130" i="1"/>
  <c r="P141" i="1"/>
  <c r="R151" i="1"/>
  <c r="T157" i="1"/>
  <c r="X162" i="1"/>
  <c r="Q127" i="1"/>
  <c r="Q139" i="1"/>
  <c r="Y149" i="1"/>
  <c r="U156" i="1"/>
  <c r="Y161" i="1"/>
  <c r="Q167" i="1"/>
  <c r="U172" i="1"/>
  <c r="Y177" i="1"/>
  <c r="U182" i="1"/>
  <c r="Y184" i="1"/>
  <c r="Q186" i="1"/>
  <c r="U187" i="1"/>
  <c r="Y116" i="1"/>
  <c r="Q122" i="1"/>
  <c r="U127" i="1"/>
  <c r="T131" i="1"/>
  <c r="P134" i="1"/>
  <c r="X136" i="1"/>
  <c r="T139" i="1"/>
  <c r="P142" i="1"/>
  <c r="X144" i="1"/>
  <c r="T147" i="1"/>
  <c r="P150" i="1"/>
  <c r="N152" i="1"/>
  <c r="X153" i="1"/>
  <c r="R155" i="1"/>
  <c r="V156" i="1"/>
  <c r="N158" i="1"/>
  <c r="R159" i="1"/>
  <c r="V160" i="1"/>
  <c r="N162" i="1"/>
  <c r="R163" i="1"/>
  <c r="V164" i="1"/>
  <c r="N166" i="1"/>
  <c r="R167" i="1"/>
  <c r="V168" i="1"/>
  <c r="N170" i="1"/>
  <c r="R171" i="1"/>
  <c r="V172" i="1"/>
  <c r="N174" i="1"/>
  <c r="R175" i="1"/>
  <c r="V176" i="1"/>
  <c r="N178" i="1"/>
  <c r="R179" i="1"/>
  <c r="V180" i="1"/>
  <c r="N182" i="1"/>
  <c r="R183" i="1"/>
  <c r="V184" i="1"/>
  <c r="N186" i="1"/>
  <c r="R187" i="1"/>
  <c r="V188" i="1"/>
  <c r="N190" i="1"/>
  <c r="R191" i="1"/>
  <c r="V192" i="1"/>
  <c r="N194" i="1"/>
  <c r="X168" i="1"/>
  <c r="W171" i="1"/>
  <c r="S174" i="1"/>
  <c r="O177" i="1"/>
  <c r="W179" i="1"/>
  <c r="S182" i="1"/>
  <c r="O185" i="1"/>
  <c r="W187" i="1"/>
  <c r="X189" i="1"/>
  <c r="U191" i="1"/>
  <c r="S193" i="1"/>
  <c r="N195" i="1"/>
  <c r="R196" i="1"/>
  <c r="V197" i="1"/>
  <c r="N199" i="1"/>
  <c r="R200" i="1"/>
  <c r="V201" i="1"/>
  <c r="N203" i="1"/>
  <c r="R204" i="1"/>
  <c r="V205" i="1"/>
  <c r="N207" i="1"/>
  <c r="R208" i="1"/>
  <c r="V209" i="1"/>
  <c r="N211" i="1"/>
  <c r="R212" i="1"/>
  <c r="V213" i="1"/>
  <c r="N215" i="1"/>
  <c r="R216" i="1"/>
  <c r="V217" i="1"/>
  <c r="N219" i="1"/>
  <c r="R220" i="1"/>
  <c r="V221" i="1"/>
  <c r="N223" i="1"/>
  <c r="R224" i="1"/>
  <c r="V225" i="1"/>
  <c r="N227" i="1"/>
  <c r="R228" i="1"/>
  <c r="V229" i="1"/>
  <c r="N231" i="1"/>
  <c r="R232" i="1"/>
  <c r="V233" i="1"/>
  <c r="N235" i="1"/>
  <c r="T166" i="1"/>
  <c r="T170" i="1"/>
  <c r="P173" i="1"/>
  <c r="X175" i="1"/>
  <c r="T178" i="1"/>
  <c r="P181" i="1"/>
  <c r="X183" i="1"/>
  <c r="T186" i="1"/>
  <c r="O189" i="1"/>
  <c r="X190" i="1"/>
  <c r="U192" i="1"/>
  <c r="S194" i="1"/>
  <c r="W195" i="1"/>
  <c r="O197" i="1"/>
  <c r="S198" i="1"/>
  <c r="W199" i="1"/>
  <c r="O201" i="1"/>
  <c r="S202" i="1"/>
  <c r="W203" i="1"/>
  <c r="O205" i="1"/>
  <c r="S206" i="1"/>
  <c r="W207" i="1"/>
  <c r="O209" i="1"/>
  <c r="S210" i="1"/>
  <c r="W211" i="1"/>
  <c r="O213" i="1"/>
  <c r="O69" i="1"/>
  <c r="X91" i="1"/>
  <c r="Y91" i="1"/>
  <c r="T111" i="1"/>
  <c r="V95" i="1"/>
  <c r="V109" i="1"/>
  <c r="V116" i="1"/>
  <c r="V122" i="1"/>
  <c r="N128" i="1"/>
  <c r="R133" i="1"/>
  <c r="V138" i="1"/>
  <c r="N144" i="1"/>
  <c r="R149" i="1"/>
  <c r="V101" i="1"/>
  <c r="S111" i="1"/>
  <c r="W116" i="1"/>
  <c r="O122" i="1"/>
  <c r="S127" i="1"/>
  <c r="W132" i="1"/>
  <c r="O138" i="1"/>
  <c r="S143" i="1"/>
  <c r="W148" i="1"/>
  <c r="O154" i="1"/>
  <c r="Q132" i="1"/>
  <c r="Y142" i="1"/>
  <c r="U152" i="1"/>
  <c r="S158" i="1"/>
  <c r="W163" i="1"/>
  <c r="O169" i="1"/>
  <c r="P133" i="1"/>
  <c r="X143" i="1"/>
  <c r="P153" i="1"/>
  <c r="X158" i="1"/>
  <c r="P164" i="1"/>
  <c r="Q131" i="1"/>
  <c r="Y141" i="1"/>
  <c r="Y151" i="1"/>
  <c r="Y157" i="1"/>
  <c r="Q163" i="1"/>
  <c r="U168" i="1"/>
  <c r="Y173" i="1"/>
  <c r="Q179" i="1"/>
  <c r="Q183" i="1"/>
  <c r="Q185" i="1"/>
  <c r="U186" i="1"/>
  <c r="Y187" i="1"/>
  <c r="Q118" i="1"/>
  <c r="U123" i="1"/>
  <c r="Y128" i="1"/>
  <c r="P132" i="1"/>
  <c r="X134" i="1"/>
  <c r="T137" i="1"/>
  <c r="P140" i="1"/>
  <c r="X142" i="1"/>
  <c r="T145" i="1"/>
  <c r="P148" i="1"/>
  <c r="V150" i="1"/>
  <c r="T152" i="1"/>
  <c r="Q154" i="1"/>
  <c r="V155" i="1"/>
  <c r="N157" i="1"/>
  <c r="R158" i="1"/>
  <c r="V159" i="1"/>
  <c r="N161" i="1"/>
  <c r="R162" i="1"/>
  <c r="V163" i="1"/>
  <c r="N165" i="1"/>
  <c r="R166" i="1"/>
  <c r="V167" i="1"/>
  <c r="N169" i="1"/>
  <c r="R170" i="1"/>
  <c r="V171" i="1"/>
  <c r="N173" i="1"/>
  <c r="R174" i="1"/>
  <c r="V175" i="1"/>
  <c r="N177" i="1"/>
  <c r="R178" i="1"/>
  <c r="V179" i="1"/>
  <c r="N181" i="1"/>
  <c r="R182" i="1"/>
  <c r="V183" i="1"/>
  <c r="N185" i="1"/>
  <c r="R186" i="1"/>
  <c r="V187" i="1"/>
  <c r="N189" i="1"/>
  <c r="R190" i="1"/>
  <c r="V191" i="1"/>
  <c r="N193" i="1"/>
  <c r="R194" i="1"/>
  <c r="W169" i="1"/>
  <c r="S172" i="1"/>
  <c r="O175" i="1"/>
  <c r="W177" i="1"/>
  <c r="S180" i="1"/>
  <c r="O183" i="1"/>
  <c r="W185" i="1"/>
  <c r="S188" i="1"/>
  <c r="Q190" i="1"/>
  <c r="O192" i="1"/>
  <c r="X193" i="1"/>
  <c r="R195" i="1"/>
  <c r="V196" i="1"/>
  <c r="N198" i="1"/>
  <c r="R199" i="1"/>
  <c r="V200" i="1"/>
  <c r="N202" i="1"/>
  <c r="R203" i="1"/>
  <c r="V204" i="1"/>
  <c r="N206" i="1"/>
  <c r="R207" i="1"/>
  <c r="V208" i="1"/>
  <c r="N210" i="1"/>
  <c r="R211" i="1"/>
  <c r="V212" i="1"/>
  <c r="N214" i="1"/>
  <c r="R215" i="1"/>
  <c r="V216" i="1"/>
  <c r="N218" i="1"/>
  <c r="R219" i="1"/>
  <c r="V220" i="1"/>
  <c r="N222" i="1"/>
  <c r="R223" i="1"/>
  <c r="V224" i="1"/>
  <c r="N226" i="1"/>
  <c r="R227" i="1"/>
  <c r="V228" i="1"/>
  <c r="N230" i="1"/>
  <c r="R231" i="1"/>
  <c r="V232" i="1"/>
  <c r="N234" i="1"/>
  <c r="R235" i="1"/>
  <c r="X167" i="1"/>
  <c r="P171" i="1"/>
  <c r="X173" i="1"/>
  <c r="T176" i="1"/>
  <c r="P179" i="1"/>
  <c r="X181" i="1"/>
  <c r="T184" i="1"/>
  <c r="P187" i="1"/>
  <c r="T189" i="1"/>
  <c r="Q191" i="1"/>
  <c r="O193" i="1"/>
  <c r="W194" i="1"/>
  <c r="O196" i="1"/>
  <c r="S197" i="1"/>
  <c r="W198" i="1"/>
  <c r="O200" i="1"/>
  <c r="S201" i="1"/>
  <c r="W202" i="1"/>
  <c r="O204" i="1"/>
  <c r="S205" i="1"/>
  <c r="W206" i="1"/>
  <c r="O208" i="1"/>
  <c r="S209" i="1"/>
  <c r="W210" i="1"/>
  <c r="O212" i="1"/>
  <c r="S213" i="1"/>
  <c r="W214" i="1"/>
  <c r="O216" i="1"/>
  <c r="S217" i="1"/>
  <c r="W218" i="1"/>
  <c r="P76" i="1"/>
  <c r="P99" i="1"/>
  <c r="Y98" i="1"/>
  <c r="X116" i="1"/>
  <c r="Y109" i="1"/>
  <c r="R111" i="1"/>
  <c r="V118" i="1"/>
  <c r="N124" i="1"/>
  <c r="R129" i="1"/>
  <c r="V134" i="1"/>
  <c r="N140" i="1"/>
  <c r="R145" i="1"/>
  <c r="Y83" i="1"/>
  <c r="V106" i="1"/>
  <c r="W112" i="1"/>
  <c r="O118" i="1"/>
  <c r="S123" i="1"/>
  <c r="W128" i="1"/>
  <c r="O134" i="1"/>
  <c r="S139" i="1"/>
  <c r="W144" i="1"/>
  <c r="O150" i="1"/>
  <c r="U118" i="1"/>
  <c r="Y134" i="1"/>
  <c r="U145" i="1"/>
  <c r="R154" i="1"/>
  <c r="W159" i="1"/>
  <c r="O165" i="1"/>
  <c r="Q120" i="1"/>
  <c r="X135" i="1"/>
  <c r="T146" i="1"/>
  <c r="X154" i="1"/>
  <c r="P160" i="1"/>
  <c r="U116" i="1"/>
  <c r="Y133" i="1"/>
  <c r="U144" i="1"/>
  <c r="V153" i="1"/>
  <c r="Q159" i="1"/>
  <c r="U164" i="1"/>
  <c r="Y169" i="1"/>
  <c r="Q175" i="1"/>
  <c r="U180" i="1"/>
  <c r="Y183" i="1"/>
  <c r="U185" i="1"/>
  <c r="Y186" i="1"/>
  <c r="Q188" i="1"/>
  <c r="U119" i="1"/>
  <c r="Y124" i="1"/>
  <c r="P130" i="1"/>
  <c r="X132" i="1"/>
  <c r="T135" i="1"/>
  <c r="P138" i="1"/>
  <c r="X140" i="1"/>
  <c r="T143" i="1"/>
  <c r="P146" i="1"/>
  <c r="X148" i="1"/>
  <c r="P151" i="1"/>
  <c r="Y152" i="1"/>
  <c r="V154" i="1"/>
  <c r="N156" i="1"/>
  <c r="R157" i="1"/>
  <c r="V158" i="1"/>
  <c r="N160" i="1"/>
  <c r="R161" i="1"/>
  <c r="V162" i="1"/>
  <c r="N164" i="1"/>
  <c r="R165" i="1"/>
  <c r="V166" i="1"/>
  <c r="N168" i="1"/>
  <c r="R169" i="1"/>
  <c r="V170" i="1"/>
  <c r="N172" i="1"/>
  <c r="R173" i="1"/>
  <c r="V174" i="1"/>
  <c r="N176" i="1"/>
  <c r="R177" i="1"/>
  <c r="V178" i="1"/>
  <c r="N180" i="1"/>
  <c r="R181" i="1"/>
  <c r="V182" i="1"/>
  <c r="N184" i="1"/>
  <c r="R185" i="1"/>
  <c r="V186" i="1"/>
  <c r="N188" i="1"/>
  <c r="R189" i="1"/>
  <c r="V190" i="1"/>
  <c r="N192" i="1"/>
  <c r="R193" i="1"/>
  <c r="P166" i="1"/>
  <c r="S170" i="1"/>
  <c r="O173" i="1"/>
  <c r="W175" i="1"/>
  <c r="S178" i="1"/>
  <c r="O181" i="1"/>
  <c r="W183" i="1"/>
  <c r="S186" i="1"/>
  <c r="Y188" i="1"/>
  <c r="W190" i="1"/>
  <c r="T192" i="1"/>
  <c r="Q194" i="1"/>
  <c r="V195" i="1"/>
  <c r="N197" i="1"/>
  <c r="R198" i="1"/>
  <c r="V199" i="1"/>
  <c r="N201" i="1"/>
  <c r="R202" i="1"/>
  <c r="V203" i="1"/>
  <c r="N205" i="1"/>
  <c r="R206" i="1"/>
  <c r="V207" i="1"/>
  <c r="N209" i="1"/>
  <c r="R210" i="1"/>
  <c r="V211" i="1"/>
  <c r="N213" i="1"/>
  <c r="R214" i="1"/>
  <c r="V215" i="1"/>
  <c r="N217" i="1"/>
  <c r="R218" i="1"/>
  <c r="V219" i="1"/>
  <c r="N221" i="1"/>
  <c r="R222" i="1"/>
  <c r="V223" i="1"/>
  <c r="N225" i="1"/>
  <c r="R226" i="1"/>
  <c r="V227" i="1"/>
  <c r="N229" i="1"/>
  <c r="R230" i="1"/>
  <c r="V231" i="1"/>
  <c r="N233" i="1"/>
  <c r="R234" i="1"/>
  <c r="V235" i="1"/>
  <c r="P169" i="1"/>
  <c r="X171" i="1"/>
  <c r="T174" i="1"/>
  <c r="P177" i="1"/>
  <c r="X179" i="1"/>
  <c r="T182" i="1"/>
  <c r="P185" i="1"/>
  <c r="X187" i="1"/>
  <c r="Y189" i="1"/>
  <c r="W191" i="1"/>
  <c r="T193" i="1"/>
  <c r="O195" i="1"/>
  <c r="S196" i="1"/>
  <c r="W197" i="1"/>
  <c r="O199" i="1"/>
  <c r="S200" i="1"/>
  <c r="W201" i="1"/>
  <c r="O203" i="1"/>
  <c r="S204" i="1"/>
  <c r="W205" i="1"/>
  <c r="O207" i="1"/>
  <c r="S208" i="1"/>
  <c r="W209" i="1"/>
  <c r="O211" i="1"/>
  <c r="S212" i="1"/>
  <c r="W213" i="1"/>
  <c r="O215" i="1"/>
  <c r="S216" i="1"/>
  <c r="W217" i="1"/>
  <c r="O219" i="1"/>
  <c r="S220" i="1"/>
  <c r="W221" i="1"/>
  <c r="O223" i="1"/>
  <c r="S224" i="1"/>
  <c r="W225" i="1"/>
  <c r="O227" i="1"/>
  <c r="S228" i="1"/>
  <c r="W229" i="1"/>
  <c r="O231" i="1"/>
  <c r="Q84" i="1"/>
  <c r="Q115" i="1"/>
  <c r="V130" i="1"/>
  <c r="N91" i="1"/>
  <c r="W124" i="1"/>
  <c r="O146" i="1"/>
  <c r="Q148" i="1"/>
  <c r="U125" i="1"/>
  <c r="T161" i="1"/>
  <c r="Q155" i="1"/>
  <c r="U176" i="1"/>
  <c r="Q187" i="1"/>
  <c r="X130" i="1"/>
  <c r="T141" i="1"/>
  <c r="U151" i="1"/>
  <c r="V157" i="1"/>
  <c r="N163" i="1"/>
  <c r="R168" i="1"/>
  <c r="V173" i="1"/>
  <c r="N179" i="1"/>
  <c r="R184" i="1"/>
  <c r="V189" i="1"/>
  <c r="T167" i="1"/>
  <c r="O179" i="1"/>
  <c r="S189" i="1"/>
  <c r="N196" i="1"/>
  <c r="R201" i="1"/>
  <c r="V206" i="1"/>
  <c r="N212" i="1"/>
  <c r="R217" i="1"/>
  <c r="V222" i="1"/>
  <c r="N228" i="1"/>
  <c r="R233" i="1"/>
  <c r="T172" i="1"/>
  <c r="P183" i="1"/>
  <c r="P192" i="1"/>
  <c r="O198" i="1"/>
  <c r="S203" i="1"/>
  <c r="W208" i="1"/>
  <c r="O214" i="1"/>
  <c r="W216" i="1"/>
  <c r="S219" i="1"/>
  <c r="O221" i="1"/>
  <c r="W222" i="1"/>
  <c r="W224" i="1"/>
  <c r="S226" i="1"/>
  <c r="O228" i="1"/>
  <c r="O230" i="1"/>
  <c r="W231" i="1"/>
  <c r="O233" i="1"/>
  <c r="S234" i="1"/>
  <c r="W235" i="1"/>
  <c r="P168" i="1"/>
  <c r="O174" i="1"/>
  <c r="S179" i="1"/>
  <c r="W184" i="1"/>
  <c r="U189" i="1"/>
  <c r="P193" i="1"/>
  <c r="P196" i="1"/>
  <c r="X198" i="1"/>
  <c r="T201" i="1"/>
  <c r="P204" i="1"/>
  <c r="X206" i="1"/>
  <c r="T209" i="1"/>
  <c r="P212" i="1"/>
  <c r="X214" i="1"/>
  <c r="T217" i="1"/>
  <c r="P220" i="1"/>
  <c r="X222" i="1"/>
  <c r="T225" i="1"/>
  <c r="P228" i="1"/>
  <c r="X230" i="1"/>
  <c r="T233" i="1"/>
  <c r="P236" i="1"/>
  <c r="U237" i="1"/>
  <c r="Y238" i="1"/>
  <c r="Q240" i="1"/>
  <c r="U241" i="1"/>
  <c r="Y242" i="1"/>
  <c r="Q244" i="1"/>
  <c r="U245" i="1"/>
  <c r="Y246" i="1"/>
  <c r="Q248" i="1"/>
  <c r="U249" i="1"/>
  <c r="Y250" i="1"/>
  <c r="Q252" i="1"/>
  <c r="U253" i="1"/>
  <c r="Y254" i="1"/>
  <c r="Q256" i="1"/>
  <c r="U257" i="1"/>
  <c r="Y258" i="1"/>
  <c r="Q260" i="1"/>
  <c r="U261" i="1"/>
  <c r="Y262" i="1"/>
  <c r="X165" i="1"/>
  <c r="X172" i="1"/>
  <c r="P178" i="1"/>
  <c r="T183" i="1"/>
  <c r="X188" i="1"/>
  <c r="S192" i="1"/>
  <c r="U195" i="1"/>
  <c r="Q198" i="1"/>
  <c r="Y200" i="1"/>
  <c r="U203" i="1"/>
  <c r="Q206" i="1"/>
  <c r="Y208" i="1"/>
  <c r="U211" i="1"/>
  <c r="Q214" i="1"/>
  <c r="Y216" i="1"/>
  <c r="U219" i="1"/>
  <c r="Q222" i="1"/>
  <c r="Y224" i="1"/>
  <c r="U227" i="1"/>
  <c r="Q230" i="1"/>
  <c r="Y232" i="1"/>
  <c r="U235" i="1"/>
  <c r="R237" i="1"/>
  <c r="V238" i="1"/>
  <c r="N240" i="1"/>
  <c r="R241" i="1"/>
  <c r="V242" i="1"/>
  <c r="N244" i="1"/>
  <c r="R245" i="1"/>
  <c r="V246" i="1"/>
  <c r="N248" i="1"/>
  <c r="R249" i="1"/>
  <c r="V250" i="1"/>
  <c r="N252" i="1"/>
  <c r="R253" i="1"/>
  <c r="V254" i="1"/>
  <c r="N256" i="1"/>
  <c r="R257" i="1"/>
  <c r="V258" i="1"/>
  <c r="N260" i="1"/>
  <c r="R261" i="1"/>
  <c r="V262" i="1"/>
  <c r="N264" i="1"/>
  <c r="W170" i="1"/>
  <c r="O176" i="1"/>
  <c r="S181" i="1"/>
  <c r="W186" i="1"/>
  <c r="Y190" i="1"/>
  <c r="T194" i="1"/>
  <c r="P197" i="1"/>
  <c r="X199" i="1"/>
  <c r="T202" i="1"/>
  <c r="P205" i="1"/>
  <c r="X207" i="1"/>
  <c r="T210" i="1"/>
  <c r="P213" i="1"/>
  <c r="X215" i="1"/>
  <c r="T218" i="1"/>
  <c r="P221" i="1"/>
  <c r="X223" i="1"/>
  <c r="T226" i="1"/>
  <c r="P229" i="1"/>
  <c r="X231" i="1"/>
  <c r="T234" i="1"/>
  <c r="W236" i="1"/>
  <c r="O238" i="1"/>
  <c r="S239" i="1"/>
  <c r="W240" i="1"/>
  <c r="O242" i="1"/>
  <c r="S243" i="1"/>
  <c r="W244" i="1"/>
  <c r="O246" i="1"/>
  <c r="S247" i="1"/>
  <c r="W248" i="1"/>
  <c r="O250" i="1"/>
  <c r="S251" i="1"/>
  <c r="P106" i="1"/>
  <c r="R113" i="1"/>
  <c r="N136" i="1"/>
  <c r="W108" i="1"/>
  <c r="O130" i="1"/>
  <c r="S151" i="1"/>
  <c r="W155" i="1"/>
  <c r="T138" i="1"/>
  <c r="Y121" i="1"/>
  <c r="U160" i="1"/>
  <c r="Y181" i="1"/>
  <c r="U188" i="1"/>
  <c r="T133" i="1"/>
  <c r="P144" i="1"/>
  <c r="R153" i="1"/>
  <c r="N159" i="1"/>
  <c r="R164" i="1"/>
  <c r="V169" i="1"/>
  <c r="N175" i="1"/>
  <c r="R180" i="1"/>
  <c r="V185" i="1"/>
  <c r="N191" i="1"/>
  <c r="O171" i="1"/>
  <c r="W181" i="1"/>
  <c r="P191" i="1"/>
  <c r="R197" i="1"/>
  <c r="V202" i="1"/>
  <c r="N208" i="1"/>
  <c r="R213" i="1"/>
  <c r="V218" i="1"/>
  <c r="N224" i="1"/>
  <c r="R229" i="1"/>
  <c r="V234" i="1"/>
  <c r="P175" i="1"/>
  <c r="X185" i="1"/>
  <c r="Y193" i="1"/>
  <c r="S199" i="1"/>
  <c r="W204" i="1"/>
  <c r="O210" i="1"/>
  <c r="S214" i="1"/>
  <c r="O217" i="1"/>
  <c r="W219" i="1"/>
  <c r="S221" i="1"/>
  <c r="S223" i="1"/>
  <c r="O225" i="1"/>
  <c r="W226" i="1"/>
  <c r="W228" i="1"/>
  <c r="S230" i="1"/>
  <c r="O232" i="1"/>
  <c r="S233" i="1"/>
  <c r="W234" i="1"/>
  <c r="O236" i="1"/>
  <c r="O170" i="1"/>
  <c r="S175" i="1"/>
  <c r="W180" i="1"/>
  <c r="O186" i="1"/>
  <c r="T190" i="1"/>
  <c r="O194" i="1"/>
  <c r="X196" i="1"/>
  <c r="T199" i="1"/>
  <c r="P202" i="1"/>
  <c r="X204" i="1"/>
  <c r="T207" i="1"/>
  <c r="P210" i="1"/>
  <c r="X212" i="1"/>
  <c r="T215" i="1"/>
  <c r="P218" i="1"/>
  <c r="X220" i="1"/>
  <c r="T223" i="1"/>
  <c r="P226" i="1"/>
  <c r="X228" i="1"/>
  <c r="T231" i="1"/>
  <c r="P234" i="1"/>
  <c r="U236" i="1"/>
  <c r="Y237" i="1"/>
  <c r="Q239" i="1"/>
  <c r="U240" i="1"/>
  <c r="Y241" i="1"/>
  <c r="Q243" i="1"/>
  <c r="U244" i="1"/>
  <c r="Y245" i="1"/>
  <c r="Q247" i="1"/>
  <c r="U248" i="1"/>
  <c r="Y249" i="1"/>
  <c r="Q251" i="1"/>
  <c r="U252" i="1"/>
  <c r="Y253" i="1"/>
  <c r="Q255" i="1"/>
  <c r="U256" i="1"/>
  <c r="Y257" i="1"/>
  <c r="Q259" i="1"/>
  <c r="U260" i="1"/>
  <c r="Y261" i="1"/>
  <c r="Q263" i="1"/>
  <c r="T168" i="1"/>
  <c r="P174" i="1"/>
  <c r="T179" i="1"/>
  <c r="X184" i="1"/>
  <c r="W189" i="1"/>
  <c r="Q193" i="1"/>
  <c r="Q196" i="1"/>
  <c r="Y198" i="1"/>
  <c r="U201" i="1"/>
  <c r="Q204" i="1"/>
  <c r="Y206" i="1"/>
  <c r="U209" i="1"/>
  <c r="Q212" i="1"/>
  <c r="Y214" i="1"/>
  <c r="U217" i="1"/>
  <c r="Q220" i="1"/>
  <c r="Y222" i="1"/>
  <c r="U225" i="1"/>
  <c r="Q228" i="1"/>
  <c r="Y230" i="1"/>
  <c r="U233" i="1"/>
  <c r="Q236" i="1"/>
  <c r="V237" i="1"/>
  <c r="N239" i="1"/>
  <c r="R240" i="1"/>
  <c r="V241" i="1"/>
  <c r="N243" i="1"/>
  <c r="R244" i="1"/>
  <c r="V245" i="1"/>
  <c r="N247" i="1"/>
  <c r="R248" i="1"/>
  <c r="V249" i="1"/>
  <c r="N251" i="1"/>
  <c r="R252" i="1"/>
  <c r="V253" i="1"/>
  <c r="N255" i="1"/>
  <c r="R256" i="1"/>
  <c r="V257" i="1"/>
  <c r="N259" i="1"/>
  <c r="R260" i="1"/>
  <c r="V261" i="1"/>
  <c r="N263" i="1"/>
  <c r="R264" i="1"/>
  <c r="O172" i="1"/>
  <c r="S177" i="1"/>
  <c r="W182" i="1"/>
  <c r="O188" i="1"/>
  <c r="X191" i="1"/>
  <c r="P195" i="1"/>
  <c r="X197" i="1"/>
  <c r="T200" i="1"/>
  <c r="P203" i="1"/>
  <c r="X205" i="1"/>
  <c r="T208" i="1"/>
  <c r="P211" i="1"/>
  <c r="X213" i="1"/>
  <c r="T216" i="1"/>
  <c r="P219" i="1"/>
  <c r="X221" i="1"/>
  <c r="T224" i="1"/>
  <c r="P227" i="1"/>
  <c r="X229" i="1"/>
  <c r="T232" i="1"/>
  <c r="P235" i="1"/>
  <c r="O237" i="1"/>
  <c r="S238" i="1"/>
  <c r="W239" i="1"/>
  <c r="O241" i="1"/>
  <c r="S242" i="1"/>
  <c r="W243" i="1"/>
  <c r="O245" i="1"/>
  <c r="S246" i="1"/>
  <c r="W247" i="1"/>
  <c r="O249" i="1"/>
  <c r="S250" i="1"/>
  <c r="W251" i="1"/>
  <c r="Y105" i="1"/>
  <c r="N120" i="1"/>
  <c r="R141" i="1"/>
  <c r="O114" i="1"/>
  <c r="S135" i="1"/>
  <c r="Y123" i="1"/>
  <c r="O161" i="1"/>
  <c r="P149" i="1"/>
  <c r="U136" i="1"/>
  <c r="Y165" i="1"/>
  <c r="U184" i="1"/>
  <c r="Y120" i="1"/>
  <c r="P136" i="1"/>
  <c r="X146" i="1"/>
  <c r="N155" i="1"/>
  <c r="R160" i="1"/>
  <c r="V165" i="1"/>
  <c r="N171" i="1"/>
  <c r="R176" i="1"/>
  <c r="V181" i="1"/>
  <c r="N187" i="1"/>
  <c r="R192" i="1"/>
  <c r="W173" i="1"/>
  <c r="S184" i="1"/>
  <c r="Y192" i="1"/>
  <c r="V198" i="1"/>
  <c r="N204" i="1"/>
  <c r="R209" i="1"/>
  <c r="V214" i="1"/>
  <c r="N220" i="1"/>
  <c r="R225" i="1"/>
  <c r="V230" i="1"/>
  <c r="N236" i="1"/>
  <c r="X177" i="1"/>
  <c r="T188" i="1"/>
  <c r="S195" i="1"/>
  <c r="W200" i="1"/>
  <c r="O206" i="1"/>
  <c r="S211" i="1"/>
  <c r="S215" i="1"/>
  <c r="O218" i="1"/>
  <c r="O220" i="1"/>
  <c r="O222" i="1"/>
  <c r="W223" i="1"/>
  <c r="S225" i="1"/>
  <c r="S227" i="1"/>
  <c r="O229" i="1"/>
  <c r="W230" i="1"/>
  <c r="S232" i="1"/>
  <c r="W233" i="1"/>
  <c r="O235" i="1"/>
  <c r="S236" i="1"/>
  <c r="S171" i="1"/>
  <c r="W176" i="1"/>
  <c r="O182" i="1"/>
  <c r="S187" i="1"/>
  <c r="S191" i="1"/>
  <c r="X194" i="1"/>
  <c r="T197" i="1"/>
  <c r="P200" i="1"/>
  <c r="X202" i="1"/>
  <c r="T205" i="1"/>
  <c r="P208" i="1"/>
  <c r="X210" i="1"/>
  <c r="T213" i="1"/>
  <c r="P216" i="1"/>
  <c r="X218" i="1"/>
  <c r="T221" i="1"/>
  <c r="P224" i="1"/>
  <c r="X226" i="1"/>
  <c r="T229" i="1"/>
  <c r="P232" i="1"/>
  <c r="X234" i="1"/>
  <c r="Y236" i="1"/>
  <c r="Q238" i="1"/>
  <c r="U239" i="1"/>
  <c r="Y240" i="1"/>
  <c r="Q242" i="1"/>
  <c r="U243" i="1"/>
  <c r="Y244" i="1"/>
  <c r="Q246" i="1"/>
  <c r="U247" i="1"/>
  <c r="Y248" i="1"/>
  <c r="Q250" i="1"/>
  <c r="U251" i="1"/>
  <c r="Y252" i="1"/>
  <c r="Q254" i="1"/>
  <c r="U255" i="1"/>
  <c r="Y256" i="1"/>
  <c r="Q258" i="1"/>
  <c r="U259" i="1"/>
  <c r="Y260" i="1"/>
  <c r="Q262" i="1"/>
  <c r="U263" i="1"/>
  <c r="P170" i="1"/>
  <c r="T175" i="1"/>
  <c r="X180" i="1"/>
  <c r="P186" i="1"/>
  <c r="U190" i="1"/>
  <c r="P194" i="1"/>
  <c r="Y196" i="1"/>
  <c r="U199" i="1"/>
  <c r="Q202" i="1"/>
  <c r="Y204" i="1"/>
  <c r="U207" i="1"/>
  <c r="Q210" i="1"/>
  <c r="Y212" i="1"/>
  <c r="U215" i="1"/>
  <c r="Q218" i="1"/>
  <c r="Y220" i="1"/>
  <c r="U223" i="1"/>
  <c r="Q226" i="1"/>
  <c r="Y228" i="1"/>
  <c r="U231" i="1"/>
  <c r="Q234" i="1"/>
  <c r="V236" i="1"/>
  <c r="N238" i="1"/>
  <c r="R239" i="1"/>
  <c r="V240" i="1"/>
  <c r="N242" i="1"/>
  <c r="R243" i="1"/>
  <c r="V244" i="1"/>
  <c r="N246" i="1"/>
  <c r="R247" i="1"/>
  <c r="V248" i="1"/>
  <c r="N250" i="1"/>
  <c r="R251" i="1"/>
  <c r="V252" i="1"/>
  <c r="N254" i="1"/>
  <c r="R255" i="1"/>
  <c r="V256" i="1"/>
  <c r="N258" i="1"/>
  <c r="R259" i="1"/>
  <c r="V260" i="1"/>
  <c r="N262" i="1"/>
  <c r="R263" i="1"/>
  <c r="X166" i="1"/>
  <c r="S173" i="1"/>
  <c r="W178" i="1"/>
  <c r="O184" i="1"/>
  <c r="P189" i="1"/>
  <c r="W192" i="1"/>
  <c r="X195" i="1"/>
  <c r="T198" i="1"/>
  <c r="P201" i="1"/>
  <c r="X203" i="1"/>
  <c r="T206" i="1"/>
  <c r="P209" i="1"/>
  <c r="X211" i="1"/>
  <c r="T214" i="1"/>
  <c r="P217" i="1"/>
  <c r="X219" i="1"/>
  <c r="T222" i="1"/>
  <c r="P225" i="1"/>
  <c r="X227" i="1"/>
  <c r="T230" i="1"/>
  <c r="P233" i="1"/>
  <c r="X235" i="1"/>
  <c r="S237" i="1"/>
  <c r="W238" i="1"/>
  <c r="O240" i="1"/>
  <c r="S241" i="1"/>
  <c r="W242" i="1"/>
  <c r="O244" i="1"/>
  <c r="S245" i="1"/>
  <c r="W246" i="1"/>
  <c r="O248" i="1"/>
  <c r="S249" i="1"/>
  <c r="W250" i="1"/>
  <c r="O252" i="1"/>
  <c r="S253" i="1"/>
  <c r="W254" i="1"/>
  <c r="O256" i="1"/>
  <c r="S257" i="1"/>
  <c r="W258" i="1"/>
  <c r="O260" i="1"/>
  <c r="S261" i="1"/>
  <c r="W262" i="1"/>
  <c r="O264" i="1"/>
  <c r="S265" i="1"/>
  <c r="W266" i="1"/>
  <c r="O268" i="1"/>
  <c r="S269" i="1"/>
  <c r="W270" i="1"/>
  <c r="O272" i="1"/>
  <c r="S273" i="1"/>
  <c r="W274" i="1"/>
  <c r="O276" i="1"/>
  <c r="S277" i="1"/>
  <c r="W278" i="1"/>
  <c r="O280" i="1"/>
  <c r="S281" i="1"/>
  <c r="W282" i="1"/>
  <c r="O284" i="1"/>
  <c r="S285" i="1"/>
  <c r="W286" i="1"/>
  <c r="O288" i="1"/>
  <c r="P122" i="1"/>
  <c r="W140" i="1"/>
  <c r="Q147" i="1"/>
  <c r="X138" i="1"/>
  <c r="N167" i="1"/>
  <c r="R188" i="1"/>
  <c r="V194" i="1"/>
  <c r="N216" i="1"/>
  <c r="X169" i="1"/>
  <c r="O202" i="1"/>
  <c r="S218" i="1"/>
  <c r="O226" i="1"/>
  <c r="W232" i="1"/>
  <c r="W172" i="1"/>
  <c r="Q192" i="1"/>
  <c r="T203" i="1"/>
  <c r="P214" i="1"/>
  <c r="X224" i="1"/>
  <c r="T235" i="1"/>
  <c r="Q241" i="1"/>
  <c r="U246" i="1"/>
  <c r="Y251" i="1"/>
  <c r="Q257" i="1"/>
  <c r="U262" i="1"/>
  <c r="P182" i="1"/>
  <c r="U197" i="1"/>
  <c r="Q208" i="1"/>
  <c r="Y218" i="1"/>
  <c r="U229" i="1"/>
  <c r="R238" i="1"/>
  <c r="V243" i="1"/>
  <c r="N249" i="1"/>
  <c r="R254" i="1"/>
  <c r="V259" i="1"/>
  <c r="S169" i="1"/>
  <c r="O190" i="1"/>
  <c r="X201" i="1"/>
  <c r="T212" i="1"/>
  <c r="P223" i="1"/>
  <c r="X233" i="1"/>
  <c r="S240" i="1"/>
  <c r="W245" i="1"/>
  <c r="O251" i="1"/>
  <c r="W253" i="1"/>
  <c r="S255" i="1"/>
  <c r="O257" i="1"/>
  <c r="O259" i="1"/>
  <c r="W260" i="1"/>
  <c r="S262" i="1"/>
  <c r="S264" i="1"/>
  <c r="O266" i="1"/>
  <c r="W267" i="1"/>
  <c r="W269" i="1"/>
  <c r="S271" i="1"/>
  <c r="O273" i="1"/>
  <c r="O275" i="1"/>
  <c r="W276" i="1"/>
  <c r="S278" i="1"/>
  <c r="S280" i="1"/>
  <c r="O282" i="1"/>
  <c r="W283" i="1"/>
  <c r="W285" i="1"/>
  <c r="S287" i="1"/>
  <c r="O289" i="1"/>
  <c r="S290" i="1"/>
  <c r="W291" i="1"/>
  <c r="O293" i="1"/>
  <c r="T169" i="1"/>
  <c r="X174" i="1"/>
  <c r="P180" i="1"/>
  <c r="T185" i="1"/>
  <c r="P190" i="1"/>
  <c r="W193" i="1"/>
  <c r="U196" i="1"/>
  <c r="Q199" i="1"/>
  <c r="Y201" i="1"/>
  <c r="U204" i="1"/>
  <c r="Q207" i="1"/>
  <c r="Y209" i="1"/>
  <c r="U212" i="1"/>
  <c r="Q215" i="1"/>
  <c r="Y217" i="1"/>
  <c r="U220" i="1"/>
  <c r="Q223" i="1"/>
  <c r="Y225" i="1"/>
  <c r="U228" i="1"/>
  <c r="Q231" i="1"/>
  <c r="Y233" i="1"/>
  <c r="T236" i="1"/>
  <c r="X237" i="1"/>
  <c r="P239" i="1"/>
  <c r="T240" i="1"/>
  <c r="X241" i="1"/>
  <c r="P243" i="1"/>
  <c r="T244" i="1"/>
  <c r="X245" i="1"/>
  <c r="P247" i="1"/>
  <c r="T248" i="1"/>
  <c r="X249" i="1"/>
  <c r="P251" i="1"/>
  <c r="T252" i="1"/>
  <c r="X253" i="1"/>
  <c r="P255" i="1"/>
  <c r="T256" i="1"/>
  <c r="X257" i="1"/>
  <c r="P259" i="1"/>
  <c r="T260" i="1"/>
  <c r="X261" i="1"/>
  <c r="P263" i="1"/>
  <c r="T264" i="1"/>
  <c r="X265" i="1"/>
  <c r="P267" i="1"/>
  <c r="T268" i="1"/>
  <c r="X269" i="1"/>
  <c r="P271" i="1"/>
  <c r="T272" i="1"/>
  <c r="X273" i="1"/>
  <c r="P275" i="1"/>
  <c r="T276" i="1"/>
  <c r="X277" i="1"/>
  <c r="P279" i="1"/>
  <c r="T280" i="1"/>
  <c r="X281" i="1"/>
  <c r="P283" i="1"/>
  <c r="T284" i="1"/>
  <c r="X285" i="1"/>
  <c r="P287" i="1"/>
  <c r="T288" i="1"/>
  <c r="X289" i="1"/>
  <c r="P291" i="1"/>
  <c r="T292" i="1"/>
  <c r="X293" i="1"/>
  <c r="P295" i="1"/>
  <c r="T296" i="1"/>
  <c r="X297" i="1"/>
  <c r="P299" i="1"/>
  <c r="T300" i="1"/>
  <c r="X301" i="1"/>
  <c r="P303" i="1"/>
  <c r="T304" i="1"/>
  <c r="X305" i="1"/>
  <c r="R266" i="1"/>
  <c r="N269" i="1"/>
  <c r="V271" i="1"/>
  <c r="R274" i="1"/>
  <c r="N277" i="1"/>
  <c r="V279" i="1"/>
  <c r="R282" i="1"/>
  <c r="N285" i="1"/>
  <c r="V287" i="1"/>
  <c r="R290" i="1"/>
  <c r="N293" i="1"/>
  <c r="O295" i="1"/>
  <c r="Y296" i="1"/>
  <c r="V298" i="1"/>
  <c r="S300" i="1"/>
  <c r="Q302" i="1"/>
  <c r="N304" i="1"/>
  <c r="W305" i="1"/>
  <c r="P307" i="1"/>
  <c r="T308" i="1"/>
  <c r="X309" i="1"/>
  <c r="P311" i="1"/>
  <c r="T312" i="1"/>
  <c r="X313" i="1"/>
  <c r="P315" i="1"/>
  <c r="T316" i="1"/>
  <c r="X317" i="1"/>
  <c r="P319" i="1"/>
  <c r="T320" i="1"/>
  <c r="X321" i="1"/>
  <c r="P323" i="1"/>
  <c r="T324" i="1"/>
  <c r="U266" i="1"/>
  <c r="Q269" i="1"/>
  <c r="Y271" i="1"/>
  <c r="U274" i="1"/>
  <c r="Q277" i="1"/>
  <c r="Y279" i="1"/>
  <c r="U282" i="1"/>
  <c r="Q285" i="1"/>
  <c r="Y287" i="1"/>
  <c r="U290" i="1"/>
  <c r="Q293" i="1"/>
  <c r="Q295" i="1"/>
  <c r="N297" i="1"/>
  <c r="W298" i="1"/>
  <c r="U300" i="1"/>
  <c r="R302" i="1"/>
  <c r="O304" i="1"/>
  <c r="Y305" i="1"/>
  <c r="Q307" i="1"/>
  <c r="U308" i="1"/>
  <c r="Y309" i="1"/>
  <c r="Q311" i="1"/>
  <c r="U312" i="1"/>
  <c r="Y313" i="1"/>
  <c r="Q315" i="1"/>
  <c r="U316" i="1"/>
  <c r="Y317" i="1"/>
  <c r="Q319" i="1"/>
  <c r="U320" i="1"/>
  <c r="R265" i="1"/>
  <c r="N268" i="1"/>
  <c r="V270" i="1"/>
  <c r="R273" i="1"/>
  <c r="N276" i="1"/>
  <c r="V278" i="1"/>
  <c r="R281" i="1"/>
  <c r="N284" i="1"/>
  <c r="V286" i="1"/>
  <c r="R289" i="1"/>
  <c r="N292" i="1"/>
  <c r="S294" i="1"/>
  <c r="Q296" i="1"/>
  <c r="N298" i="1"/>
  <c r="W299" i="1"/>
  <c r="U301" i="1"/>
  <c r="R303" i="1"/>
  <c r="O305" i="1"/>
  <c r="V306" i="1"/>
  <c r="N308" i="1"/>
  <c r="R309" i="1"/>
  <c r="V310" i="1"/>
  <c r="N312" i="1"/>
  <c r="R313" i="1"/>
  <c r="V314" i="1"/>
  <c r="N316" i="1"/>
  <c r="R317" i="1"/>
  <c r="V318" i="1"/>
  <c r="N320" i="1"/>
  <c r="R321" i="1"/>
  <c r="V322" i="1"/>
  <c r="N324" i="1"/>
  <c r="R325" i="1"/>
  <c r="V326" i="1"/>
  <c r="N328" i="1"/>
  <c r="R329" i="1"/>
  <c r="V330" i="1"/>
  <c r="N332" i="1"/>
  <c r="R333" i="1"/>
  <c r="V334" i="1"/>
  <c r="N336" i="1"/>
  <c r="R337" i="1"/>
  <c r="V338" i="1"/>
  <c r="N340" i="1"/>
  <c r="R341" i="1"/>
  <c r="V342" i="1"/>
  <c r="N344" i="1"/>
  <c r="R345" i="1"/>
  <c r="V346" i="1"/>
  <c r="N348" i="1"/>
  <c r="R349" i="1"/>
  <c r="V350" i="1"/>
  <c r="N352" i="1"/>
  <c r="R353" i="1"/>
  <c r="V354" i="1"/>
  <c r="N356" i="1"/>
  <c r="R357" i="1"/>
  <c r="V358" i="1"/>
  <c r="N360" i="1"/>
  <c r="R361" i="1"/>
  <c r="V362" i="1"/>
  <c r="N364" i="1"/>
  <c r="R365" i="1"/>
  <c r="V366" i="1"/>
  <c r="N368" i="1"/>
  <c r="R369" i="1"/>
  <c r="V370" i="1"/>
  <c r="N372" i="1"/>
  <c r="R373" i="1"/>
  <c r="V374" i="1"/>
  <c r="N376" i="1"/>
  <c r="R377" i="1"/>
  <c r="V378" i="1"/>
  <c r="N380" i="1"/>
  <c r="R381" i="1"/>
  <c r="V382" i="1"/>
  <c r="N384" i="1"/>
  <c r="R385" i="1"/>
  <c r="V386" i="1"/>
  <c r="N388" i="1"/>
  <c r="R389" i="1"/>
  <c r="V390" i="1"/>
  <c r="N392" i="1"/>
  <c r="R393" i="1"/>
  <c r="Y264" i="1"/>
  <c r="U267" i="1"/>
  <c r="Q270" i="1"/>
  <c r="Y272" i="1"/>
  <c r="U275" i="1"/>
  <c r="Q278" i="1"/>
  <c r="Y280" i="1"/>
  <c r="U283" i="1"/>
  <c r="Q286" i="1"/>
  <c r="Y288" i="1"/>
  <c r="U291" i="1"/>
  <c r="O294" i="1"/>
  <c r="Y295" i="1"/>
  <c r="V297" i="1"/>
  <c r="S299" i="1"/>
  <c r="Q301" i="1"/>
  <c r="N303" i="1"/>
  <c r="W304" i="1"/>
  <c r="S306" i="1"/>
  <c r="W307" i="1"/>
  <c r="O309" i="1"/>
  <c r="S310" i="1"/>
  <c r="W311" i="1"/>
  <c r="O313" i="1"/>
  <c r="S314" i="1"/>
  <c r="W315" i="1"/>
  <c r="O317" i="1"/>
  <c r="S318" i="1"/>
  <c r="W319" i="1"/>
  <c r="O321" i="1"/>
  <c r="S322" i="1"/>
  <c r="W323" i="1"/>
  <c r="O325" i="1"/>
  <c r="S326" i="1"/>
  <c r="W327" i="1"/>
  <c r="O329" i="1"/>
  <c r="S330" i="1"/>
  <c r="W331" i="1"/>
  <c r="O333" i="1"/>
  <c r="S334" i="1"/>
  <c r="W335" i="1"/>
  <c r="O337" i="1"/>
  <c r="S338" i="1"/>
  <c r="W339" i="1"/>
  <c r="O341" i="1"/>
  <c r="S342" i="1"/>
  <c r="W343" i="1"/>
  <c r="O345" i="1"/>
  <c r="S346" i="1"/>
  <c r="W347" i="1"/>
  <c r="O349" i="1"/>
  <c r="S350" i="1"/>
  <c r="R125" i="1"/>
  <c r="U137" i="1"/>
  <c r="Q171" i="1"/>
  <c r="T149" i="1"/>
  <c r="R172" i="1"/>
  <c r="V193" i="1"/>
  <c r="N200" i="1"/>
  <c r="R221" i="1"/>
  <c r="T180" i="1"/>
  <c r="S207" i="1"/>
  <c r="W220" i="1"/>
  <c r="W227" i="1"/>
  <c r="O234" i="1"/>
  <c r="O178" i="1"/>
  <c r="T195" i="1"/>
  <c r="P206" i="1"/>
  <c r="X216" i="1"/>
  <c r="T227" i="1"/>
  <c r="Q237" i="1"/>
  <c r="U242" i="1"/>
  <c r="Y247" i="1"/>
  <c r="Q253" i="1"/>
  <c r="U258" i="1"/>
  <c r="Y263" i="1"/>
  <c r="T187" i="1"/>
  <c r="Q200" i="1"/>
  <c r="Y210" i="1"/>
  <c r="U221" i="1"/>
  <c r="Q232" i="1"/>
  <c r="V239" i="1"/>
  <c r="N245" i="1"/>
  <c r="R250" i="1"/>
  <c r="V255" i="1"/>
  <c r="N261" i="1"/>
  <c r="W174" i="1"/>
  <c r="U193" i="1"/>
  <c r="T204" i="1"/>
  <c r="P215" i="1"/>
  <c r="X225" i="1"/>
  <c r="R236" i="1"/>
  <c r="W241" i="1"/>
  <c r="O247" i="1"/>
  <c r="S252" i="1"/>
  <c r="O254" i="1"/>
  <c r="W255" i="1"/>
  <c r="W257" i="1"/>
  <c r="S259" i="1"/>
  <c r="O261" i="1"/>
  <c r="O263" i="1"/>
  <c r="W264" i="1"/>
  <c r="S266" i="1"/>
  <c r="S268" i="1"/>
  <c r="O270" i="1"/>
  <c r="W271" i="1"/>
  <c r="W273" i="1"/>
  <c r="S275" i="1"/>
  <c r="O277" i="1"/>
  <c r="O279" i="1"/>
  <c r="W280" i="1"/>
  <c r="S282" i="1"/>
  <c r="S284" i="1"/>
  <c r="O286" i="1"/>
  <c r="W287" i="1"/>
  <c r="S289" i="1"/>
  <c r="W290" i="1"/>
  <c r="O292" i="1"/>
  <c r="S293" i="1"/>
  <c r="X170" i="1"/>
  <c r="P176" i="1"/>
  <c r="T181" i="1"/>
  <c r="X186" i="1"/>
  <c r="O191" i="1"/>
  <c r="U194" i="1"/>
  <c r="Q197" i="1"/>
  <c r="Y199" i="1"/>
  <c r="U202" i="1"/>
  <c r="Q205" i="1"/>
  <c r="Y207" i="1"/>
  <c r="U210" i="1"/>
  <c r="Q213" i="1"/>
  <c r="Y215" i="1"/>
  <c r="U218" i="1"/>
  <c r="Q221" i="1"/>
  <c r="Y223" i="1"/>
  <c r="U226" i="1"/>
  <c r="Q229" i="1"/>
  <c r="Y231" i="1"/>
  <c r="U234" i="1"/>
  <c r="X236" i="1"/>
  <c r="P238" i="1"/>
  <c r="T239" i="1"/>
  <c r="X240" i="1"/>
  <c r="P242" i="1"/>
  <c r="T243" i="1"/>
  <c r="X244" i="1"/>
  <c r="P246" i="1"/>
  <c r="T247" i="1"/>
  <c r="X248" i="1"/>
  <c r="P250" i="1"/>
  <c r="T251" i="1"/>
  <c r="X252" i="1"/>
  <c r="P254" i="1"/>
  <c r="T255" i="1"/>
  <c r="X256" i="1"/>
  <c r="P258" i="1"/>
  <c r="T259" i="1"/>
  <c r="X260" i="1"/>
  <c r="P262" i="1"/>
  <c r="T263" i="1"/>
  <c r="X264" i="1"/>
  <c r="P266" i="1"/>
  <c r="T267" i="1"/>
  <c r="X268" i="1"/>
  <c r="P270" i="1"/>
  <c r="T271" i="1"/>
  <c r="X272" i="1"/>
  <c r="P274" i="1"/>
  <c r="T275" i="1"/>
  <c r="X276" i="1"/>
  <c r="P278" i="1"/>
  <c r="T279" i="1"/>
  <c r="X280" i="1"/>
  <c r="P282" i="1"/>
  <c r="T283" i="1"/>
  <c r="X284" i="1"/>
  <c r="P286" i="1"/>
  <c r="T287" i="1"/>
  <c r="X288" i="1"/>
  <c r="P290" i="1"/>
  <c r="T291" i="1"/>
  <c r="X292" i="1"/>
  <c r="P294" i="1"/>
  <c r="T295" i="1"/>
  <c r="X296" i="1"/>
  <c r="P298" i="1"/>
  <c r="T299" i="1"/>
  <c r="X300" i="1"/>
  <c r="P302" i="1"/>
  <c r="T303" i="1"/>
  <c r="X304" i="1"/>
  <c r="Q264" i="1"/>
  <c r="N267" i="1"/>
  <c r="V269" i="1"/>
  <c r="R272" i="1"/>
  <c r="N275" i="1"/>
  <c r="V277" i="1"/>
  <c r="R280" i="1"/>
  <c r="N283" i="1"/>
  <c r="V285" i="1"/>
  <c r="R288" i="1"/>
  <c r="N291" i="1"/>
  <c r="V293" i="1"/>
  <c r="U295" i="1"/>
  <c r="R297" i="1"/>
  <c r="O299" i="1"/>
  <c r="Y300" i="1"/>
  <c r="V302" i="1"/>
  <c r="S304" i="1"/>
  <c r="P306" i="1"/>
  <c r="T307" i="1"/>
  <c r="X308" i="1"/>
  <c r="P310" i="1"/>
  <c r="T311" i="1"/>
  <c r="X312" i="1"/>
  <c r="P314" i="1"/>
  <c r="T315" i="1"/>
  <c r="X316" i="1"/>
  <c r="P318" i="1"/>
  <c r="T319" i="1"/>
  <c r="X320" i="1"/>
  <c r="P322" i="1"/>
  <c r="T323" i="1"/>
  <c r="U264" i="1"/>
  <c r="Q267" i="1"/>
  <c r="Y269" i="1"/>
  <c r="U272" i="1"/>
  <c r="Q275" i="1"/>
  <c r="Y277" i="1"/>
  <c r="U280" i="1"/>
  <c r="Q283" i="1"/>
  <c r="Y285" i="1"/>
  <c r="U288" i="1"/>
  <c r="Q291" i="1"/>
  <c r="Y293" i="1"/>
  <c r="V295" i="1"/>
  <c r="S297" i="1"/>
  <c r="Q299" i="1"/>
  <c r="N301" i="1"/>
  <c r="W302" i="1"/>
  <c r="U304" i="1"/>
  <c r="Q306" i="1"/>
  <c r="U307" i="1"/>
  <c r="Y308" i="1"/>
  <c r="Q310" i="1"/>
  <c r="U311" i="1"/>
  <c r="Y312" i="1"/>
  <c r="Q314" i="1"/>
  <c r="U315" i="1"/>
  <c r="Y316" i="1"/>
  <c r="Q318" i="1"/>
  <c r="U319" i="1"/>
  <c r="Y320" i="1"/>
  <c r="N266" i="1"/>
  <c r="V268" i="1"/>
  <c r="R271" i="1"/>
  <c r="N274" i="1"/>
  <c r="V276" i="1"/>
  <c r="R279" i="1"/>
  <c r="N282" i="1"/>
  <c r="V284" i="1"/>
  <c r="R287" i="1"/>
  <c r="N290" i="1"/>
  <c r="V292" i="1"/>
  <c r="Y294" i="1"/>
  <c r="V296" i="1"/>
  <c r="S298" i="1"/>
  <c r="Q300" i="1"/>
  <c r="N302" i="1"/>
  <c r="W303" i="1"/>
  <c r="U305" i="1"/>
  <c r="N307" i="1"/>
  <c r="R308" i="1"/>
  <c r="V309" i="1"/>
  <c r="N311" i="1"/>
  <c r="R312" i="1"/>
  <c r="V313" i="1"/>
  <c r="N315" i="1"/>
  <c r="R316" i="1"/>
  <c r="V317" i="1"/>
  <c r="N319" i="1"/>
  <c r="R320" i="1"/>
  <c r="V321" i="1"/>
  <c r="N323" i="1"/>
  <c r="R324" i="1"/>
  <c r="V325" i="1"/>
  <c r="N327" i="1"/>
  <c r="R328" i="1"/>
  <c r="V329" i="1"/>
  <c r="N331" i="1"/>
  <c r="R332" i="1"/>
  <c r="V333" i="1"/>
  <c r="N335" i="1"/>
  <c r="R336" i="1"/>
  <c r="V337" i="1"/>
  <c r="N339" i="1"/>
  <c r="R340" i="1"/>
  <c r="V341" i="1"/>
  <c r="N343" i="1"/>
  <c r="R344" i="1"/>
  <c r="V345" i="1"/>
  <c r="N347" i="1"/>
  <c r="R348" i="1"/>
  <c r="V349" i="1"/>
  <c r="N351" i="1"/>
  <c r="R352" i="1"/>
  <c r="V353" i="1"/>
  <c r="N355" i="1"/>
  <c r="R356" i="1"/>
  <c r="V357" i="1"/>
  <c r="N359" i="1"/>
  <c r="R360" i="1"/>
  <c r="V361" i="1"/>
  <c r="N363" i="1"/>
  <c r="R364" i="1"/>
  <c r="V365" i="1"/>
  <c r="N367" i="1"/>
  <c r="R368" i="1"/>
  <c r="V369" i="1"/>
  <c r="N371" i="1"/>
  <c r="R372" i="1"/>
  <c r="V373" i="1"/>
  <c r="N375" i="1"/>
  <c r="R376" i="1"/>
  <c r="V377" i="1"/>
  <c r="N379" i="1"/>
  <c r="R380" i="1"/>
  <c r="V381" i="1"/>
  <c r="N383" i="1"/>
  <c r="R384" i="1"/>
  <c r="V385" i="1"/>
  <c r="N387" i="1"/>
  <c r="R388" i="1"/>
  <c r="V389" i="1"/>
  <c r="N391" i="1"/>
  <c r="R392" i="1"/>
  <c r="V393" i="1"/>
  <c r="U265" i="1"/>
  <c r="Q268" i="1"/>
  <c r="Y270" i="1"/>
  <c r="U273" i="1"/>
  <c r="Q276" i="1"/>
  <c r="Y278" i="1"/>
  <c r="U281" i="1"/>
  <c r="Q284" i="1"/>
  <c r="Y286" i="1"/>
  <c r="U289" i="1"/>
  <c r="Q292" i="1"/>
  <c r="U294" i="1"/>
  <c r="R296" i="1"/>
  <c r="O298" i="1"/>
  <c r="Y299" i="1"/>
  <c r="V301" i="1"/>
  <c r="S303" i="1"/>
  <c r="Q305" i="1"/>
  <c r="W306" i="1"/>
  <c r="O308" i="1"/>
  <c r="S309" i="1"/>
  <c r="W310" i="1"/>
  <c r="O312" i="1"/>
  <c r="S313" i="1"/>
  <c r="W314" i="1"/>
  <c r="O316" i="1"/>
  <c r="S317" i="1"/>
  <c r="W318" i="1"/>
  <c r="O320" i="1"/>
  <c r="S321" i="1"/>
  <c r="W322" i="1"/>
  <c r="O324" i="1"/>
  <c r="S325" i="1"/>
  <c r="W326" i="1"/>
  <c r="O328" i="1"/>
  <c r="S329" i="1"/>
  <c r="W330" i="1"/>
  <c r="O332" i="1"/>
  <c r="S333" i="1"/>
  <c r="W334" i="1"/>
  <c r="O336" i="1"/>
  <c r="S337" i="1"/>
  <c r="W338" i="1"/>
  <c r="O340" i="1"/>
  <c r="S341" i="1"/>
  <c r="W342" i="1"/>
  <c r="O344" i="1"/>
  <c r="S345" i="1"/>
  <c r="W346" i="1"/>
  <c r="O348" i="1"/>
  <c r="S349" i="1"/>
  <c r="W350" i="1"/>
  <c r="O352" i="1"/>
  <c r="S353" i="1"/>
  <c r="W354" i="1"/>
  <c r="V146" i="1"/>
  <c r="S166" i="1"/>
  <c r="Y185" i="1"/>
  <c r="R156" i="1"/>
  <c r="V177" i="1"/>
  <c r="S176" i="1"/>
  <c r="R205" i="1"/>
  <c r="V226" i="1"/>
  <c r="S190" i="1"/>
  <c r="W212" i="1"/>
  <c r="S222" i="1"/>
  <c r="S229" i="1"/>
  <c r="S235" i="1"/>
  <c r="S183" i="1"/>
  <c r="P198" i="1"/>
  <c r="X208" i="1"/>
  <c r="T219" i="1"/>
  <c r="P230" i="1"/>
  <c r="U238" i="1"/>
  <c r="Y243" i="1"/>
  <c r="Q249" i="1"/>
  <c r="U254" i="1"/>
  <c r="Y259" i="1"/>
  <c r="T171" i="1"/>
  <c r="T191" i="1"/>
  <c r="Y202" i="1"/>
  <c r="U213" i="1"/>
  <c r="Q224" i="1"/>
  <c r="Y234" i="1"/>
  <c r="N241" i="1"/>
  <c r="R246" i="1"/>
  <c r="V251" i="1"/>
  <c r="N257" i="1"/>
  <c r="R262" i="1"/>
  <c r="O180" i="1"/>
  <c r="T196" i="1"/>
  <c r="P207" i="1"/>
  <c r="X217" i="1"/>
  <c r="T228" i="1"/>
  <c r="W237" i="1"/>
  <c r="O243" i="1"/>
  <c r="S248" i="1"/>
  <c r="W252" i="1"/>
  <c r="S254" i="1"/>
  <c r="S256" i="1"/>
  <c r="O258" i="1"/>
  <c r="W259" i="1"/>
  <c r="W261" i="1"/>
  <c r="S263" i="1"/>
  <c r="O265" i="1"/>
  <c r="O267" i="1"/>
  <c r="W268" i="1"/>
  <c r="S270" i="1"/>
  <c r="S272" i="1"/>
  <c r="O274" i="1"/>
  <c r="W275" i="1"/>
  <c r="W277" i="1"/>
  <c r="S279" i="1"/>
  <c r="O281" i="1"/>
  <c r="O283" i="1"/>
  <c r="W284" i="1"/>
  <c r="S286" i="1"/>
  <c r="S288" i="1"/>
  <c r="W289" i="1"/>
  <c r="O291" i="1"/>
  <c r="S292" i="1"/>
  <c r="W293" i="1"/>
  <c r="P172" i="1"/>
  <c r="T177" i="1"/>
  <c r="X182" i="1"/>
  <c r="P188" i="1"/>
  <c r="Y191" i="1"/>
  <c r="Q195" i="1"/>
  <c r="Y197" i="1"/>
  <c r="U200" i="1"/>
  <c r="Q203" i="1"/>
  <c r="Y205" i="1"/>
  <c r="U208" i="1"/>
  <c r="Q211" i="1"/>
  <c r="Y213" i="1"/>
  <c r="U216" i="1"/>
  <c r="Q219" i="1"/>
  <c r="Y221" i="1"/>
  <c r="U224" i="1"/>
  <c r="Q227" i="1"/>
  <c r="Y229" i="1"/>
  <c r="U232" i="1"/>
  <c r="Q235" i="1"/>
  <c r="P237" i="1"/>
  <c r="T238" i="1"/>
  <c r="X239" i="1"/>
  <c r="P241" i="1"/>
  <c r="T242" i="1"/>
  <c r="X243" i="1"/>
  <c r="P245" i="1"/>
  <c r="T246" i="1"/>
  <c r="X247" i="1"/>
  <c r="P249" i="1"/>
  <c r="T250" i="1"/>
  <c r="X251" i="1"/>
  <c r="P253" i="1"/>
  <c r="T254" i="1"/>
  <c r="X255" i="1"/>
  <c r="P257" i="1"/>
  <c r="T258" i="1"/>
  <c r="X259" i="1"/>
  <c r="P261" i="1"/>
  <c r="T262" i="1"/>
  <c r="X263" i="1"/>
  <c r="P265" i="1"/>
  <c r="T266" i="1"/>
  <c r="X267" i="1"/>
  <c r="P269" i="1"/>
  <c r="T270" i="1"/>
  <c r="X271" i="1"/>
  <c r="P273" i="1"/>
  <c r="T274" i="1"/>
  <c r="X275" i="1"/>
  <c r="P277" i="1"/>
  <c r="T278" i="1"/>
  <c r="X279" i="1"/>
  <c r="P281" i="1"/>
  <c r="T282" i="1"/>
  <c r="X283" i="1"/>
  <c r="P285" i="1"/>
  <c r="T286" i="1"/>
  <c r="X287" i="1"/>
  <c r="P289" i="1"/>
  <c r="T290" i="1"/>
  <c r="X291" i="1"/>
  <c r="P293" i="1"/>
  <c r="T294" i="1"/>
  <c r="X295" i="1"/>
  <c r="P297" i="1"/>
  <c r="T298" i="1"/>
  <c r="X299" i="1"/>
  <c r="P301" i="1"/>
  <c r="T302" i="1"/>
  <c r="X303" i="1"/>
  <c r="P305" i="1"/>
  <c r="N265" i="1"/>
  <c r="V267" i="1"/>
  <c r="R270" i="1"/>
  <c r="N273" i="1"/>
  <c r="V275" i="1"/>
  <c r="R278" i="1"/>
  <c r="N281" i="1"/>
  <c r="V283" i="1"/>
  <c r="R286" i="1"/>
  <c r="N289" i="1"/>
  <c r="V291" i="1"/>
  <c r="Q294" i="1"/>
  <c r="N296" i="1"/>
  <c r="W297" i="1"/>
  <c r="U299" i="1"/>
  <c r="R301" i="1"/>
  <c r="O303" i="1"/>
  <c r="Y304" i="1"/>
  <c r="T306" i="1"/>
  <c r="X307" i="1"/>
  <c r="P309" i="1"/>
  <c r="T310" i="1"/>
  <c r="X311" i="1"/>
  <c r="P313" i="1"/>
  <c r="T314" i="1"/>
  <c r="X315" i="1"/>
  <c r="P317" i="1"/>
  <c r="T318" i="1"/>
  <c r="X319" i="1"/>
  <c r="P321" i="1"/>
  <c r="T322" i="1"/>
  <c r="X323" i="1"/>
  <c r="Q265" i="1"/>
  <c r="Y267" i="1"/>
  <c r="U270" i="1"/>
  <c r="Q273" i="1"/>
  <c r="Y275" i="1"/>
  <c r="U278" i="1"/>
  <c r="Q281" i="1"/>
  <c r="Y283" i="1"/>
  <c r="U286" i="1"/>
  <c r="Q289" i="1"/>
  <c r="Y291" i="1"/>
  <c r="R294" i="1"/>
  <c r="O296" i="1"/>
  <c r="Y297" i="1"/>
  <c r="V299" i="1"/>
  <c r="S301" i="1"/>
  <c r="Q303" i="1"/>
  <c r="N305" i="1"/>
  <c r="U306" i="1"/>
  <c r="Y307" i="1"/>
  <c r="Q309" i="1"/>
  <c r="U310" i="1"/>
  <c r="Y311" i="1"/>
  <c r="Q313" i="1"/>
  <c r="U314" i="1"/>
  <c r="Y315" i="1"/>
  <c r="Q317" i="1"/>
  <c r="U318" i="1"/>
  <c r="Y319" i="1"/>
  <c r="Q321" i="1"/>
  <c r="V266" i="1"/>
  <c r="R269" i="1"/>
  <c r="N272" i="1"/>
  <c r="V274" i="1"/>
  <c r="R277" i="1"/>
  <c r="N280" i="1"/>
  <c r="V282" i="1"/>
  <c r="R285" i="1"/>
  <c r="N288" i="1"/>
  <c r="V290" i="1"/>
  <c r="R293" i="1"/>
  <c r="R295" i="1"/>
  <c r="O297" i="1"/>
  <c r="Y298" i="1"/>
  <c r="V300" i="1"/>
  <c r="S302" i="1"/>
  <c r="Q304" i="1"/>
  <c r="N306" i="1"/>
  <c r="R307" i="1"/>
  <c r="V308" i="1"/>
  <c r="N310" i="1"/>
  <c r="R311" i="1"/>
  <c r="V312" i="1"/>
  <c r="N314" i="1"/>
  <c r="R315" i="1"/>
  <c r="V316" i="1"/>
  <c r="N318" i="1"/>
  <c r="R319" i="1"/>
  <c r="V320" i="1"/>
  <c r="N322" i="1"/>
  <c r="R323" i="1"/>
  <c r="V324" i="1"/>
  <c r="N326" i="1"/>
  <c r="R327" i="1"/>
  <c r="V328" i="1"/>
  <c r="N330" i="1"/>
  <c r="R331" i="1"/>
  <c r="V332" i="1"/>
  <c r="N334" i="1"/>
  <c r="R335" i="1"/>
  <c r="V336" i="1"/>
  <c r="N338" i="1"/>
  <c r="R339" i="1"/>
  <c r="V340" i="1"/>
  <c r="N342" i="1"/>
  <c r="R343" i="1"/>
  <c r="V344" i="1"/>
  <c r="N346" i="1"/>
  <c r="R347" i="1"/>
  <c r="V348" i="1"/>
  <c r="N350" i="1"/>
  <c r="R351" i="1"/>
  <c r="V352" i="1"/>
  <c r="N354" i="1"/>
  <c r="R355" i="1"/>
  <c r="V356" i="1"/>
  <c r="N358" i="1"/>
  <c r="R359" i="1"/>
  <c r="V360" i="1"/>
  <c r="N362" i="1"/>
  <c r="R363" i="1"/>
  <c r="V364" i="1"/>
  <c r="N366" i="1"/>
  <c r="R367" i="1"/>
  <c r="V368" i="1"/>
  <c r="N370" i="1"/>
  <c r="R371" i="1"/>
  <c r="V372" i="1"/>
  <c r="N374" i="1"/>
  <c r="R375" i="1"/>
  <c r="V376" i="1"/>
  <c r="N378" i="1"/>
  <c r="R379" i="1"/>
  <c r="V380" i="1"/>
  <c r="N382" i="1"/>
  <c r="R383" i="1"/>
  <c r="V384" i="1"/>
  <c r="N386" i="1"/>
  <c r="R387" i="1"/>
  <c r="V388" i="1"/>
  <c r="N390" i="1"/>
  <c r="R391" i="1"/>
  <c r="V392" i="1"/>
  <c r="N394" i="1"/>
  <c r="Q266" i="1"/>
  <c r="Y268" i="1"/>
  <c r="U271" i="1"/>
  <c r="Q274" i="1"/>
  <c r="Y276" i="1"/>
  <c r="U279" i="1"/>
  <c r="Q282" i="1"/>
  <c r="Y284" i="1"/>
  <c r="U287" i="1"/>
  <c r="Q290" i="1"/>
  <c r="Y292" i="1"/>
  <c r="N295" i="1"/>
  <c r="W296" i="1"/>
  <c r="U298" i="1"/>
  <c r="R300" i="1"/>
  <c r="O302" i="1"/>
  <c r="Y303" i="1"/>
  <c r="V305" i="1"/>
  <c r="O307" i="1"/>
  <c r="S308" i="1"/>
  <c r="W309" i="1"/>
  <c r="O311" i="1"/>
  <c r="S312" i="1"/>
  <c r="W313" i="1"/>
  <c r="O315" i="1"/>
  <c r="S316" i="1"/>
  <c r="W317" i="1"/>
  <c r="O319" i="1"/>
  <c r="S320" i="1"/>
  <c r="W321" i="1"/>
  <c r="O323" i="1"/>
  <c r="S324" i="1"/>
  <c r="W325" i="1"/>
  <c r="O327" i="1"/>
  <c r="S328" i="1"/>
  <c r="W329" i="1"/>
  <c r="O331" i="1"/>
  <c r="S332" i="1"/>
  <c r="W333" i="1"/>
  <c r="O335" i="1"/>
  <c r="S336" i="1"/>
  <c r="W337" i="1"/>
  <c r="O339" i="1"/>
  <c r="S340" i="1"/>
  <c r="W341" i="1"/>
  <c r="O343" i="1"/>
  <c r="S344" i="1"/>
  <c r="W345" i="1"/>
  <c r="O347" i="1"/>
  <c r="S348" i="1"/>
  <c r="W349" i="1"/>
  <c r="O351" i="1"/>
  <c r="S352" i="1"/>
  <c r="W353" i="1"/>
  <c r="S119" i="1"/>
  <c r="N183" i="1"/>
  <c r="W196" i="1"/>
  <c r="T165" i="1"/>
  <c r="P222" i="1"/>
  <c r="U250" i="1"/>
  <c r="Y194" i="1"/>
  <c r="N237" i="1"/>
  <c r="R258" i="1"/>
  <c r="X209" i="1"/>
  <c r="S244" i="1"/>
  <c r="W256" i="1"/>
  <c r="W263" i="1"/>
  <c r="O271" i="1"/>
  <c r="O278" i="1"/>
  <c r="O285" i="1"/>
  <c r="S291" i="1"/>
  <c r="X178" i="1"/>
  <c r="Y195" i="1"/>
  <c r="U206" i="1"/>
  <c r="Q217" i="1"/>
  <c r="Y227" i="1"/>
  <c r="T237" i="1"/>
  <c r="X242" i="1"/>
  <c r="P248" i="1"/>
  <c r="T253" i="1"/>
  <c r="X258" i="1"/>
  <c r="P264" i="1"/>
  <c r="T269" i="1"/>
  <c r="X274" i="1"/>
  <c r="P280" i="1"/>
  <c r="T285" i="1"/>
  <c r="X290" i="1"/>
  <c r="P296" i="1"/>
  <c r="T301" i="1"/>
  <c r="V265" i="1"/>
  <c r="R276" i="1"/>
  <c r="N287" i="1"/>
  <c r="S296" i="1"/>
  <c r="U303" i="1"/>
  <c r="T309" i="1"/>
  <c r="X314" i="1"/>
  <c r="P320" i="1"/>
  <c r="Y265" i="1"/>
  <c r="U276" i="1"/>
  <c r="Q287" i="1"/>
  <c r="U296" i="1"/>
  <c r="V303" i="1"/>
  <c r="U309" i="1"/>
  <c r="Y314" i="1"/>
  <c r="Q320" i="1"/>
  <c r="V272" i="1"/>
  <c r="R283" i="1"/>
  <c r="N294" i="1"/>
  <c r="O301" i="1"/>
  <c r="V307" i="1"/>
  <c r="N313" i="1"/>
  <c r="R318" i="1"/>
  <c r="V323" i="1"/>
  <c r="N329" i="1"/>
  <c r="R334" i="1"/>
  <c r="V339" i="1"/>
  <c r="N345" i="1"/>
  <c r="R350" i="1"/>
  <c r="V355" i="1"/>
  <c r="N361" i="1"/>
  <c r="R366" i="1"/>
  <c r="V371" i="1"/>
  <c r="N377" i="1"/>
  <c r="R382" i="1"/>
  <c r="V387" i="1"/>
  <c r="N393" i="1"/>
  <c r="Q272" i="1"/>
  <c r="Y282" i="1"/>
  <c r="U293" i="1"/>
  <c r="W300" i="1"/>
  <c r="S307" i="1"/>
  <c r="W312" i="1"/>
  <c r="O318" i="1"/>
  <c r="S323" i="1"/>
  <c r="W328" i="1"/>
  <c r="O334" i="1"/>
  <c r="S339" i="1"/>
  <c r="W344" i="1"/>
  <c r="O350" i="1"/>
  <c r="O353" i="1"/>
  <c r="S355" i="1"/>
  <c r="W356" i="1"/>
  <c r="O358" i="1"/>
  <c r="S359" i="1"/>
  <c r="W360" i="1"/>
  <c r="O362" i="1"/>
  <c r="S363" i="1"/>
  <c r="W364" i="1"/>
  <c r="O366" i="1"/>
  <c r="S367" i="1"/>
  <c r="W368" i="1"/>
  <c r="O370" i="1"/>
  <c r="S371" i="1"/>
  <c r="W372" i="1"/>
  <c r="O374" i="1"/>
  <c r="S375" i="1"/>
  <c r="W376" i="1"/>
  <c r="O378" i="1"/>
  <c r="S379" i="1"/>
  <c r="W380" i="1"/>
  <c r="O382" i="1"/>
  <c r="S383" i="1"/>
  <c r="W384" i="1"/>
  <c r="O386" i="1"/>
  <c r="S387" i="1"/>
  <c r="W388" i="1"/>
  <c r="O390" i="1"/>
  <c r="S391" i="1"/>
  <c r="W392" i="1"/>
  <c r="O394" i="1"/>
  <c r="S395" i="1"/>
  <c r="Q324" i="1"/>
  <c r="P327" i="1"/>
  <c r="X329" i="1"/>
  <c r="T332" i="1"/>
  <c r="P335" i="1"/>
  <c r="X337" i="1"/>
  <c r="T340" i="1"/>
  <c r="P343" i="1"/>
  <c r="X345" i="1"/>
  <c r="T348" i="1"/>
  <c r="P351" i="1"/>
  <c r="X353" i="1"/>
  <c r="T356" i="1"/>
  <c r="P359" i="1"/>
  <c r="X361" i="1"/>
  <c r="T364" i="1"/>
  <c r="P367" i="1"/>
  <c r="X369" i="1"/>
  <c r="T372" i="1"/>
  <c r="P375" i="1"/>
  <c r="X377" i="1"/>
  <c r="T380" i="1"/>
  <c r="P383" i="1"/>
  <c r="X385" i="1"/>
  <c r="T388" i="1"/>
  <c r="P391" i="1"/>
  <c r="X393" i="1"/>
  <c r="X395" i="1"/>
  <c r="P397" i="1"/>
  <c r="T398" i="1"/>
  <c r="X399" i="1"/>
  <c r="P401" i="1"/>
  <c r="T402" i="1"/>
  <c r="X403" i="1"/>
  <c r="P405" i="1"/>
  <c r="T406" i="1"/>
  <c r="X407" i="1"/>
  <c r="P409" i="1"/>
  <c r="T410" i="1"/>
  <c r="X411" i="1"/>
  <c r="P413" i="1"/>
  <c r="T414" i="1"/>
  <c r="Y321" i="1"/>
  <c r="Y325" i="1"/>
  <c r="U328" i="1"/>
  <c r="Q331" i="1"/>
  <c r="Y333" i="1"/>
  <c r="U336" i="1"/>
  <c r="Q339" i="1"/>
  <c r="Y341" i="1"/>
  <c r="U344" i="1"/>
  <c r="Q347" i="1"/>
  <c r="Y349" i="1"/>
  <c r="U352" i="1"/>
  <c r="Q355" i="1"/>
  <c r="Y357" i="1"/>
  <c r="U360" i="1"/>
  <c r="Q363" i="1"/>
  <c r="Y365" i="1"/>
  <c r="U368" i="1"/>
  <c r="Q371" i="1"/>
  <c r="Y373" i="1"/>
  <c r="U376" i="1"/>
  <c r="Q379" i="1"/>
  <c r="Y381" i="1"/>
  <c r="U384" i="1"/>
  <c r="Q387" i="1"/>
  <c r="Y389" i="1"/>
  <c r="U392" i="1"/>
  <c r="N395" i="1"/>
  <c r="U396" i="1"/>
  <c r="Y397" i="1"/>
  <c r="Q399" i="1"/>
  <c r="U400" i="1"/>
  <c r="Y401" i="1"/>
  <c r="Q403" i="1"/>
  <c r="U404" i="1"/>
  <c r="Y405" i="1"/>
  <c r="Q407" i="1"/>
  <c r="U408" i="1"/>
  <c r="Y409" i="1"/>
  <c r="Q411" i="1"/>
  <c r="U412" i="1"/>
  <c r="Y413" i="1"/>
  <c r="Q415" i="1"/>
  <c r="U416" i="1"/>
  <c r="Y417" i="1"/>
  <c r="Q419" i="1"/>
  <c r="X324" i="1"/>
  <c r="T327" i="1"/>
  <c r="P330" i="1"/>
  <c r="X332" i="1"/>
  <c r="T335" i="1"/>
  <c r="P338" i="1"/>
  <c r="X340" i="1"/>
  <c r="T343" i="1"/>
  <c r="P346" i="1"/>
  <c r="X348" i="1"/>
  <c r="T351" i="1"/>
  <c r="P354" i="1"/>
  <c r="X356" i="1"/>
  <c r="T359" i="1"/>
  <c r="P362" i="1"/>
  <c r="X364" i="1"/>
  <c r="T367" i="1"/>
  <c r="P370" i="1"/>
  <c r="X372" i="1"/>
  <c r="T375" i="1"/>
  <c r="P378" i="1"/>
  <c r="X380" i="1"/>
  <c r="T383" i="1"/>
  <c r="P386" i="1"/>
  <c r="X388" i="1"/>
  <c r="T391" i="1"/>
  <c r="P394" i="1"/>
  <c r="N396" i="1"/>
  <c r="R397" i="1"/>
  <c r="V398" i="1"/>
  <c r="N400" i="1"/>
  <c r="R401" i="1"/>
  <c r="V402" i="1"/>
  <c r="N404" i="1"/>
  <c r="R405" i="1"/>
  <c r="V406" i="1"/>
  <c r="N408" i="1"/>
  <c r="R409" i="1"/>
  <c r="V410" i="1"/>
  <c r="N412" i="1"/>
  <c r="R413" i="1"/>
  <c r="V414" i="1"/>
  <c r="N416" i="1"/>
  <c r="R417" i="1"/>
  <c r="V418" i="1"/>
  <c r="N420" i="1"/>
  <c r="R421" i="1"/>
  <c r="V422" i="1"/>
  <c r="N424" i="1"/>
  <c r="R425" i="1"/>
  <c r="V426" i="1"/>
  <c r="N428" i="1"/>
  <c r="R429" i="1"/>
  <c r="V430" i="1"/>
  <c r="N432" i="1"/>
  <c r="R433" i="1"/>
  <c r="V434" i="1"/>
  <c r="N436" i="1"/>
  <c r="R437" i="1"/>
  <c r="V438" i="1"/>
  <c r="N440" i="1"/>
  <c r="R441" i="1"/>
  <c r="V442" i="1"/>
  <c r="N444" i="1"/>
  <c r="R445" i="1"/>
  <c r="V446" i="1"/>
  <c r="U322" i="1"/>
  <c r="Q326" i="1"/>
  <c r="Y328" i="1"/>
  <c r="U331" i="1"/>
  <c r="Q334" i="1"/>
  <c r="Y336" i="1"/>
  <c r="U339" i="1"/>
  <c r="Q342" i="1"/>
  <c r="Y344" i="1"/>
  <c r="U347" i="1"/>
  <c r="Q350" i="1"/>
  <c r="Y352" i="1"/>
  <c r="U355" i="1"/>
  <c r="Q358" i="1"/>
  <c r="Y360" i="1"/>
  <c r="U363" i="1"/>
  <c r="Q366" i="1"/>
  <c r="Y368" i="1"/>
  <c r="U371" i="1"/>
  <c r="Q374" i="1"/>
  <c r="Y376" i="1"/>
  <c r="U379" i="1"/>
  <c r="Q382" i="1"/>
  <c r="Y384" i="1"/>
  <c r="U387" i="1"/>
  <c r="Q390" i="1"/>
  <c r="Y392" i="1"/>
  <c r="Q395" i="1"/>
  <c r="P156" i="1"/>
  <c r="O187" i="1"/>
  <c r="W215" i="1"/>
  <c r="W188" i="1"/>
  <c r="X232" i="1"/>
  <c r="Y255" i="1"/>
  <c r="U205" i="1"/>
  <c r="R242" i="1"/>
  <c r="V263" i="1"/>
  <c r="T220" i="1"/>
  <c r="W249" i="1"/>
  <c r="S258" i="1"/>
  <c r="W265" i="1"/>
  <c r="W272" i="1"/>
  <c r="W279" i="1"/>
  <c r="O287" i="1"/>
  <c r="W292" i="1"/>
  <c r="P184" i="1"/>
  <c r="U198" i="1"/>
  <c r="Q209" i="1"/>
  <c r="Y219" i="1"/>
  <c r="U230" i="1"/>
  <c r="X238" i="1"/>
  <c r="P244" i="1"/>
  <c r="T249" i="1"/>
  <c r="X254" i="1"/>
  <c r="P260" i="1"/>
  <c r="T265" i="1"/>
  <c r="X270" i="1"/>
  <c r="P276" i="1"/>
  <c r="T281" i="1"/>
  <c r="X286" i="1"/>
  <c r="P292" i="1"/>
  <c r="T297" i="1"/>
  <c r="X302" i="1"/>
  <c r="R268" i="1"/>
  <c r="N279" i="1"/>
  <c r="V289" i="1"/>
  <c r="Q298" i="1"/>
  <c r="R305" i="1"/>
  <c r="X310" i="1"/>
  <c r="P316" i="1"/>
  <c r="T321" i="1"/>
  <c r="U268" i="1"/>
  <c r="Q279" i="1"/>
  <c r="Y289" i="1"/>
  <c r="R298" i="1"/>
  <c r="S305" i="1"/>
  <c r="Y310" i="1"/>
  <c r="Q316" i="1"/>
  <c r="V264" i="1"/>
  <c r="R275" i="1"/>
  <c r="N286" i="1"/>
  <c r="W295" i="1"/>
  <c r="Y302" i="1"/>
  <c r="N309" i="1"/>
  <c r="R314" i="1"/>
  <c r="V319" i="1"/>
  <c r="N325" i="1"/>
  <c r="R330" i="1"/>
  <c r="V335" i="1"/>
  <c r="N341" i="1"/>
  <c r="R346" i="1"/>
  <c r="V351" i="1"/>
  <c r="N357" i="1"/>
  <c r="R362" i="1"/>
  <c r="V367" i="1"/>
  <c r="N373" i="1"/>
  <c r="R378" i="1"/>
  <c r="V383" i="1"/>
  <c r="N389" i="1"/>
  <c r="R394" i="1"/>
  <c r="Y274" i="1"/>
  <c r="U285" i="1"/>
  <c r="S295" i="1"/>
  <c r="U302" i="1"/>
  <c r="W308" i="1"/>
  <c r="O314" i="1"/>
  <c r="S319" i="1"/>
  <c r="W324" i="1"/>
  <c r="O330" i="1"/>
  <c r="S335" i="1"/>
  <c r="W340" i="1"/>
  <c r="O346" i="1"/>
  <c r="S351" i="1"/>
  <c r="O354" i="1"/>
  <c r="W355" i="1"/>
  <c r="O357" i="1"/>
  <c r="S358" i="1"/>
  <c r="W359" i="1"/>
  <c r="O361" i="1"/>
  <c r="S362" i="1"/>
  <c r="W363" i="1"/>
  <c r="O365" i="1"/>
  <c r="S366" i="1"/>
  <c r="W367" i="1"/>
  <c r="O369" i="1"/>
  <c r="S370" i="1"/>
  <c r="W371" i="1"/>
  <c r="O373" i="1"/>
  <c r="S374" i="1"/>
  <c r="W375" i="1"/>
  <c r="O377" i="1"/>
  <c r="S378" i="1"/>
  <c r="W379" i="1"/>
  <c r="O381" i="1"/>
  <c r="S382" i="1"/>
  <c r="W383" i="1"/>
  <c r="O385" i="1"/>
  <c r="S386" i="1"/>
  <c r="W387" i="1"/>
  <c r="O389" i="1"/>
  <c r="S390" i="1"/>
  <c r="W391" i="1"/>
  <c r="O393" i="1"/>
  <c r="S394" i="1"/>
  <c r="W395" i="1"/>
  <c r="P325" i="1"/>
  <c r="X327" i="1"/>
  <c r="T330" i="1"/>
  <c r="P333" i="1"/>
  <c r="X335" i="1"/>
  <c r="T338" i="1"/>
  <c r="P341" i="1"/>
  <c r="X343" i="1"/>
  <c r="T346" i="1"/>
  <c r="P349" i="1"/>
  <c r="X351" i="1"/>
  <c r="T354" i="1"/>
  <c r="P357" i="1"/>
  <c r="X359" i="1"/>
  <c r="T362" i="1"/>
  <c r="P365" i="1"/>
  <c r="X367" i="1"/>
  <c r="T370" i="1"/>
  <c r="P373" i="1"/>
  <c r="X375" i="1"/>
  <c r="T378" i="1"/>
  <c r="P381" i="1"/>
  <c r="X383" i="1"/>
  <c r="T386" i="1"/>
  <c r="P389" i="1"/>
  <c r="X391" i="1"/>
  <c r="T394" i="1"/>
  <c r="P396" i="1"/>
  <c r="T397" i="1"/>
  <c r="X398" i="1"/>
  <c r="P400" i="1"/>
  <c r="T401" i="1"/>
  <c r="X402" i="1"/>
  <c r="P404" i="1"/>
  <c r="T405" i="1"/>
  <c r="X406" i="1"/>
  <c r="P408" i="1"/>
  <c r="T409" i="1"/>
  <c r="X410" i="1"/>
  <c r="P412" i="1"/>
  <c r="T413" i="1"/>
  <c r="X414" i="1"/>
  <c r="Q323" i="1"/>
  <c r="U326" i="1"/>
  <c r="Q329" i="1"/>
  <c r="Y331" i="1"/>
  <c r="U334" i="1"/>
  <c r="Q337" i="1"/>
  <c r="Y339" i="1"/>
  <c r="U342" i="1"/>
  <c r="Q345" i="1"/>
  <c r="Y347" i="1"/>
  <c r="U350" i="1"/>
  <c r="Q353" i="1"/>
  <c r="Y355" i="1"/>
  <c r="U358" i="1"/>
  <c r="Q361" i="1"/>
  <c r="Y363" i="1"/>
  <c r="U366" i="1"/>
  <c r="Q369" i="1"/>
  <c r="Y371" i="1"/>
  <c r="U374" i="1"/>
  <c r="Q377" i="1"/>
  <c r="Y379" i="1"/>
  <c r="U382" i="1"/>
  <c r="Q385" i="1"/>
  <c r="Y387" i="1"/>
  <c r="U390" i="1"/>
  <c r="Q393" i="1"/>
  <c r="T395" i="1"/>
  <c r="Y396" i="1"/>
  <c r="Q398" i="1"/>
  <c r="U399" i="1"/>
  <c r="Y400" i="1"/>
  <c r="Q402" i="1"/>
  <c r="U403" i="1"/>
  <c r="Y404" i="1"/>
  <c r="Q406" i="1"/>
  <c r="U407" i="1"/>
  <c r="Y408" i="1"/>
  <c r="Q410" i="1"/>
  <c r="U411" i="1"/>
  <c r="Y412" i="1"/>
  <c r="Q414" i="1"/>
  <c r="U415" i="1"/>
  <c r="Y416" i="1"/>
  <c r="Q418" i="1"/>
  <c r="U419" i="1"/>
  <c r="T325" i="1"/>
  <c r="P328" i="1"/>
  <c r="X330" i="1"/>
  <c r="T333" i="1"/>
  <c r="P336" i="1"/>
  <c r="X338" i="1"/>
  <c r="T341" i="1"/>
  <c r="P344" i="1"/>
  <c r="X346" i="1"/>
  <c r="T349" i="1"/>
  <c r="P352" i="1"/>
  <c r="X354" i="1"/>
  <c r="T357" i="1"/>
  <c r="P360" i="1"/>
  <c r="X362" i="1"/>
  <c r="T365" i="1"/>
  <c r="P368" i="1"/>
  <c r="X370" i="1"/>
  <c r="T373" i="1"/>
  <c r="P376" i="1"/>
  <c r="X378" i="1"/>
  <c r="T381" i="1"/>
  <c r="P384" i="1"/>
  <c r="X386" i="1"/>
  <c r="T389" i="1"/>
  <c r="P392" i="1"/>
  <c r="V394" i="1"/>
  <c r="R396" i="1"/>
  <c r="V397" i="1"/>
  <c r="N399" i="1"/>
  <c r="R400" i="1"/>
  <c r="V401" i="1"/>
  <c r="N403" i="1"/>
  <c r="R404" i="1"/>
  <c r="V405" i="1"/>
  <c r="N407" i="1"/>
  <c r="R408" i="1"/>
  <c r="V409" i="1"/>
  <c r="N411" i="1"/>
  <c r="R412" i="1"/>
  <c r="V413" i="1"/>
  <c r="N415" i="1"/>
  <c r="R416" i="1"/>
  <c r="V417" i="1"/>
  <c r="N419" i="1"/>
  <c r="R420" i="1"/>
  <c r="V421" i="1"/>
  <c r="N423" i="1"/>
  <c r="R424" i="1"/>
  <c r="V425" i="1"/>
  <c r="N427" i="1"/>
  <c r="R428" i="1"/>
  <c r="V429" i="1"/>
  <c r="N431" i="1"/>
  <c r="R432" i="1"/>
  <c r="V433" i="1"/>
  <c r="N435" i="1"/>
  <c r="R436" i="1"/>
  <c r="V437" i="1"/>
  <c r="N439" i="1"/>
  <c r="R440" i="1"/>
  <c r="V441" i="1"/>
  <c r="N443" i="1"/>
  <c r="R444" i="1"/>
  <c r="V445" i="1"/>
  <c r="N447" i="1"/>
  <c r="Y323" i="1"/>
  <c r="Y326" i="1"/>
  <c r="U329" i="1"/>
  <c r="Q126" i="1"/>
  <c r="V210" i="1"/>
  <c r="O224" i="1"/>
  <c r="X200" i="1"/>
  <c r="Y239" i="1"/>
  <c r="Q261" i="1"/>
  <c r="Q216" i="1"/>
  <c r="V247" i="1"/>
  <c r="S185" i="1"/>
  <c r="P231" i="1"/>
  <c r="O253" i="1"/>
  <c r="S260" i="1"/>
  <c r="S267" i="1"/>
  <c r="S274" i="1"/>
  <c r="W281" i="1"/>
  <c r="W288" i="1"/>
  <c r="P167" i="1"/>
  <c r="Q189" i="1"/>
  <c r="Q201" i="1"/>
  <c r="Y211" i="1"/>
  <c r="U222" i="1"/>
  <c r="Q233" i="1"/>
  <c r="P240" i="1"/>
  <c r="T245" i="1"/>
  <c r="X250" i="1"/>
  <c r="P256" i="1"/>
  <c r="T261" i="1"/>
  <c r="X266" i="1"/>
  <c r="P272" i="1"/>
  <c r="T277" i="1"/>
  <c r="X282" i="1"/>
  <c r="P288" i="1"/>
  <c r="T293" i="1"/>
  <c r="X298" i="1"/>
  <c r="P304" i="1"/>
  <c r="N271" i="1"/>
  <c r="V281" i="1"/>
  <c r="R292" i="1"/>
  <c r="N300" i="1"/>
  <c r="X306" i="1"/>
  <c r="P312" i="1"/>
  <c r="T317" i="1"/>
  <c r="X322" i="1"/>
  <c r="Q271" i="1"/>
  <c r="Y281" i="1"/>
  <c r="U292" i="1"/>
  <c r="O300" i="1"/>
  <c r="Y306" i="1"/>
  <c r="Q312" i="1"/>
  <c r="U317" i="1"/>
  <c r="R267" i="1"/>
  <c r="N278" i="1"/>
  <c r="V288" i="1"/>
  <c r="U297" i="1"/>
  <c r="V304" i="1"/>
  <c r="R310" i="1"/>
  <c r="V315" i="1"/>
  <c r="N321" i="1"/>
  <c r="R326" i="1"/>
  <c r="V331" i="1"/>
  <c r="N337" i="1"/>
  <c r="R342" i="1"/>
  <c r="V347" i="1"/>
  <c r="N353" i="1"/>
  <c r="R358" i="1"/>
  <c r="V363" i="1"/>
  <c r="N369" i="1"/>
  <c r="R374" i="1"/>
  <c r="V379" i="1"/>
  <c r="N385" i="1"/>
  <c r="R390" i="1"/>
  <c r="Y266" i="1"/>
  <c r="U277" i="1"/>
  <c r="Q288" i="1"/>
  <c r="Q297" i="1"/>
  <c r="R304" i="1"/>
  <c r="O310" i="1"/>
  <c r="S315" i="1"/>
  <c r="W320" i="1"/>
  <c r="O326" i="1"/>
  <c r="S331" i="1"/>
  <c r="W336" i="1"/>
  <c r="O342" i="1"/>
  <c r="S347" i="1"/>
  <c r="W351" i="1"/>
  <c r="S354" i="1"/>
  <c r="O356" i="1"/>
  <c r="S357" i="1"/>
  <c r="W358" i="1"/>
  <c r="O360" i="1"/>
  <c r="S361" i="1"/>
  <c r="W362" i="1"/>
  <c r="O364" i="1"/>
  <c r="S365" i="1"/>
  <c r="W366" i="1"/>
  <c r="O368" i="1"/>
  <c r="S369" i="1"/>
  <c r="W370" i="1"/>
  <c r="O372" i="1"/>
  <c r="S373" i="1"/>
  <c r="W374" i="1"/>
  <c r="O376" i="1"/>
  <c r="S377" i="1"/>
  <c r="W378" i="1"/>
  <c r="O380" i="1"/>
  <c r="S381" i="1"/>
  <c r="W382" i="1"/>
  <c r="O384" i="1"/>
  <c r="S385" i="1"/>
  <c r="W386" i="1"/>
  <c r="O388" i="1"/>
  <c r="S389" i="1"/>
  <c r="W390" i="1"/>
  <c r="O392" i="1"/>
  <c r="S393" i="1"/>
  <c r="W394" i="1"/>
  <c r="U321" i="1"/>
  <c r="X325" i="1"/>
  <c r="T328" i="1"/>
  <c r="P331" i="1"/>
  <c r="X333" i="1"/>
  <c r="T336" i="1"/>
  <c r="P339" i="1"/>
  <c r="X341" i="1"/>
  <c r="T344" i="1"/>
  <c r="P347" i="1"/>
  <c r="X349" i="1"/>
  <c r="T352" i="1"/>
  <c r="P355" i="1"/>
  <c r="X357" i="1"/>
  <c r="T360" i="1"/>
  <c r="P363" i="1"/>
  <c r="X365" i="1"/>
  <c r="T368" i="1"/>
  <c r="P371" i="1"/>
  <c r="X373" i="1"/>
  <c r="T376" i="1"/>
  <c r="P379" i="1"/>
  <c r="X381" i="1"/>
  <c r="T384" i="1"/>
  <c r="P387" i="1"/>
  <c r="X389" i="1"/>
  <c r="T392" i="1"/>
  <c r="Y394" i="1"/>
  <c r="T396" i="1"/>
  <c r="X397" i="1"/>
  <c r="P399" i="1"/>
  <c r="T400" i="1"/>
  <c r="X401" i="1"/>
  <c r="P403" i="1"/>
  <c r="T404" i="1"/>
  <c r="X405" i="1"/>
  <c r="P407" i="1"/>
  <c r="T408" i="1"/>
  <c r="X409" i="1"/>
  <c r="P411" i="1"/>
  <c r="T412" i="1"/>
  <c r="X413" i="1"/>
  <c r="P415" i="1"/>
  <c r="U324" i="1"/>
  <c r="Q327" i="1"/>
  <c r="Y329" i="1"/>
  <c r="U332" i="1"/>
  <c r="Q335" i="1"/>
  <c r="Y337" i="1"/>
  <c r="U340" i="1"/>
  <c r="Q343" i="1"/>
  <c r="Y345" i="1"/>
  <c r="U348" i="1"/>
  <c r="Q351" i="1"/>
  <c r="Y353" i="1"/>
  <c r="U356" i="1"/>
  <c r="Q359" i="1"/>
  <c r="Y361" i="1"/>
  <c r="U364" i="1"/>
  <c r="Q367" i="1"/>
  <c r="Y369" i="1"/>
  <c r="U372" i="1"/>
  <c r="Q375" i="1"/>
  <c r="Y377" i="1"/>
  <c r="U380" i="1"/>
  <c r="Q383" i="1"/>
  <c r="Y385" i="1"/>
  <c r="U388" i="1"/>
  <c r="Q391" i="1"/>
  <c r="Y393" i="1"/>
  <c r="Y395" i="1"/>
  <c r="Q397" i="1"/>
  <c r="U398" i="1"/>
  <c r="Y399" i="1"/>
  <c r="Q401" i="1"/>
  <c r="U402" i="1"/>
  <c r="Y403" i="1"/>
  <c r="Q405" i="1"/>
  <c r="U406" i="1"/>
  <c r="Y407" i="1"/>
  <c r="Q409" i="1"/>
  <c r="U410" i="1"/>
  <c r="Y411" i="1"/>
  <c r="Q413" i="1"/>
  <c r="U414" i="1"/>
  <c r="Y415" i="1"/>
  <c r="Q417" i="1"/>
  <c r="U418" i="1"/>
  <c r="Q322" i="1"/>
  <c r="P326" i="1"/>
  <c r="X328" i="1"/>
  <c r="T331" i="1"/>
  <c r="P334" i="1"/>
  <c r="X336" i="1"/>
  <c r="T339" i="1"/>
  <c r="P342" i="1"/>
  <c r="X344" i="1"/>
  <c r="T347" i="1"/>
  <c r="P350" i="1"/>
  <c r="X352" i="1"/>
  <c r="T355" i="1"/>
  <c r="P358" i="1"/>
  <c r="X360" i="1"/>
  <c r="T363" i="1"/>
  <c r="P366" i="1"/>
  <c r="X368" i="1"/>
  <c r="T371" i="1"/>
  <c r="P374" i="1"/>
  <c r="X376" i="1"/>
  <c r="T379" i="1"/>
  <c r="P382" i="1"/>
  <c r="X384" i="1"/>
  <c r="T387" i="1"/>
  <c r="P390" i="1"/>
  <c r="X392" i="1"/>
  <c r="P395" i="1"/>
  <c r="V396" i="1"/>
  <c r="N398" i="1"/>
  <c r="R399" i="1"/>
  <c r="V400" i="1"/>
  <c r="N402" i="1"/>
  <c r="R403" i="1"/>
  <c r="V404" i="1"/>
  <c r="N406" i="1"/>
  <c r="R407" i="1"/>
  <c r="V408" i="1"/>
  <c r="N410" i="1"/>
  <c r="R411" i="1"/>
  <c r="V412" i="1"/>
  <c r="N414" i="1"/>
  <c r="R415" i="1"/>
  <c r="V416" i="1"/>
  <c r="N418" i="1"/>
  <c r="R419" i="1"/>
  <c r="V420" i="1"/>
  <c r="N422" i="1"/>
  <c r="R423" i="1"/>
  <c r="V424" i="1"/>
  <c r="N426" i="1"/>
  <c r="R427" i="1"/>
  <c r="V428" i="1"/>
  <c r="N430" i="1"/>
  <c r="R431" i="1"/>
  <c r="V432" i="1"/>
  <c r="N434" i="1"/>
  <c r="R435" i="1"/>
  <c r="V436" i="1"/>
  <c r="N438" i="1"/>
  <c r="R439" i="1"/>
  <c r="V440" i="1"/>
  <c r="N442" i="1"/>
  <c r="R443" i="1"/>
  <c r="V444" i="1"/>
  <c r="N446" i="1"/>
  <c r="R447" i="1"/>
  <c r="Y324" i="1"/>
  <c r="U327" i="1"/>
  <c r="Q330" i="1"/>
  <c r="Y332" i="1"/>
  <c r="U335" i="1"/>
  <c r="Q338" i="1"/>
  <c r="Y340" i="1"/>
  <c r="U343" i="1"/>
  <c r="Q346" i="1"/>
  <c r="Y348" i="1"/>
  <c r="U351" i="1"/>
  <c r="Q354" i="1"/>
  <c r="Y356" i="1"/>
  <c r="U359" i="1"/>
  <c r="Q362" i="1"/>
  <c r="Y364" i="1"/>
  <c r="U367" i="1"/>
  <c r="Q370" i="1"/>
  <c r="Y372" i="1"/>
  <c r="U375" i="1"/>
  <c r="Q378" i="1"/>
  <c r="Y380" i="1"/>
  <c r="U383" i="1"/>
  <c r="Q386" i="1"/>
  <c r="Y388" i="1"/>
  <c r="U391" i="1"/>
  <c r="Q394" i="1"/>
  <c r="O396" i="1"/>
  <c r="S397" i="1"/>
  <c r="W398" i="1"/>
  <c r="O400" i="1"/>
  <c r="S401" i="1"/>
  <c r="W402" i="1"/>
  <c r="O404" i="1"/>
  <c r="S405" i="1"/>
  <c r="W406" i="1"/>
  <c r="O408" i="1"/>
  <c r="S409" i="1"/>
  <c r="W410" i="1"/>
  <c r="O412" i="1"/>
  <c r="S413" i="1"/>
  <c r="W414" i="1"/>
  <c r="O416" i="1"/>
  <c r="S417" i="1"/>
  <c r="W418" i="1"/>
  <c r="O420" i="1"/>
  <c r="S421" i="1"/>
  <c r="W422" i="1"/>
  <c r="O424" i="1"/>
  <c r="S425" i="1"/>
  <c r="W426" i="1"/>
  <c r="O428" i="1"/>
  <c r="S429" i="1"/>
  <c r="W430" i="1"/>
  <c r="O432" i="1"/>
  <c r="S433" i="1"/>
  <c r="W434" i="1"/>
  <c r="O436" i="1"/>
  <c r="S437" i="1"/>
  <c r="W438" i="1"/>
  <c r="O440" i="1"/>
  <c r="S441" i="1"/>
  <c r="W442" i="1"/>
  <c r="O444" i="1"/>
  <c r="S445" i="1"/>
  <c r="W446" i="1"/>
  <c r="O448" i="1"/>
  <c r="S449" i="1"/>
  <c r="W450" i="1"/>
  <c r="O452" i="1"/>
  <c r="V161" i="1"/>
  <c r="Q245" i="1"/>
  <c r="P199" i="1"/>
  <c r="O269" i="1"/>
  <c r="T173" i="1"/>
  <c r="Q225" i="1"/>
  <c r="P252" i="1"/>
  <c r="T273" i="1"/>
  <c r="X294" i="1"/>
  <c r="R284" i="1"/>
  <c r="T313" i="1"/>
  <c r="U284" i="1"/>
  <c r="U313" i="1"/>
  <c r="R291" i="1"/>
  <c r="N317" i="1"/>
  <c r="R338" i="1"/>
  <c r="V359" i="1"/>
  <c r="N381" i="1"/>
  <c r="Q280" i="1"/>
  <c r="S311" i="1"/>
  <c r="W332" i="1"/>
  <c r="W352" i="1"/>
  <c r="O359" i="1"/>
  <c r="S364" i="1"/>
  <c r="W369" i="1"/>
  <c r="O375" i="1"/>
  <c r="S380" i="1"/>
  <c r="W385" i="1"/>
  <c r="O391" i="1"/>
  <c r="Y322" i="1"/>
  <c r="T334" i="1"/>
  <c r="P345" i="1"/>
  <c r="X355" i="1"/>
  <c r="T366" i="1"/>
  <c r="P377" i="1"/>
  <c r="X387" i="1"/>
  <c r="X396" i="1"/>
  <c r="P402" i="1"/>
  <c r="T407" i="1"/>
  <c r="X412" i="1"/>
  <c r="Y327" i="1"/>
  <c r="U338" i="1"/>
  <c r="Q349" i="1"/>
  <c r="Y359" i="1"/>
  <c r="U370" i="1"/>
  <c r="Q381" i="1"/>
  <c r="Y391" i="1"/>
  <c r="Y398" i="1"/>
  <c r="Q404" i="1"/>
  <c r="U409" i="1"/>
  <c r="Y414" i="1"/>
  <c r="U323" i="1"/>
  <c r="X334" i="1"/>
  <c r="T345" i="1"/>
  <c r="P356" i="1"/>
  <c r="X366" i="1"/>
  <c r="T377" i="1"/>
  <c r="P388" i="1"/>
  <c r="N397" i="1"/>
  <c r="R402" i="1"/>
  <c r="V407" i="1"/>
  <c r="N413" i="1"/>
  <c r="R418" i="1"/>
  <c r="V423" i="1"/>
  <c r="N429" i="1"/>
  <c r="R434" i="1"/>
  <c r="V439" i="1"/>
  <c r="N445" i="1"/>
  <c r="Q328" i="1"/>
  <c r="Y334" i="1"/>
  <c r="Q340" i="1"/>
  <c r="U345" i="1"/>
  <c r="Y350" i="1"/>
  <c r="Q356" i="1"/>
  <c r="U361" i="1"/>
  <c r="Y366" i="1"/>
  <c r="Q372" i="1"/>
  <c r="U377" i="1"/>
  <c r="Y382" i="1"/>
  <c r="Q388" i="1"/>
  <c r="U393" i="1"/>
  <c r="W396" i="1"/>
  <c r="S398" i="1"/>
  <c r="S400" i="1"/>
  <c r="O402" i="1"/>
  <c r="W403" i="1"/>
  <c r="W405" i="1"/>
  <c r="S407" i="1"/>
  <c r="O409" i="1"/>
  <c r="O411" i="1"/>
  <c r="W412" i="1"/>
  <c r="S414" i="1"/>
  <c r="S416" i="1"/>
  <c r="O418" i="1"/>
  <c r="W419" i="1"/>
  <c r="W421" i="1"/>
  <c r="S423" i="1"/>
  <c r="O425" i="1"/>
  <c r="O427" i="1"/>
  <c r="W428" i="1"/>
  <c r="S430" i="1"/>
  <c r="S432" i="1"/>
  <c r="O434" i="1"/>
  <c r="W435" i="1"/>
  <c r="W437" i="1"/>
  <c r="S439" i="1"/>
  <c r="O441" i="1"/>
  <c r="O443" i="1"/>
  <c r="W444" i="1"/>
  <c r="S446" i="1"/>
  <c r="S448" i="1"/>
  <c r="O450" i="1"/>
  <c r="W451" i="1"/>
  <c r="S453" i="1"/>
  <c r="W454" i="1"/>
  <c r="O456" i="1"/>
  <c r="S457" i="1"/>
  <c r="W458" i="1"/>
  <c r="O460" i="1"/>
  <c r="S461" i="1"/>
  <c r="W462" i="1"/>
  <c r="O464" i="1"/>
  <c r="S465" i="1"/>
  <c r="W466" i="1"/>
  <c r="O468" i="1"/>
  <c r="S469" i="1"/>
  <c r="T418" i="1"/>
  <c r="X421" i="1"/>
  <c r="T424" i="1"/>
  <c r="P427" i="1"/>
  <c r="X429" i="1"/>
  <c r="T432" i="1"/>
  <c r="P435" i="1"/>
  <c r="X437" i="1"/>
  <c r="T440" i="1"/>
  <c r="P443" i="1"/>
  <c r="X445" i="1"/>
  <c r="Q448" i="1"/>
  <c r="N450" i="1"/>
  <c r="X451" i="1"/>
  <c r="U453" i="1"/>
  <c r="R455" i="1"/>
  <c r="P457" i="1"/>
  <c r="Y458" i="1"/>
  <c r="V460" i="1"/>
  <c r="T462" i="1"/>
  <c r="Q464" i="1"/>
  <c r="N466" i="1"/>
  <c r="X467" i="1"/>
  <c r="U469" i="1"/>
  <c r="N471" i="1"/>
  <c r="R472" i="1"/>
  <c r="V473" i="1"/>
  <c r="N475" i="1"/>
  <c r="R476" i="1"/>
  <c r="V477" i="1"/>
  <c r="N479" i="1"/>
  <c r="R480" i="1"/>
  <c r="V481" i="1"/>
  <c r="N483" i="1"/>
  <c r="R484" i="1"/>
  <c r="V485" i="1"/>
  <c r="N487" i="1"/>
  <c r="R488" i="1"/>
  <c r="V489" i="1"/>
  <c r="N491" i="1"/>
  <c r="R492" i="1"/>
  <c r="V493" i="1"/>
  <c r="N495" i="1"/>
  <c r="R496" i="1"/>
  <c r="V497" i="1"/>
  <c r="N499" i="1"/>
  <c r="R500" i="1"/>
  <c r="V501" i="1"/>
  <c r="N503" i="1"/>
  <c r="R504" i="1"/>
  <c r="V505" i="1"/>
  <c r="N507" i="1"/>
  <c r="R508" i="1"/>
  <c r="V509" i="1"/>
  <c r="N511" i="1"/>
  <c r="R512" i="1"/>
  <c r="V513" i="1"/>
  <c r="N515" i="1"/>
  <c r="R516" i="1"/>
  <c r="V517" i="1"/>
  <c r="N519" i="1"/>
  <c r="R520" i="1"/>
  <c r="V521" i="1"/>
  <c r="N523" i="1"/>
  <c r="R524" i="1"/>
  <c r="T417" i="1"/>
  <c r="Q421" i="1"/>
  <c r="Y423" i="1"/>
  <c r="U426" i="1"/>
  <c r="Q429" i="1"/>
  <c r="Y431" i="1"/>
  <c r="U434" i="1"/>
  <c r="Q437" i="1"/>
  <c r="Y439" i="1"/>
  <c r="U442" i="1"/>
  <c r="Q445" i="1"/>
  <c r="Y447" i="1"/>
  <c r="V449" i="1"/>
  <c r="T451" i="1"/>
  <c r="Q453" i="1"/>
  <c r="N455" i="1"/>
  <c r="X456" i="1"/>
  <c r="U458" i="1"/>
  <c r="R460" i="1"/>
  <c r="P462" i="1"/>
  <c r="Y463" i="1"/>
  <c r="V465" i="1"/>
  <c r="T467" i="1"/>
  <c r="Q469" i="1"/>
  <c r="W470" i="1"/>
  <c r="O472" i="1"/>
  <c r="S473" i="1"/>
  <c r="W474" i="1"/>
  <c r="O476" i="1"/>
  <c r="S477" i="1"/>
  <c r="W478" i="1"/>
  <c r="O480" i="1"/>
  <c r="S481" i="1"/>
  <c r="W482" i="1"/>
  <c r="O484" i="1"/>
  <c r="S485" i="1"/>
  <c r="W486" i="1"/>
  <c r="O488" i="1"/>
  <c r="S489" i="1"/>
  <c r="W490" i="1"/>
  <c r="O492" i="1"/>
  <c r="S493" i="1"/>
  <c r="W494" i="1"/>
  <c r="O496" i="1"/>
  <c r="S497" i="1"/>
  <c r="W498" i="1"/>
  <c r="O500" i="1"/>
  <c r="S501" i="1"/>
  <c r="W502" i="1"/>
  <c r="O504" i="1"/>
  <c r="S505" i="1"/>
  <c r="W506" i="1"/>
  <c r="O508" i="1"/>
  <c r="S509" i="1"/>
  <c r="W510" i="1"/>
  <c r="O512" i="1"/>
  <c r="S513" i="1"/>
  <c r="W514" i="1"/>
  <c r="O516" i="1"/>
  <c r="S517" i="1"/>
  <c r="W518" i="1"/>
  <c r="O520" i="1"/>
  <c r="S521" i="1"/>
  <c r="W522" i="1"/>
  <c r="O524" i="1"/>
  <c r="S525" i="1"/>
  <c r="W526" i="1"/>
  <c r="O528" i="1"/>
  <c r="X417" i="1"/>
  <c r="T421" i="1"/>
  <c r="P424" i="1"/>
  <c r="X426" i="1"/>
  <c r="T429" i="1"/>
  <c r="P432" i="1"/>
  <c r="X434" i="1"/>
  <c r="T437" i="1"/>
  <c r="P440" i="1"/>
  <c r="X442" i="1"/>
  <c r="T445" i="1"/>
  <c r="N448" i="1"/>
  <c r="X449" i="1"/>
  <c r="U451" i="1"/>
  <c r="R453" i="1"/>
  <c r="P455" i="1"/>
  <c r="Y456" i="1"/>
  <c r="V458" i="1"/>
  <c r="T460" i="1"/>
  <c r="Q462" i="1"/>
  <c r="N464" i="1"/>
  <c r="X465" i="1"/>
  <c r="U467" i="1"/>
  <c r="R469" i="1"/>
  <c r="X470" i="1"/>
  <c r="P472" i="1"/>
  <c r="T473" i="1"/>
  <c r="X474" i="1"/>
  <c r="P476" i="1"/>
  <c r="T477" i="1"/>
  <c r="X478" i="1"/>
  <c r="P480" i="1"/>
  <c r="T481" i="1"/>
  <c r="X482" i="1"/>
  <c r="P484" i="1"/>
  <c r="T485" i="1"/>
  <c r="X486" i="1"/>
  <c r="P488" i="1"/>
  <c r="T489" i="1"/>
  <c r="X490" i="1"/>
  <c r="P492" i="1"/>
  <c r="T493" i="1"/>
  <c r="X494" i="1"/>
  <c r="P496" i="1"/>
  <c r="T497" i="1"/>
  <c r="X498" i="1"/>
  <c r="P500" i="1"/>
  <c r="T501" i="1"/>
  <c r="X502" i="1"/>
  <c r="P504" i="1"/>
  <c r="T505" i="1"/>
  <c r="X506" i="1"/>
  <c r="P508" i="1"/>
  <c r="T509" i="1"/>
  <c r="X510" i="1"/>
  <c r="P512" i="1"/>
  <c r="T513" i="1"/>
  <c r="X514" i="1"/>
  <c r="P516" i="1"/>
  <c r="T517" i="1"/>
  <c r="X518" i="1"/>
  <c r="P520" i="1"/>
  <c r="T521" i="1"/>
  <c r="X522" i="1"/>
  <c r="P524" i="1"/>
  <c r="T525" i="1"/>
  <c r="X526" i="1"/>
  <c r="P528" i="1"/>
  <c r="T529" i="1"/>
  <c r="X530" i="1"/>
  <c r="P532" i="1"/>
  <c r="T533" i="1"/>
  <c r="X534" i="1"/>
  <c r="P536" i="1"/>
  <c r="T537" i="1"/>
  <c r="X538" i="1"/>
  <c r="P540" i="1"/>
  <c r="T541" i="1"/>
  <c r="X542" i="1"/>
  <c r="P544" i="1"/>
  <c r="T545" i="1"/>
  <c r="X546" i="1"/>
  <c r="N232" i="1"/>
  <c r="X176" i="1"/>
  <c r="O239" i="1"/>
  <c r="S276" i="1"/>
  <c r="X192" i="1"/>
  <c r="Y235" i="1"/>
  <c r="T257" i="1"/>
  <c r="X278" i="1"/>
  <c r="P300" i="1"/>
  <c r="V294" i="1"/>
  <c r="X318" i="1"/>
  <c r="W294" i="1"/>
  <c r="Y318" i="1"/>
  <c r="R299" i="1"/>
  <c r="R322" i="1"/>
  <c r="V343" i="1"/>
  <c r="N365" i="1"/>
  <c r="R386" i="1"/>
  <c r="Y290" i="1"/>
  <c r="W316" i="1"/>
  <c r="O338" i="1"/>
  <c r="O355" i="1"/>
  <c r="S360" i="1"/>
  <c r="W365" i="1"/>
  <c r="O371" i="1"/>
  <c r="S376" i="1"/>
  <c r="W381" i="1"/>
  <c r="O387" i="1"/>
  <c r="S392" i="1"/>
  <c r="T326" i="1"/>
  <c r="P337" i="1"/>
  <c r="X347" i="1"/>
  <c r="T358" i="1"/>
  <c r="P369" i="1"/>
  <c r="X379" i="1"/>
  <c r="T390" i="1"/>
  <c r="P398" i="1"/>
  <c r="T403" i="1"/>
  <c r="X408" i="1"/>
  <c r="P414" i="1"/>
  <c r="U330" i="1"/>
  <c r="Q341" i="1"/>
  <c r="Y351" i="1"/>
  <c r="U362" i="1"/>
  <c r="Q373" i="1"/>
  <c r="Y383" i="1"/>
  <c r="U394" i="1"/>
  <c r="Q400" i="1"/>
  <c r="U405" i="1"/>
  <c r="Y410" i="1"/>
  <c r="Q416" i="1"/>
  <c r="X326" i="1"/>
  <c r="T337" i="1"/>
  <c r="P348" i="1"/>
  <c r="X358" i="1"/>
  <c r="T369" i="1"/>
  <c r="P380" i="1"/>
  <c r="X390" i="1"/>
  <c r="R398" i="1"/>
  <c r="V403" i="1"/>
  <c r="N409" i="1"/>
  <c r="R414" i="1"/>
  <c r="V419" i="1"/>
  <c r="N425" i="1"/>
  <c r="R430" i="1"/>
  <c r="V435" i="1"/>
  <c r="N441" i="1"/>
  <c r="R446" i="1"/>
  <c r="Y330" i="1"/>
  <c r="Q336" i="1"/>
  <c r="U341" i="1"/>
  <c r="Y346" i="1"/>
  <c r="Q352" i="1"/>
  <c r="U357" i="1"/>
  <c r="Y362" i="1"/>
  <c r="Q368" i="1"/>
  <c r="U373" i="1"/>
  <c r="Y378" i="1"/>
  <c r="Q384" i="1"/>
  <c r="U389" i="1"/>
  <c r="X394" i="1"/>
  <c r="O397" i="1"/>
  <c r="O399" i="1"/>
  <c r="W400" i="1"/>
  <c r="S402" i="1"/>
  <c r="S404" i="1"/>
  <c r="O406" i="1"/>
  <c r="W407" i="1"/>
  <c r="W409" i="1"/>
  <c r="S411" i="1"/>
  <c r="O413" i="1"/>
  <c r="O415" i="1"/>
  <c r="W416" i="1"/>
  <c r="S418" i="1"/>
  <c r="S420" i="1"/>
  <c r="O422" i="1"/>
  <c r="W423" i="1"/>
  <c r="W425" i="1"/>
  <c r="S427" i="1"/>
  <c r="O429" i="1"/>
  <c r="O431" i="1"/>
  <c r="W432" i="1"/>
  <c r="S434" i="1"/>
  <c r="S436" i="1"/>
  <c r="O438" i="1"/>
  <c r="W439" i="1"/>
  <c r="W441" i="1"/>
  <c r="S443" i="1"/>
  <c r="O445" i="1"/>
  <c r="O447" i="1"/>
  <c r="W448" i="1"/>
  <c r="S450" i="1"/>
  <c r="S452" i="1"/>
  <c r="W453" i="1"/>
  <c r="O455" i="1"/>
  <c r="S456" i="1"/>
  <c r="W457" i="1"/>
  <c r="O459" i="1"/>
  <c r="S460" i="1"/>
  <c r="W461" i="1"/>
  <c r="O463" i="1"/>
  <c r="S464" i="1"/>
  <c r="W465" i="1"/>
  <c r="O467" i="1"/>
  <c r="S468" i="1"/>
  <c r="W469" i="1"/>
  <c r="X419" i="1"/>
  <c r="T422" i="1"/>
  <c r="P425" i="1"/>
  <c r="X427" i="1"/>
  <c r="T430" i="1"/>
  <c r="P433" i="1"/>
  <c r="X435" i="1"/>
  <c r="T438" i="1"/>
  <c r="P441" i="1"/>
  <c r="X443" i="1"/>
  <c r="T446" i="1"/>
  <c r="V448" i="1"/>
  <c r="T450" i="1"/>
  <c r="Q452" i="1"/>
  <c r="N454" i="1"/>
  <c r="X455" i="1"/>
  <c r="U457" i="1"/>
  <c r="R459" i="1"/>
  <c r="P461" i="1"/>
  <c r="Y462" i="1"/>
  <c r="V464" i="1"/>
  <c r="T466" i="1"/>
  <c r="Q468" i="1"/>
  <c r="N470" i="1"/>
  <c r="R471" i="1"/>
  <c r="V472" i="1"/>
  <c r="N474" i="1"/>
  <c r="R475" i="1"/>
  <c r="V476" i="1"/>
  <c r="N478" i="1"/>
  <c r="R479" i="1"/>
  <c r="V480" i="1"/>
  <c r="N482" i="1"/>
  <c r="R483" i="1"/>
  <c r="V484" i="1"/>
  <c r="N486" i="1"/>
  <c r="R487" i="1"/>
  <c r="V488" i="1"/>
  <c r="N490" i="1"/>
  <c r="R491" i="1"/>
  <c r="V492" i="1"/>
  <c r="N494" i="1"/>
  <c r="R495" i="1"/>
  <c r="V496" i="1"/>
  <c r="N498" i="1"/>
  <c r="R499" i="1"/>
  <c r="V500" i="1"/>
  <c r="N502" i="1"/>
  <c r="R503" i="1"/>
  <c r="V504" i="1"/>
  <c r="N506" i="1"/>
  <c r="R507" i="1"/>
  <c r="V508" i="1"/>
  <c r="N510" i="1"/>
  <c r="R511" i="1"/>
  <c r="V512" i="1"/>
  <c r="N514" i="1"/>
  <c r="R515" i="1"/>
  <c r="V516" i="1"/>
  <c r="N518" i="1"/>
  <c r="R519" i="1"/>
  <c r="V520" i="1"/>
  <c r="N522" i="1"/>
  <c r="R523" i="1"/>
  <c r="V524" i="1"/>
  <c r="X418" i="1"/>
  <c r="Y421" i="1"/>
  <c r="U424" i="1"/>
  <c r="Q427" i="1"/>
  <c r="Y429" i="1"/>
  <c r="U432" i="1"/>
  <c r="Q435" i="1"/>
  <c r="Y437" i="1"/>
  <c r="U440" i="1"/>
  <c r="Q443" i="1"/>
  <c r="Y445" i="1"/>
  <c r="R448" i="1"/>
  <c r="P450" i="1"/>
  <c r="Y451" i="1"/>
  <c r="V453" i="1"/>
  <c r="T455" i="1"/>
  <c r="Q457" i="1"/>
  <c r="N459" i="1"/>
  <c r="X460" i="1"/>
  <c r="U462" i="1"/>
  <c r="R464" i="1"/>
  <c r="P466" i="1"/>
  <c r="Y467" i="1"/>
  <c r="V469" i="1"/>
  <c r="O471" i="1"/>
  <c r="S472" i="1"/>
  <c r="W473" i="1"/>
  <c r="O475" i="1"/>
  <c r="S476" i="1"/>
  <c r="W477" i="1"/>
  <c r="O479" i="1"/>
  <c r="S480" i="1"/>
  <c r="W481" i="1"/>
  <c r="O483" i="1"/>
  <c r="S484" i="1"/>
  <c r="W485" i="1"/>
  <c r="O487" i="1"/>
  <c r="S488" i="1"/>
  <c r="W489" i="1"/>
  <c r="O491" i="1"/>
  <c r="S492" i="1"/>
  <c r="W493" i="1"/>
  <c r="O495" i="1"/>
  <c r="S496" i="1"/>
  <c r="W497" i="1"/>
  <c r="O499" i="1"/>
  <c r="S500" i="1"/>
  <c r="W501" i="1"/>
  <c r="O503" i="1"/>
  <c r="S504" i="1"/>
  <c r="W505" i="1"/>
  <c r="O507" i="1"/>
  <c r="S508" i="1"/>
  <c r="W509" i="1"/>
  <c r="O511" i="1"/>
  <c r="S512" i="1"/>
  <c r="W513" i="1"/>
  <c r="O515" i="1"/>
  <c r="S516" i="1"/>
  <c r="W517" i="1"/>
  <c r="O519" i="1"/>
  <c r="S520" i="1"/>
  <c r="W521" i="1"/>
  <c r="O523" i="1"/>
  <c r="S524" i="1"/>
  <c r="W525" i="1"/>
  <c r="O527" i="1"/>
  <c r="S528" i="1"/>
  <c r="P419" i="1"/>
  <c r="P422" i="1"/>
  <c r="X424" i="1"/>
  <c r="T427" i="1"/>
  <c r="P430" i="1"/>
  <c r="X432" i="1"/>
  <c r="T435" i="1"/>
  <c r="P438" i="1"/>
  <c r="X440" i="1"/>
  <c r="T443" i="1"/>
  <c r="P446" i="1"/>
  <c r="T448" i="1"/>
  <c r="Q450" i="1"/>
  <c r="N452" i="1"/>
  <c r="X453" i="1"/>
  <c r="U455" i="1"/>
  <c r="R457" i="1"/>
  <c r="P459" i="1"/>
  <c r="Y460" i="1"/>
  <c r="V462" i="1"/>
  <c r="T464" i="1"/>
  <c r="Q466" i="1"/>
  <c r="N468" i="1"/>
  <c r="X469" i="1"/>
  <c r="P471" i="1"/>
  <c r="T472" i="1"/>
  <c r="X473" i="1"/>
  <c r="P475" i="1"/>
  <c r="T476" i="1"/>
  <c r="X477" i="1"/>
  <c r="P479" i="1"/>
  <c r="T480" i="1"/>
  <c r="X481" i="1"/>
  <c r="P483" i="1"/>
  <c r="T484" i="1"/>
  <c r="X485" i="1"/>
  <c r="P487" i="1"/>
  <c r="T488" i="1"/>
  <c r="X489" i="1"/>
  <c r="P491" i="1"/>
  <c r="T492" i="1"/>
  <c r="X493" i="1"/>
  <c r="P495" i="1"/>
  <c r="T496" i="1"/>
  <c r="X497" i="1"/>
  <c r="P499" i="1"/>
  <c r="T500" i="1"/>
  <c r="X501" i="1"/>
  <c r="P503" i="1"/>
  <c r="T504" i="1"/>
  <c r="X505" i="1"/>
  <c r="P507" i="1"/>
  <c r="T508" i="1"/>
  <c r="X509" i="1"/>
  <c r="P511" i="1"/>
  <c r="T512" i="1"/>
  <c r="X513" i="1"/>
  <c r="P515" i="1"/>
  <c r="T516" i="1"/>
  <c r="X517" i="1"/>
  <c r="P519" i="1"/>
  <c r="T520" i="1"/>
  <c r="X521" i="1"/>
  <c r="P523" i="1"/>
  <c r="T524" i="1"/>
  <c r="X525" i="1"/>
  <c r="P527" i="1"/>
  <c r="T528" i="1"/>
  <c r="X529" i="1"/>
  <c r="P531" i="1"/>
  <c r="T532" i="1"/>
  <c r="S231" i="1"/>
  <c r="Y226" i="1"/>
  <c r="O255" i="1"/>
  <c r="S283" i="1"/>
  <c r="Y203" i="1"/>
  <c r="T241" i="1"/>
  <c r="X262" i="1"/>
  <c r="P284" i="1"/>
  <c r="T305" i="1"/>
  <c r="W301" i="1"/>
  <c r="P324" i="1"/>
  <c r="Y301" i="1"/>
  <c r="N270" i="1"/>
  <c r="R306" i="1"/>
  <c r="V327" i="1"/>
  <c r="N349" i="1"/>
  <c r="R370" i="1"/>
  <c r="V391" i="1"/>
  <c r="N299" i="1"/>
  <c r="O322" i="1"/>
  <c r="S343" i="1"/>
  <c r="S356" i="1"/>
  <c r="W361" i="1"/>
  <c r="O367" i="1"/>
  <c r="S372" i="1"/>
  <c r="W377" i="1"/>
  <c r="O383" i="1"/>
  <c r="S388" i="1"/>
  <c r="W393" i="1"/>
  <c r="P329" i="1"/>
  <c r="X339" i="1"/>
  <c r="T350" i="1"/>
  <c r="P361" i="1"/>
  <c r="X371" i="1"/>
  <c r="T382" i="1"/>
  <c r="P393" i="1"/>
  <c r="T399" i="1"/>
  <c r="X404" i="1"/>
  <c r="P410" i="1"/>
  <c r="T415" i="1"/>
  <c r="Q333" i="1"/>
  <c r="Y343" i="1"/>
  <c r="U354" i="1"/>
  <c r="Q365" i="1"/>
  <c r="Y375" i="1"/>
  <c r="U386" i="1"/>
  <c r="Q396" i="1"/>
  <c r="U401" i="1"/>
  <c r="Y406" i="1"/>
  <c r="Q412" i="1"/>
  <c r="U417" i="1"/>
  <c r="T329" i="1"/>
  <c r="P340" i="1"/>
  <c r="X350" i="1"/>
  <c r="T361" i="1"/>
  <c r="P372" i="1"/>
  <c r="X382" i="1"/>
  <c r="T393" i="1"/>
  <c r="V399" i="1"/>
  <c r="N405" i="1"/>
  <c r="R410" i="1"/>
  <c r="V415" i="1"/>
  <c r="N421" i="1"/>
  <c r="R426" i="1"/>
  <c r="V431" i="1"/>
  <c r="N437" i="1"/>
  <c r="R442" i="1"/>
  <c r="V447" i="1"/>
  <c r="Q332" i="1"/>
  <c r="U337" i="1"/>
  <c r="Y342" i="1"/>
  <c r="Q348" i="1"/>
  <c r="U353" i="1"/>
  <c r="Y358" i="1"/>
  <c r="Q364" i="1"/>
  <c r="U369" i="1"/>
  <c r="Y374" i="1"/>
  <c r="Q380" i="1"/>
  <c r="U385" i="1"/>
  <c r="Y390" i="1"/>
  <c r="V395" i="1"/>
  <c r="W397" i="1"/>
  <c r="S399" i="1"/>
  <c r="O401" i="1"/>
  <c r="O403" i="1"/>
  <c r="W404" i="1"/>
  <c r="S406" i="1"/>
  <c r="S408" i="1"/>
  <c r="O410" i="1"/>
  <c r="W411" i="1"/>
  <c r="W413" i="1"/>
  <c r="S415" i="1"/>
  <c r="O417" i="1"/>
  <c r="O419" i="1"/>
  <c r="W420" i="1"/>
  <c r="S422" i="1"/>
  <c r="S424" i="1"/>
  <c r="O426" i="1"/>
  <c r="W427" i="1"/>
  <c r="W429" i="1"/>
  <c r="S431" i="1"/>
  <c r="O433" i="1"/>
  <c r="O435" i="1"/>
  <c r="W436" i="1"/>
  <c r="S438" i="1"/>
  <c r="S440" i="1"/>
  <c r="O442" i="1"/>
  <c r="W443" i="1"/>
  <c r="W445" i="1"/>
  <c r="S447" i="1"/>
  <c r="O449" i="1"/>
  <c r="O451" i="1"/>
  <c r="W452" i="1"/>
  <c r="O454" i="1"/>
  <c r="S455" i="1"/>
  <c r="W456" i="1"/>
  <c r="O458" i="1"/>
  <c r="S459" i="1"/>
  <c r="W460" i="1"/>
  <c r="O462" i="1"/>
  <c r="S463" i="1"/>
  <c r="W464" i="1"/>
  <c r="O466" i="1"/>
  <c r="S467" i="1"/>
  <c r="W468" i="1"/>
  <c r="X415" i="1"/>
  <c r="T420" i="1"/>
  <c r="P423" i="1"/>
  <c r="X425" i="1"/>
  <c r="T428" i="1"/>
  <c r="P431" i="1"/>
  <c r="X433" i="1"/>
  <c r="T436" i="1"/>
  <c r="P439" i="1"/>
  <c r="X441" i="1"/>
  <c r="T444" i="1"/>
  <c r="P447" i="1"/>
  <c r="P449" i="1"/>
  <c r="Y450" i="1"/>
  <c r="V452" i="1"/>
  <c r="T454" i="1"/>
  <c r="Q456" i="1"/>
  <c r="N458" i="1"/>
  <c r="X459" i="1"/>
  <c r="U461" i="1"/>
  <c r="R463" i="1"/>
  <c r="P465" i="1"/>
  <c r="Y466" i="1"/>
  <c r="V468" i="1"/>
  <c r="R470" i="1"/>
  <c r="V471" i="1"/>
  <c r="N473" i="1"/>
  <c r="R474" i="1"/>
  <c r="V475" i="1"/>
  <c r="N477" i="1"/>
  <c r="R478" i="1"/>
  <c r="V479" i="1"/>
  <c r="N481" i="1"/>
  <c r="R482" i="1"/>
  <c r="V483" i="1"/>
  <c r="N485" i="1"/>
  <c r="R486" i="1"/>
  <c r="V487" i="1"/>
  <c r="N489" i="1"/>
  <c r="R490" i="1"/>
  <c r="V491" i="1"/>
  <c r="N493" i="1"/>
  <c r="R494" i="1"/>
  <c r="V495" i="1"/>
  <c r="N497" i="1"/>
  <c r="R498" i="1"/>
  <c r="V499" i="1"/>
  <c r="N501" i="1"/>
  <c r="R502" i="1"/>
  <c r="V503" i="1"/>
  <c r="N505" i="1"/>
  <c r="R506" i="1"/>
  <c r="V507" i="1"/>
  <c r="N509" i="1"/>
  <c r="R510" i="1"/>
  <c r="V511" i="1"/>
  <c r="N513" i="1"/>
  <c r="R514" i="1"/>
  <c r="V515" i="1"/>
  <c r="N517" i="1"/>
  <c r="R518" i="1"/>
  <c r="V519" i="1"/>
  <c r="N521" i="1"/>
  <c r="R522" i="1"/>
  <c r="V523" i="1"/>
  <c r="N525" i="1"/>
  <c r="Y419" i="1"/>
  <c r="U422" i="1"/>
  <c r="Q425" i="1"/>
  <c r="Y427" i="1"/>
  <c r="U430" i="1"/>
  <c r="Q433" i="1"/>
  <c r="Y435" i="1"/>
  <c r="U438" i="1"/>
  <c r="Q441" i="1"/>
  <c r="Y443" i="1"/>
  <c r="U446" i="1"/>
  <c r="X448" i="1"/>
  <c r="U450" i="1"/>
  <c r="R452" i="1"/>
  <c r="P454" i="1"/>
  <c r="Y455" i="1"/>
  <c r="V457" i="1"/>
  <c r="T459" i="1"/>
  <c r="Q461" i="1"/>
  <c r="N463" i="1"/>
  <c r="X464" i="1"/>
  <c r="U466" i="1"/>
  <c r="R468" i="1"/>
  <c r="O470" i="1"/>
  <c r="S471" i="1"/>
  <c r="W472" i="1"/>
  <c r="O474" i="1"/>
  <c r="S475" i="1"/>
  <c r="W476" i="1"/>
  <c r="O478" i="1"/>
  <c r="S479" i="1"/>
  <c r="W480" i="1"/>
  <c r="O482" i="1"/>
  <c r="S483" i="1"/>
  <c r="W484" i="1"/>
  <c r="O486" i="1"/>
  <c r="S487" i="1"/>
  <c r="W488" i="1"/>
  <c r="O490" i="1"/>
  <c r="S491" i="1"/>
  <c r="W492" i="1"/>
  <c r="O494" i="1"/>
  <c r="S495" i="1"/>
  <c r="W496" i="1"/>
  <c r="O498" i="1"/>
  <c r="S499" i="1"/>
  <c r="W500" i="1"/>
  <c r="O502" i="1"/>
  <c r="S503" i="1"/>
  <c r="W504" i="1"/>
  <c r="O506" i="1"/>
  <c r="S507" i="1"/>
  <c r="W508" i="1"/>
  <c r="O510" i="1"/>
  <c r="S511" i="1"/>
  <c r="W512" i="1"/>
  <c r="O514" i="1"/>
  <c r="S515" i="1"/>
  <c r="W516" i="1"/>
  <c r="O518" i="1"/>
  <c r="S519" i="1"/>
  <c r="W520" i="1"/>
  <c r="O522" i="1"/>
  <c r="S523" i="1"/>
  <c r="W524" i="1"/>
  <c r="O526" i="1"/>
  <c r="S527" i="1"/>
  <c r="W528" i="1"/>
  <c r="P420" i="1"/>
  <c r="X422" i="1"/>
  <c r="T425" i="1"/>
  <c r="P428" i="1"/>
  <c r="X430" i="1"/>
  <c r="T433" i="1"/>
  <c r="P436" i="1"/>
  <c r="X438" i="1"/>
  <c r="T441" i="1"/>
  <c r="P444" i="1"/>
  <c r="X446" i="1"/>
  <c r="Y448" i="1"/>
  <c r="V450" i="1"/>
  <c r="T452" i="1"/>
  <c r="Q454" i="1"/>
  <c r="N456" i="1"/>
  <c r="X457" i="1"/>
  <c r="U459" i="1"/>
  <c r="R461" i="1"/>
  <c r="P463" i="1"/>
  <c r="Y464" i="1"/>
  <c r="V466" i="1"/>
  <c r="T468" i="1"/>
  <c r="P470" i="1"/>
  <c r="T471" i="1"/>
  <c r="X472" i="1"/>
  <c r="P474" i="1"/>
  <c r="T475" i="1"/>
  <c r="X476" i="1"/>
  <c r="P478" i="1"/>
  <c r="T479" i="1"/>
  <c r="X480" i="1"/>
  <c r="P482" i="1"/>
  <c r="T483" i="1"/>
  <c r="X484" i="1"/>
  <c r="P486" i="1"/>
  <c r="T487" i="1"/>
  <c r="X488" i="1"/>
  <c r="P490" i="1"/>
  <c r="T491" i="1"/>
  <c r="X492" i="1"/>
  <c r="P494" i="1"/>
  <c r="T495" i="1"/>
  <c r="X496" i="1"/>
  <c r="P498" i="1"/>
  <c r="T499" i="1"/>
  <c r="X500" i="1"/>
  <c r="P502" i="1"/>
  <c r="T503" i="1"/>
  <c r="X504" i="1"/>
  <c r="P506" i="1"/>
  <c r="T507" i="1"/>
  <c r="X508" i="1"/>
  <c r="P510" i="1"/>
  <c r="T511" i="1"/>
  <c r="X512" i="1"/>
  <c r="P514" i="1"/>
  <c r="T515" i="1"/>
  <c r="X516" i="1"/>
  <c r="P518" i="1"/>
  <c r="T519" i="1"/>
  <c r="X520" i="1"/>
  <c r="P522" i="1"/>
  <c r="T523" i="1"/>
  <c r="X524" i="1"/>
  <c r="P526" i="1"/>
  <c r="T527" i="1"/>
  <c r="X528" i="1"/>
  <c r="P530" i="1"/>
  <c r="T531" i="1"/>
  <c r="X532" i="1"/>
  <c r="P534" i="1"/>
  <c r="T535" i="1"/>
  <c r="X536" i="1"/>
  <c r="P538" i="1"/>
  <c r="T539" i="1"/>
  <c r="X540" i="1"/>
  <c r="P542" i="1"/>
  <c r="T543" i="1"/>
  <c r="X544" i="1"/>
  <c r="P546" i="1"/>
  <c r="T547" i="1"/>
  <c r="X548" i="1"/>
  <c r="P550" i="1"/>
  <c r="T551" i="1"/>
  <c r="T419" i="1"/>
  <c r="Q422" i="1"/>
  <c r="Y424" i="1"/>
  <c r="U427" i="1"/>
  <c r="Q430" i="1"/>
  <c r="Y432" i="1"/>
  <c r="U435" i="1"/>
  <c r="Q438" i="1"/>
  <c r="Y440" i="1"/>
  <c r="U443" i="1"/>
  <c r="Q446" i="1"/>
  <c r="U448" i="1"/>
  <c r="R450" i="1"/>
  <c r="P452" i="1"/>
  <c r="Y453" i="1"/>
  <c r="V455" i="1"/>
  <c r="T211" i="1"/>
  <c r="U214" i="1"/>
  <c r="V273" i="1"/>
  <c r="V280" i="1"/>
  <c r="V375" i="1"/>
  <c r="W348" i="1"/>
  <c r="W373" i="1"/>
  <c r="O395" i="1"/>
  <c r="X363" i="1"/>
  <c r="X400" i="1"/>
  <c r="Y335" i="1"/>
  <c r="U378" i="1"/>
  <c r="Q408" i="1"/>
  <c r="X342" i="1"/>
  <c r="T385" i="1"/>
  <c r="V411" i="1"/>
  <c r="N433" i="1"/>
  <c r="U333" i="1"/>
  <c r="Y354" i="1"/>
  <c r="Q376" i="1"/>
  <c r="S396" i="1"/>
  <c r="S403" i="1"/>
  <c r="S410" i="1"/>
  <c r="W417" i="1"/>
  <c r="W424" i="1"/>
  <c r="W431" i="1"/>
  <c r="O439" i="1"/>
  <c r="O446" i="1"/>
  <c r="O453" i="1"/>
  <c r="S458" i="1"/>
  <c r="W463" i="1"/>
  <c r="O469" i="1"/>
  <c r="T426" i="1"/>
  <c r="P437" i="1"/>
  <c r="X447" i="1"/>
  <c r="Y454" i="1"/>
  <c r="N462" i="1"/>
  <c r="P469" i="1"/>
  <c r="V474" i="1"/>
  <c r="N480" i="1"/>
  <c r="R485" i="1"/>
  <c r="V490" i="1"/>
  <c r="N496" i="1"/>
  <c r="R501" i="1"/>
  <c r="V506" i="1"/>
  <c r="N512" i="1"/>
  <c r="R517" i="1"/>
  <c r="V522" i="1"/>
  <c r="Q423" i="1"/>
  <c r="Y433" i="1"/>
  <c r="U444" i="1"/>
  <c r="X452" i="1"/>
  <c r="Y459" i="1"/>
  <c r="N467" i="1"/>
  <c r="O473" i="1"/>
  <c r="S478" i="1"/>
  <c r="W483" i="1"/>
  <c r="O489" i="1"/>
  <c r="S494" i="1"/>
  <c r="W499" i="1"/>
  <c r="O505" i="1"/>
  <c r="S510" i="1"/>
  <c r="W515" i="1"/>
  <c r="O521" i="1"/>
  <c r="S526" i="1"/>
  <c r="T423" i="1"/>
  <c r="P434" i="1"/>
  <c r="X444" i="1"/>
  <c r="Y452" i="1"/>
  <c r="N460" i="1"/>
  <c r="P467" i="1"/>
  <c r="P473" i="1"/>
  <c r="T478" i="1"/>
  <c r="X483" i="1"/>
  <c r="P489" i="1"/>
  <c r="T494" i="1"/>
  <c r="X499" i="1"/>
  <c r="P505" i="1"/>
  <c r="T510" i="1"/>
  <c r="X515" i="1"/>
  <c r="P521" i="1"/>
  <c r="T526" i="1"/>
  <c r="X531" i="1"/>
  <c r="P535" i="1"/>
  <c r="X537" i="1"/>
  <c r="T540" i="1"/>
  <c r="P543" i="1"/>
  <c r="X545" i="1"/>
  <c r="P548" i="1"/>
  <c r="X549" i="1"/>
  <c r="X551" i="1"/>
  <c r="Y420" i="1"/>
  <c r="Q424" i="1"/>
  <c r="Q428" i="1"/>
  <c r="U431" i="1"/>
  <c r="Y434" i="1"/>
  <c r="Y438" i="1"/>
  <c r="Q442" i="1"/>
  <c r="U445" i="1"/>
  <c r="N449" i="1"/>
  <c r="Q451" i="1"/>
  <c r="T453" i="1"/>
  <c r="P456" i="1"/>
  <c r="Y457" i="1"/>
  <c r="V459" i="1"/>
  <c r="T461" i="1"/>
  <c r="Q463" i="1"/>
  <c r="N465" i="1"/>
  <c r="X466" i="1"/>
  <c r="U468" i="1"/>
  <c r="Q470" i="1"/>
  <c r="U471" i="1"/>
  <c r="Y472" i="1"/>
  <c r="Q474" i="1"/>
  <c r="U475" i="1"/>
  <c r="Y476" i="1"/>
  <c r="Q478" i="1"/>
  <c r="U479" i="1"/>
  <c r="Y480" i="1"/>
  <c r="Q482" i="1"/>
  <c r="U483" i="1"/>
  <c r="Y484" i="1"/>
  <c r="Q486" i="1"/>
  <c r="U487" i="1"/>
  <c r="Y488" i="1"/>
  <c r="Q490" i="1"/>
  <c r="U491" i="1"/>
  <c r="Y492" i="1"/>
  <c r="Q494" i="1"/>
  <c r="U495" i="1"/>
  <c r="Y496" i="1"/>
  <c r="Q498" i="1"/>
  <c r="U499" i="1"/>
  <c r="Y500" i="1"/>
  <c r="Q502" i="1"/>
  <c r="U503" i="1"/>
  <c r="Y504" i="1"/>
  <c r="Q506" i="1"/>
  <c r="U507" i="1"/>
  <c r="Y508" i="1"/>
  <c r="Q510" i="1"/>
  <c r="U511" i="1"/>
  <c r="Y512" i="1"/>
  <c r="Q514" i="1"/>
  <c r="U515" i="1"/>
  <c r="Y516" i="1"/>
  <c r="Q518" i="1"/>
  <c r="U519" i="1"/>
  <c r="Y520" i="1"/>
  <c r="Q522" i="1"/>
  <c r="U523" i="1"/>
  <c r="Y524" i="1"/>
  <c r="Q526" i="1"/>
  <c r="U527" i="1"/>
  <c r="Y528" i="1"/>
  <c r="Q530" i="1"/>
  <c r="U531" i="1"/>
  <c r="Y532" i="1"/>
  <c r="Q534" i="1"/>
  <c r="U535" i="1"/>
  <c r="Y536" i="1"/>
  <c r="Q538" i="1"/>
  <c r="U539" i="1"/>
  <c r="Y540" i="1"/>
  <c r="Q542" i="1"/>
  <c r="U543" i="1"/>
  <c r="Y544" i="1"/>
  <c r="Q546" i="1"/>
  <c r="U547" i="1"/>
  <c r="Y548" i="1"/>
  <c r="Q550" i="1"/>
  <c r="U551" i="1"/>
  <c r="Y552" i="1"/>
  <c r="Q554" i="1"/>
  <c r="U555" i="1"/>
  <c r="Y556" i="1"/>
  <c r="Q558" i="1"/>
  <c r="U559" i="1"/>
  <c r="Y560" i="1"/>
  <c r="Q562" i="1"/>
  <c r="U563" i="1"/>
  <c r="O529" i="1"/>
  <c r="W531" i="1"/>
  <c r="S534" i="1"/>
  <c r="O537" i="1"/>
  <c r="W539" i="1"/>
  <c r="S542" i="1"/>
  <c r="O545" i="1"/>
  <c r="W547" i="1"/>
  <c r="S550" i="1"/>
  <c r="W552" i="1"/>
  <c r="T554" i="1"/>
  <c r="R556" i="1"/>
  <c r="O558" i="1"/>
  <c r="X559" i="1"/>
  <c r="V561" i="1"/>
  <c r="S563" i="1"/>
  <c r="X564" i="1"/>
  <c r="P566" i="1"/>
  <c r="T567" i="1"/>
  <c r="X568" i="1"/>
  <c r="P570" i="1"/>
  <c r="T571" i="1"/>
  <c r="X572" i="1"/>
  <c r="P574" i="1"/>
  <c r="T575" i="1"/>
  <c r="X576" i="1"/>
  <c r="P578" i="1"/>
  <c r="T579" i="1"/>
  <c r="X580" i="1"/>
  <c r="P582" i="1"/>
  <c r="T583" i="1"/>
  <c r="X584" i="1"/>
  <c r="P586" i="1"/>
  <c r="T587" i="1"/>
  <c r="X588" i="1"/>
  <c r="P590" i="1"/>
  <c r="T591" i="1"/>
  <c r="X592" i="1"/>
  <c r="P594" i="1"/>
  <c r="T595" i="1"/>
  <c r="X596" i="1"/>
  <c r="P598" i="1"/>
  <c r="T599" i="1"/>
  <c r="X600" i="1"/>
  <c r="P602" i="1"/>
  <c r="T603" i="1"/>
  <c r="X604" i="1"/>
  <c r="P606" i="1"/>
  <c r="T607" i="1"/>
  <c r="X608" i="1"/>
  <c r="P610" i="1"/>
  <c r="T611" i="1"/>
  <c r="X612" i="1"/>
  <c r="P614" i="1"/>
  <c r="T615" i="1"/>
  <c r="X616" i="1"/>
  <c r="P618" i="1"/>
  <c r="T619" i="1"/>
  <c r="X620" i="1"/>
  <c r="P622" i="1"/>
  <c r="T623" i="1"/>
  <c r="X624" i="1"/>
  <c r="P626" i="1"/>
  <c r="T627" i="1"/>
  <c r="X628" i="1"/>
  <c r="P630" i="1"/>
  <c r="T631" i="1"/>
  <c r="X632" i="1"/>
  <c r="P634" i="1"/>
  <c r="T635" i="1"/>
  <c r="P637" i="1"/>
  <c r="X638" i="1"/>
  <c r="P640" i="1"/>
  <c r="T643" i="1"/>
  <c r="T648" i="1"/>
  <c r="P654" i="1"/>
  <c r="P659" i="1"/>
  <c r="V525" i="1"/>
  <c r="N530" i="1"/>
  <c r="V532" i="1"/>
  <c r="R535" i="1"/>
  <c r="N538" i="1"/>
  <c r="V540" i="1"/>
  <c r="R543" i="1"/>
  <c r="N546" i="1"/>
  <c r="V548" i="1"/>
  <c r="R551" i="1"/>
  <c r="R553" i="1"/>
  <c r="O555" i="1"/>
  <c r="X556" i="1"/>
  <c r="V558" i="1"/>
  <c r="S560" i="1"/>
  <c r="P562" i="1"/>
  <c r="Y563" i="1"/>
  <c r="Q565" i="1"/>
  <c r="U566" i="1"/>
  <c r="Y567" i="1"/>
  <c r="Q569" i="1"/>
  <c r="U570" i="1"/>
  <c r="Y571" i="1"/>
  <c r="Q573" i="1"/>
  <c r="U574" i="1"/>
  <c r="Y575" i="1"/>
  <c r="Q577" i="1"/>
  <c r="U578" i="1"/>
  <c r="Y579" i="1"/>
  <c r="Q581" i="1"/>
  <c r="U582" i="1"/>
  <c r="Y583" i="1"/>
  <c r="Q585" i="1"/>
  <c r="U586" i="1"/>
  <c r="Y587" i="1"/>
  <c r="Q589" i="1"/>
  <c r="U590" i="1"/>
  <c r="Y591" i="1"/>
  <c r="Q593" i="1"/>
  <c r="U594" i="1"/>
  <c r="Y595" i="1"/>
  <c r="Q597" i="1"/>
  <c r="U598" i="1"/>
  <c r="Y599" i="1"/>
  <c r="Q601" i="1"/>
  <c r="U602" i="1"/>
  <c r="Y603" i="1"/>
  <c r="Q605" i="1"/>
  <c r="U606" i="1"/>
  <c r="Y607" i="1"/>
  <c r="Q609" i="1"/>
  <c r="U610" i="1"/>
  <c r="Y611" i="1"/>
  <c r="Q613" i="1"/>
  <c r="U614" i="1"/>
  <c r="Y615" i="1"/>
  <c r="Q617" i="1"/>
  <c r="U618" i="1"/>
  <c r="Y619" i="1"/>
  <c r="Q621" i="1"/>
  <c r="U622" i="1"/>
  <c r="Y623" i="1"/>
  <c r="Q625" i="1"/>
  <c r="U626" i="1"/>
  <c r="Y627" i="1"/>
  <c r="Q629" i="1"/>
  <c r="U630" i="1"/>
  <c r="Y631" i="1"/>
  <c r="Q633" i="1"/>
  <c r="U634" i="1"/>
  <c r="Y635" i="1"/>
  <c r="Q637" i="1"/>
  <c r="U638" i="1"/>
  <c r="Y639" i="1"/>
  <c r="Q641" i="1"/>
  <c r="U642" i="1"/>
  <c r="Y643" i="1"/>
  <c r="Q645" i="1"/>
  <c r="U646" i="1"/>
  <c r="Y647" i="1"/>
  <c r="Q649" i="1"/>
  <c r="U650" i="1"/>
  <c r="Y651" i="1"/>
  <c r="Q653" i="1"/>
  <c r="U654" i="1"/>
  <c r="Y655" i="1"/>
  <c r="S529" i="1"/>
  <c r="O532" i="1"/>
  <c r="W534" i="1"/>
  <c r="S537" i="1"/>
  <c r="O540" i="1"/>
  <c r="W542" i="1"/>
  <c r="S545" i="1"/>
  <c r="O548" i="1"/>
  <c r="W550" i="1"/>
  <c r="N553" i="1"/>
  <c r="W554" i="1"/>
  <c r="T556" i="1"/>
  <c r="R558" i="1"/>
  <c r="O560" i="1"/>
  <c r="X561" i="1"/>
  <c r="V563" i="1"/>
  <c r="N565" i="1"/>
  <c r="R566" i="1"/>
  <c r="V567" i="1"/>
  <c r="N569" i="1"/>
  <c r="R570" i="1"/>
  <c r="V571" i="1"/>
  <c r="N573" i="1"/>
  <c r="R574" i="1"/>
  <c r="V575" i="1"/>
  <c r="N577" i="1"/>
  <c r="R578" i="1"/>
  <c r="V579" i="1"/>
  <c r="N581" i="1"/>
  <c r="R582" i="1"/>
  <c r="V583" i="1"/>
  <c r="N585" i="1"/>
  <c r="R586" i="1"/>
  <c r="V587" i="1"/>
  <c r="N589" i="1"/>
  <c r="R590" i="1"/>
  <c r="V591" i="1"/>
  <c r="N593" i="1"/>
  <c r="R594" i="1"/>
  <c r="V595" i="1"/>
  <c r="N597" i="1"/>
  <c r="R598" i="1"/>
  <c r="V599" i="1"/>
  <c r="N601" i="1"/>
  <c r="R602" i="1"/>
  <c r="V603" i="1"/>
  <c r="N605" i="1"/>
  <c r="R606" i="1"/>
  <c r="V607" i="1"/>
  <c r="N609" i="1"/>
  <c r="R610" i="1"/>
  <c r="V611" i="1"/>
  <c r="N613" i="1"/>
  <c r="R614" i="1"/>
  <c r="V615" i="1"/>
  <c r="N617" i="1"/>
  <c r="R618" i="1"/>
  <c r="V619" i="1"/>
  <c r="N621" i="1"/>
  <c r="R622" i="1"/>
  <c r="V623" i="1"/>
  <c r="N625" i="1"/>
  <c r="R626" i="1"/>
  <c r="V627" i="1"/>
  <c r="N629" i="1"/>
  <c r="R630" i="1"/>
  <c r="V631" i="1"/>
  <c r="N633" i="1"/>
  <c r="R634" i="1"/>
  <c r="V635" i="1"/>
  <c r="N637" i="1"/>
  <c r="R638" i="1"/>
  <c r="V639" i="1"/>
  <c r="N641" i="1"/>
  <c r="R642" i="1"/>
  <c r="V643" i="1"/>
  <c r="N645" i="1"/>
  <c r="R646" i="1"/>
  <c r="V647" i="1"/>
  <c r="N649" i="1"/>
  <c r="R650" i="1"/>
  <c r="V651" i="1"/>
  <c r="N653" i="1"/>
  <c r="R654" i="1"/>
  <c r="V655" i="1"/>
  <c r="N657" i="1"/>
  <c r="R658" i="1"/>
  <c r="V659" i="1"/>
  <c r="N661" i="1"/>
  <c r="R662" i="1"/>
  <c r="V663" i="1"/>
  <c r="N665" i="1"/>
  <c r="R666" i="1"/>
  <c r="V667" i="1"/>
  <c r="N669" i="1"/>
  <c r="R670" i="1"/>
  <c r="V671" i="1"/>
  <c r="N673" i="1"/>
  <c r="R674" i="1"/>
  <c r="V675" i="1"/>
  <c r="N677" i="1"/>
  <c r="R678" i="1"/>
  <c r="V679" i="1"/>
  <c r="X641" i="1"/>
  <c r="P645" i="1"/>
  <c r="X648" i="1"/>
  <c r="P652" i="1"/>
  <c r="X655" i="1"/>
  <c r="T659" i="1"/>
  <c r="X662" i="1"/>
  <c r="R526" i="1"/>
  <c r="R530" i="1"/>
  <c r="N533" i="1"/>
  <c r="V535" i="1"/>
  <c r="R538" i="1"/>
  <c r="N541" i="1"/>
  <c r="V543" i="1"/>
  <c r="R546" i="1"/>
  <c r="N549" i="1"/>
  <c r="V551" i="1"/>
  <c r="T553" i="1"/>
  <c r="R555" i="1"/>
  <c r="O557" i="1"/>
  <c r="X558" i="1"/>
  <c r="V560" i="1"/>
  <c r="S562" i="1"/>
  <c r="O564" i="1"/>
  <c r="S565" i="1"/>
  <c r="W566" i="1"/>
  <c r="O568" i="1"/>
  <c r="S569" i="1"/>
  <c r="W570" i="1"/>
  <c r="O572" i="1"/>
  <c r="S573" i="1"/>
  <c r="W574" i="1"/>
  <c r="O576" i="1"/>
  <c r="S577" i="1"/>
  <c r="W578" i="1"/>
  <c r="O580" i="1"/>
  <c r="S581" i="1"/>
  <c r="W582" i="1"/>
  <c r="O584" i="1"/>
  <c r="S585" i="1"/>
  <c r="W586" i="1"/>
  <c r="O588" i="1"/>
  <c r="S589" i="1"/>
  <c r="W590" i="1"/>
  <c r="O592" i="1"/>
  <c r="S593" i="1"/>
  <c r="W594" i="1"/>
  <c r="O596" i="1"/>
  <c r="S597" i="1"/>
  <c r="W598" i="1"/>
  <c r="O600" i="1"/>
  <c r="S601" i="1"/>
  <c r="W602" i="1"/>
  <c r="O604" i="1"/>
  <c r="S605" i="1"/>
  <c r="W606" i="1"/>
  <c r="O608" i="1"/>
  <c r="S609" i="1"/>
  <c r="W610" i="1"/>
  <c r="O612" i="1"/>
  <c r="S613" i="1"/>
  <c r="W614" i="1"/>
  <c r="O616" i="1"/>
  <c r="S617" i="1"/>
  <c r="W618" i="1"/>
  <c r="O620" i="1"/>
  <c r="S621" i="1"/>
  <c r="W622" i="1"/>
  <c r="O624" i="1"/>
  <c r="S625" i="1"/>
  <c r="W626" i="1"/>
  <c r="O628" i="1"/>
  <c r="S629" i="1"/>
  <c r="W630" i="1"/>
  <c r="O632" i="1"/>
  <c r="S633" i="1"/>
  <c r="W634" i="1"/>
  <c r="O636" i="1"/>
  <c r="S637" i="1"/>
  <c r="W638" i="1"/>
  <c r="O640" i="1"/>
  <c r="S641" i="1"/>
  <c r="W642" i="1"/>
  <c r="O644" i="1"/>
  <c r="S645" i="1"/>
  <c r="W646" i="1"/>
  <c r="O648" i="1"/>
  <c r="S649" i="1"/>
  <c r="W650" i="1"/>
  <c r="O652" i="1"/>
  <c r="S653" i="1"/>
  <c r="W654" i="1"/>
  <c r="O656" i="1"/>
  <c r="S657" i="1"/>
  <c r="W658" i="1"/>
  <c r="O660" i="1"/>
  <c r="S661" i="1"/>
  <c r="W662" i="1"/>
  <c r="O664" i="1"/>
  <c r="S665" i="1"/>
  <c r="W666" i="1"/>
  <c r="O668" i="1"/>
  <c r="S669" i="1"/>
  <c r="W670" i="1"/>
  <c r="O672" i="1"/>
  <c r="S673" i="1"/>
  <c r="W674" i="1"/>
  <c r="O676" i="1"/>
  <c r="S677" i="1"/>
  <c r="W678" i="1"/>
  <c r="T641" i="1"/>
  <c r="T645" i="1"/>
  <c r="P649" i="1"/>
  <c r="T652" i="1"/>
  <c r="P656" i="1"/>
  <c r="X659" i="1"/>
  <c r="P663" i="1"/>
  <c r="Q658" i="1"/>
  <c r="U663" i="1"/>
  <c r="P667" i="1"/>
  <c r="X669" i="1"/>
  <c r="T672" i="1"/>
  <c r="P675" i="1"/>
  <c r="X677" i="1"/>
  <c r="Q674" i="1"/>
  <c r="U679" i="1"/>
  <c r="Q661" i="1"/>
  <c r="Y665" i="1"/>
  <c r="U668" i="1"/>
  <c r="Q671" i="1"/>
  <c r="Y673" i="1"/>
  <c r="U676" i="1"/>
  <c r="Q679" i="1"/>
  <c r="Y658" i="1"/>
  <c r="Q664" i="1"/>
  <c r="T667" i="1"/>
  <c r="P670" i="1"/>
  <c r="X672" i="1"/>
  <c r="T675" i="1"/>
  <c r="P678" i="1"/>
  <c r="Y657" i="1"/>
  <c r="Q663" i="1"/>
  <c r="Y666" i="1"/>
  <c r="U669" i="1"/>
  <c r="Q672" i="1"/>
  <c r="U675" i="1"/>
  <c r="N253" i="1"/>
  <c r="X246" i="1"/>
  <c r="P308" i="1"/>
  <c r="V311" i="1"/>
  <c r="U269" i="1"/>
  <c r="W357" i="1"/>
  <c r="O379" i="1"/>
  <c r="X331" i="1"/>
  <c r="T374" i="1"/>
  <c r="P406" i="1"/>
  <c r="U346" i="1"/>
  <c r="Q389" i="1"/>
  <c r="U413" i="1"/>
  <c r="T353" i="1"/>
  <c r="U395" i="1"/>
  <c r="N417" i="1"/>
  <c r="R438" i="1"/>
  <c r="Y338" i="1"/>
  <c r="Q360" i="1"/>
  <c r="U381" i="1"/>
  <c r="O398" i="1"/>
  <c r="O405" i="1"/>
  <c r="S412" i="1"/>
  <c r="S419" i="1"/>
  <c r="S426" i="1"/>
  <c r="W433" i="1"/>
  <c r="W440" i="1"/>
  <c r="W447" i="1"/>
  <c r="S454" i="1"/>
  <c r="W459" i="1"/>
  <c r="O465" i="1"/>
  <c r="P417" i="1"/>
  <c r="P429" i="1"/>
  <c r="X439" i="1"/>
  <c r="U449" i="1"/>
  <c r="V456" i="1"/>
  <c r="X463" i="1"/>
  <c r="V470" i="1"/>
  <c r="N476" i="1"/>
  <c r="R481" i="1"/>
  <c r="V486" i="1"/>
  <c r="N492" i="1"/>
  <c r="R497" i="1"/>
  <c r="V502" i="1"/>
  <c r="N508" i="1"/>
  <c r="R513" i="1"/>
  <c r="V518" i="1"/>
  <c r="N524" i="1"/>
  <c r="Y425" i="1"/>
  <c r="U436" i="1"/>
  <c r="Q447" i="1"/>
  <c r="U454" i="1"/>
  <c r="V461" i="1"/>
  <c r="X468" i="1"/>
  <c r="S474" i="1"/>
  <c r="W479" i="1"/>
  <c r="O485" i="1"/>
  <c r="S490" i="1"/>
  <c r="W495" i="1"/>
  <c r="O501" i="1"/>
  <c r="S506" i="1"/>
  <c r="W511" i="1"/>
  <c r="O517" i="1"/>
  <c r="S522" i="1"/>
  <c r="W527" i="1"/>
  <c r="P426" i="1"/>
  <c r="X436" i="1"/>
  <c r="T447" i="1"/>
  <c r="V454" i="1"/>
  <c r="X461" i="1"/>
  <c r="Y468" i="1"/>
  <c r="T474" i="1"/>
  <c r="X479" i="1"/>
  <c r="P485" i="1"/>
  <c r="T490" i="1"/>
  <c r="X495" i="1"/>
  <c r="P501" i="1"/>
  <c r="T506" i="1"/>
  <c r="X511" i="1"/>
  <c r="P517" i="1"/>
  <c r="T522" i="1"/>
  <c r="X527" i="1"/>
  <c r="P533" i="1"/>
  <c r="X535" i="1"/>
  <c r="T538" i="1"/>
  <c r="P541" i="1"/>
  <c r="X543" i="1"/>
  <c r="T546" i="1"/>
  <c r="T548" i="1"/>
  <c r="T550" i="1"/>
  <c r="X416" i="1"/>
  <c r="U421" i="1"/>
  <c r="U425" i="1"/>
  <c r="Y428" i="1"/>
  <c r="Q432" i="1"/>
  <c r="Q436" i="1"/>
  <c r="U439" i="1"/>
  <c r="Y442" i="1"/>
  <c r="Y446" i="1"/>
  <c r="T449" i="1"/>
  <c r="V451" i="1"/>
  <c r="R454" i="1"/>
  <c r="U456" i="1"/>
  <c r="R458" i="1"/>
  <c r="P460" i="1"/>
  <c r="Y461" i="1"/>
  <c r="V463" i="1"/>
  <c r="T465" i="1"/>
  <c r="Q467" i="1"/>
  <c r="N469" i="1"/>
  <c r="U470" i="1"/>
  <c r="Y471" i="1"/>
  <c r="Q473" i="1"/>
  <c r="U474" i="1"/>
  <c r="Y475" i="1"/>
  <c r="Q477" i="1"/>
  <c r="U478" i="1"/>
  <c r="Y479" i="1"/>
  <c r="Q481" i="1"/>
  <c r="U482" i="1"/>
  <c r="Y483" i="1"/>
  <c r="Q485" i="1"/>
  <c r="U486" i="1"/>
  <c r="Y487" i="1"/>
  <c r="Q489" i="1"/>
  <c r="U490" i="1"/>
  <c r="Y491" i="1"/>
  <c r="Q493" i="1"/>
  <c r="U494" i="1"/>
  <c r="Y495" i="1"/>
  <c r="Q497" i="1"/>
  <c r="U498" i="1"/>
  <c r="Y499" i="1"/>
  <c r="Q501" i="1"/>
  <c r="U502" i="1"/>
  <c r="Y503" i="1"/>
  <c r="Q505" i="1"/>
  <c r="U506" i="1"/>
  <c r="Y507" i="1"/>
  <c r="Q509" i="1"/>
  <c r="U510" i="1"/>
  <c r="Y511" i="1"/>
  <c r="Q513" i="1"/>
  <c r="U514" i="1"/>
  <c r="Y515" i="1"/>
  <c r="Q517" i="1"/>
  <c r="U518" i="1"/>
  <c r="Y519" i="1"/>
  <c r="Q521" i="1"/>
  <c r="U522" i="1"/>
  <c r="Y523" i="1"/>
  <c r="Q525" i="1"/>
  <c r="U526" i="1"/>
  <c r="Y527" i="1"/>
  <c r="Q529" i="1"/>
  <c r="U530" i="1"/>
  <c r="Y531" i="1"/>
  <c r="Q533" i="1"/>
  <c r="U534" i="1"/>
  <c r="Y535" i="1"/>
  <c r="Q537" i="1"/>
  <c r="U538" i="1"/>
  <c r="Y539" i="1"/>
  <c r="Q541" i="1"/>
  <c r="U542" i="1"/>
  <c r="Y543" i="1"/>
  <c r="Q545" i="1"/>
  <c r="U546" i="1"/>
  <c r="Y547" i="1"/>
  <c r="Q549" i="1"/>
  <c r="U550" i="1"/>
  <c r="Y551" i="1"/>
  <c r="Q553" i="1"/>
  <c r="U554" i="1"/>
  <c r="Y555" i="1"/>
  <c r="Q557" i="1"/>
  <c r="U558" i="1"/>
  <c r="Y559" i="1"/>
  <c r="Q561" i="1"/>
  <c r="U562" i="1"/>
  <c r="R525" i="1"/>
  <c r="W529" i="1"/>
  <c r="S532" i="1"/>
  <c r="O535" i="1"/>
  <c r="W537" i="1"/>
  <c r="S540" i="1"/>
  <c r="O543" i="1"/>
  <c r="W545" i="1"/>
  <c r="S548" i="1"/>
  <c r="O551" i="1"/>
  <c r="P553" i="1"/>
  <c r="N555" i="1"/>
  <c r="W556" i="1"/>
  <c r="T558" i="1"/>
  <c r="R560" i="1"/>
  <c r="O562" i="1"/>
  <c r="X563" i="1"/>
  <c r="P565" i="1"/>
  <c r="T566" i="1"/>
  <c r="X567" i="1"/>
  <c r="P569" i="1"/>
  <c r="T570" i="1"/>
  <c r="X571" i="1"/>
  <c r="P573" i="1"/>
  <c r="T574" i="1"/>
  <c r="X575" i="1"/>
  <c r="P577" i="1"/>
  <c r="T578" i="1"/>
  <c r="X579" i="1"/>
  <c r="P581" i="1"/>
  <c r="T582" i="1"/>
  <c r="X583" i="1"/>
  <c r="P585" i="1"/>
  <c r="T586" i="1"/>
  <c r="X587" i="1"/>
  <c r="P589" i="1"/>
  <c r="T590" i="1"/>
  <c r="X591" i="1"/>
  <c r="P593" i="1"/>
  <c r="T594" i="1"/>
  <c r="X595" i="1"/>
  <c r="P597" i="1"/>
  <c r="T598" i="1"/>
  <c r="X599" i="1"/>
  <c r="P601" i="1"/>
  <c r="T602" i="1"/>
  <c r="X603" i="1"/>
  <c r="P605" i="1"/>
  <c r="T606" i="1"/>
  <c r="X607" i="1"/>
  <c r="P609" i="1"/>
  <c r="T610" i="1"/>
  <c r="X611" i="1"/>
  <c r="P613" i="1"/>
  <c r="T614" i="1"/>
  <c r="X615" i="1"/>
  <c r="P617" i="1"/>
  <c r="T618" i="1"/>
  <c r="X619" i="1"/>
  <c r="P621" i="1"/>
  <c r="T622" i="1"/>
  <c r="X623" i="1"/>
  <c r="P625" i="1"/>
  <c r="T626" i="1"/>
  <c r="X627" i="1"/>
  <c r="P629" i="1"/>
  <c r="T630" i="1"/>
  <c r="X631" i="1"/>
  <c r="P633" i="1"/>
  <c r="T634" i="1"/>
  <c r="X635" i="1"/>
  <c r="X637" i="1"/>
  <c r="P639" i="1"/>
  <c r="T640" i="1"/>
  <c r="X644" i="1"/>
  <c r="X649" i="1"/>
  <c r="P655" i="1"/>
  <c r="X660" i="1"/>
  <c r="N527" i="1"/>
  <c r="V530" i="1"/>
  <c r="R533" i="1"/>
  <c r="N536" i="1"/>
  <c r="V538" i="1"/>
  <c r="R541" i="1"/>
  <c r="N544" i="1"/>
  <c r="V546" i="1"/>
  <c r="R549" i="1"/>
  <c r="N552" i="1"/>
  <c r="W553" i="1"/>
  <c r="T555" i="1"/>
  <c r="R557" i="1"/>
  <c r="O559" i="1"/>
  <c r="X560" i="1"/>
  <c r="V562" i="1"/>
  <c r="Q564" i="1"/>
  <c r="U565" i="1"/>
  <c r="Y566" i="1"/>
  <c r="Q568" i="1"/>
  <c r="U569" i="1"/>
  <c r="Y570" i="1"/>
  <c r="Q572" i="1"/>
  <c r="U573" i="1"/>
  <c r="Y574" i="1"/>
  <c r="Q576" i="1"/>
  <c r="U577" i="1"/>
  <c r="Y578" i="1"/>
  <c r="Q580" i="1"/>
  <c r="U581" i="1"/>
  <c r="Y582" i="1"/>
  <c r="Q584" i="1"/>
  <c r="U585" i="1"/>
  <c r="Y586" i="1"/>
  <c r="Q588" i="1"/>
  <c r="U589" i="1"/>
  <c r="Y590" i="1"/>
  <c r="Q592" i="1"/>
  <c r="U593" i="1"/>
  <c r="Y594" i="1"/>
  <c r="Q596" i="1"/>
  <c r="U597" i="1"/>
  <c r="Y598" i="1"/>
  <c r="Q600" i="1"/>
  <c r="U601" i="1"/>
  <c r="Y602" i="1"/>
  <c r="Q604" i="1"/>
  <c r="U605" i="1"/>
  <c r="Y606" i="1"/>
  <c r="Q608" i="1"/>
  <c r="U609" i="1"/>
  <c r="Y610" i="1"/>
  <c r="Q612" i="1"/>
  <c r="U613" i="1"/>
  <c r="Y614" i="1"/>
  <c r="Q616" i="1"/>
  <c r="U617" i="1"/>
  <c r="Y618" i="1"/>
  <c r="Q620" i="1"/>
  <c r="U621" i="1"/>
  <c r="Y622" i="1"/>
  <c r="Q624" i="1"/>
  <c r="U625" i="1"/>
  <c r="Y626" i="1"/>
  <c r="Q628" i="1"/>
  <c r="U629" i="1"/>
  <c r="Y630" i="1"/>
  <c r="Q632" i="1"/>
  <c r="U633" i="1"/>
  <c r="Y634" i="1"/>
  <c r="Q636" i="1"/>
  <c r="U637" i="1"/>
  <c r="Y638" i="1"/>
  <c r="Q640" i="1"/>
  <c r="U641" i="1"/>
  <c r="Y642" i="1"/>
  <c r="Q644" i="1"/>
  <c r="U645" i="1"/>
  <c r="Y646" i="1"/>
  <c r="Q648" i="1"/>
  <c r="U649" i="1"/>
  <c r="Y650" i="1"/>
  <c r="Q652" i="1"/>
  <c r="U653" i="1"/>
  <c r="Y654" i="1"/>
  <c r="N526" i="1"/>
  <c r="O530" i="1"/>
  <c r="W532" i="1"/>
  <c r="S535" i="1"/>
  <c r="O538" i="1"/>
  <c r="W540" i="1"/>
  <c r="S543" i="1"/>
  <c r="O546" i="1"/>
  <c r="W548" i="1"/>
  <c r="S551" i="1"/>
  <c r="S553" i="1"/>
  <c r="P555" i="1"/>
  <c r="N557" i="1"/>
  <c r="W558" i="1"/>
  <c r="T560" i="1"/>
  <c r="R562" i="1"/>
  <c r="N564" i="1"/>
  <c r="R565" i="1"/>
  <c r="V566" i="1"/>
  <c r="N568" i="1"/>
  <c r="R569" i="1"/>
  <c r="V570" i="1"/>
  <c r="N572" i="1"/>
  <c r="R573" i="1"/>
  <c r="V574" i="1"/>
  <c r="N576" i="1"/>
  <c r="R577" i="1"/>
  <c r="V578" i="1"/>
  <c r="N580" i="1"/>
  <c r="R581" i="1"/>
  <c r="V582" i="1"/>
  <c r="N584" i="1"/>
  <c r="R585" i="1"/>
  <c r="V586" i="1"/>
  <c r="N588" i="1"/>
  <c r="R589" i="1"/>
  <c r="V590" i="1"/>
  <c r="N592" i="1"/>
  <c r="R593" i="1"/>
  <c r="V594" i="1"/>
  <c r="N596" i="1"/>
  <c r="R597" i="1"/>
  <c r="V598" i="1"/>
  <c r="N600" i="1"/>
  <c r="R601" i="1"/>
  <c r="V602" i="1"/>
  <c r="N604" i="1"/>
  <c r="R605" i="1"/>
  <c r="V606" i="1"/>
  <c r="N608" i="1"/>
  <c r="R609" i="1"/>
  <c r="V610" i="1"/>
  <c r="N612" i="1"/>
  <c r="R613" i="1"/>
  <c r="V614" i="1"/>
  <c r="N616" i="1"/>
  <c r="R617" i="1"/>
  <c r="V618" i="1"/>
  <c r="N620" i="1"/>
  <c r="R621" i="1"/>
  <c r="V622" i="1"/>
  <c r="N624" i="1"/>
  <c r="R625" i="1"/>
  <c r="V626" i="1"/>
  <c r="N628" i="1"/>
  <c r="R629" i="1"/>
  <c r="V630" i="1"/>
  <c r="N632" i="1"/>
  <c r="R633" i="1"/>
  <c r="V634" i="1"/>
  <c r="N636" i="1"/>
  <c r="R637" i="1"/>
  <c r="V638" i="1"/>
  <c r="N640" i="1"/>
  <c r="R641" i="1"/>
  <c r="V642" i="1"/>
  <c r="N644" i="1"/>
  <c r="R645" i="1"/>
  <c r="V646" i="1"/>
  <c r="N648" i="1"/>
  <c r="R649" i="1"/>
  <c r="V650" i="1"/>
  <c r="N652" i="1"/>
  <c r="R653" i="1"/>
  <c r="V654" i="1"/>
  <c r="N656" i="1"/>
  <c r="R657" i="1"/>
  <c r="V658" i="1"/>
  <c r="N660" i="1"/>
  <c r="R661" i="1"/>
  <c r="V662" i="1"/>
  <c r="N664" i="1"/>
  <c r="R665" i="1"/>
  <c r="V666" i="1"/>
  <c r="N668" i="1"/>
  <c r="R669" i="1"/>
  <c r="V670" i="1"/>
  <c r="N672" i="1"/>
  <c r="R673" i="1"/>
  <c r="V674" i="1"/>
  <c r="N676" i="1"/>
  <c r="R677" i="1"/>
  <c r="V678" i="1"/>
  <c r="S679" i="1"/>
  <c r="T642" i="1"/>
  <c r="X645" i="1"/>
  <c r="T649" i="1"/>
  <c r="P653" i="1"/>
  <c r="X656" i="1"/>
  <c r="P660" i="1"/>
  <c r="T663" i="1"/>
  <c r="V527" i="1"/>
  <c r="N531" i="1"/>
  <c r="V533" i="1"/>
  <c r="R536" i="1"/>
  <c r="N539" i="1"/>
  <c r="V541" i="1"/>
  <c r="R544" i="1"/>
  <c r="N547" i="1"/>
  <c r="V549" i="1"/>
  <c r="P552" i="1"/>
  <c r="N554" i="1"/>
  <c r="W555" i="1"/>
  <c r="T557" i="1"/>
  <c r="R559" i="1"/>
  <c r="O561" i="1"/>
  <c r="X562" i="1"/>
  <c r="S564" i="1"/>
  <c r="W565" i="1"/>
  <c r="O567" i="1"/>
  <c r="S568" i="1"/>
  <c r="W569" i="1"/>
  <c r="O571" i="1"/>
  <c r="S572" i="1"/>
  <c r="W573" i="1"/>
  <c r="O575" i="1"/>
  <c r="S576" i="1"/>
  <c r="W577" i="1"/>
  <c r="O579" i="1"/>
  <c r="S580" i="1"/>
  <c r="W581" i="1"/>
  <c r="O583" i="1"/>
  <c r="S584" i="1"/>
  <c r="W585" i="1"/>
  <c r="O587" i="1"/>
  <c r="S588" i="1"/>
  <c r="W589" i="1"/>
  <c r="O591" i="1"/>
  <c r="S592" i="1"/>
  <c r="W593" i="1"/>
  <c r="O595" i="1"/>
  <c r="S596" i="1"/>
  <c r="W597" i="1"/>
  <c r="O599" i="1"/>
  <c r="S600" i="1"/>
  <c r="W601" i="1"/>
  <c r="O603" i="1"/>
  <c r="S604" i="1"/>
  <c r="W605" i="1"/>
  <c r="O607" i="1"/>
  <c r="S608" i="1"/>
  <c r="W609" i="1"/>
  <c r="O611" i="1"/>
  <c r="S612" i="1"/>
  <c r="W613" i="1"/>
  <c r="O615" i="1"/>
  <c r="S616" i="1"/>
  <c r="W617" i="1"/>
  <c r="O619" i="1"/>
  <c r="S620" i="1"/>
  <c r="W621" i="1"/>
  <c r="O623" i="1"/>
  <c r="S624" i="1"/>
  <c r="W625" i="1"/>
  <c r="O627" i="1"/>
  <c r="S628" i="1"/>
  <c r="W629" i="1"/>
  <c r="O631" i="1"/>
  <c r="S632" i="1"/>
  <c r="W633" i="1"/>
  <c r="O635" i="1"/>
  <c r="S636" i="1"/>
  <c r="W637" i="1"/>
  <c r="O639" i="1"/>
  <c r="S640" i="1"/>
  <c r="W641" i="1"/>
  <c r="O643" i="1"/>
  <c r="S644" i="1"/>
  <c r="W645" i="1"/>
  <c r="O647" i="1"/>
  <c r="S648" i="1"/>
  <c r="W649" i="1"/>
  <c r="O651" i="1"/>
  <c r="S652" i="1"/>
  <c r="W653" i="1"/>
  <c r="O655" i="1"/>
  <c r="S656" i="1"/>
  <c r="W657" i="1"/>
  <c r="O659" i="1"/>
  <c r="S660" i="1"/>
  <c r="W661" i="1"/>
  <c r="O663" i="1"/>
  <c r="S664" i="1"/>
  <c r="W665" i="1"/>
  <c r="O667" i="1"/>
  <c r="S668" i="1"/>
  <c r="W669" i="1"/>
  <c r="O671" i="1"/>
  <c r="S672" i="1"/>
  <c r="W673" i="1"/>
  <c r="O675" i="1"/>
  <c r="S676" i="1"/>
  <c r="W677" i="1"/>
  <c r="O679" i="1"/>
  <c r="X642" i="1"/>
  <c r="T646" i="1"/>
  <c r="P650" i="1"/>
  <c r="T653" i="1"/>
  <c r="P657" i="1"/>
  <c r="T660" i="1"/>
  <c r="X663" i="1"/>
  <c r="U659" i="1"/>
  <c r="Y664" i="1"/>
  <c r="X667" i="1"/>
  <c r="T670" i="1"/>
  <c r="P673" i="1"/>
  <c r="X675" i="1"/>
  <c r="T678" i="1"/>
  <c r="Q676" i="1"/>
  <c r="Q657" i="1"/>
  <c r="U662" i="1"/>
  <c r="U666" i="1"/>
  <c r="Q669" i="1"/>
  <c r="Y671" i="1"/>
  <c r="U674" i="1"/>
  <c r="Q677" i="1"/>
  <c r="Y679" i="1"/>
  <c r="Q660" i="1"/>
  <c r="T665" i="1"/>
  <c r="P668" i="1"/>
  <c r="X670" i="1"/>
  <c r="T673" i="1"/>
  <c r="P676" i="1"/>
  <c r="X678" i="1"/>
  <c r="Q659" i="1"/>
  <c r="U664" i="1"/>
  <c r="U667" i="1"/>
  <c r="Q670" i="1"/>
  <c r="Y672" i="1"/>
  <c r="Y676" i="1"/>
  <c r="O262" i="1"/>
  <c r="P268" i="1"/>
  <c r="Y273" i="1"/>
  <c r="N333" i="1"/>
  <c r="O306" i="1"/>
  <c r="O363" i="1"/>
  <c r="S384" i="1"/>
  <c r="T342" i="1"/>
  <c r="P385" i="1"/>
  <c r="T411" i="1"/>
  <c r="Q357" i="1"/>
  <c r="U397" i="1"/>
  <c r="Y418" i="1"/>
  <c r="P364" i="1"/>
  <c r="N401" i="1"/>
  <c r="R422" i="1"/>
  <c r="V443" i="1"/>
  <c r="Q344" i="1"/>
  <c r="U365" i="1"/>
  <c r="Y386" i="1"/>
  <c r="W399" i="1"/>
  <c r="O407" i="1"/>
  <c r="O414" i="1"/>
  <c r="O421" i="1"/>
  <c r="S428" i="1"/>
  <c r="S435" i="1"/>
  <c r="S442" i="1"/>
  <c r="W449" i="1"/>
  <c r="W455" i="1"/>
  <c r="O461" i="1"/>
  <c r="S466" i="1"/>
  <c r="P421" i="1"/>
  <c r="X431" i="1"/>
  <c r="T442" i="1"/>
  <c r="R451" i="1"/>
  <c r="T458" i="1"/>
  <c r="U465" i="1"/>
  <c r="N472" i="1"/>
  <c r="R477" i="1"/>
  <c r="V482" i="1"/>
  <c r="N488" i="1"/>
  <c r="R493" i="1"/>
  <c r="V498" i="1"/>
  <c r="N504" i="1"/>
  <c r="R509" i="1"/>
  <c r="V514" i="1"/>
  <c r="N520" i="1"/>
  <c r="P416" i="1"/>
  <c r="U428" i="1"/>
  <c r="Q439" i="1"/>
  <c r="Q449" i="1"/>
  <c r="R456" i="1"/>
  <c r="T463" i="1"/>
  <c r="S470" i="1"/>
  <c r="W475" i="1"/>
  <c r="O481" i="1"/>
  <c r="S486" i="1"/>
  <c r="W491" i="1"/>
  <c r="O497" i="1"/>
  <c r="S502" i="1"/>
  <c r="W507" i="1"/>
  <c r="O513" i="1"/>
  <c r="S518" i="1"/>
  <c r="W523" i="1"/>
  <c r="T416" i="1"/>
  <c r="X428" i="1"/>
  <c r="T439" i="1"/>
  <c r="R449" i="1"/>
  <c r="T456" i="1"/>
  <c r="U463" i="1"/>
  <c r="T470" i="1"/>
  <c r="X475" i="1"/>
  <c r="P481" i="1"/>
  <c r="T486" i="1"/>
  <c r="X491" i="1"/>
  <c r="P497" i="1"/>
  <c r="T502" i="1"/>
  <c r="X507" i="1"/>
  <c r="P513" i="1"/>
  <c r="T518" i="1"/>
  <c r="X523" i="1"/>
  <c r="P529" i="1"/>
  <c r="X533" i="1"/>
  <c r="T536" i="1"/>
  <c r="P539" i="1"/>
  <c r="X541" i="1"/>
  <c r="T544" i="1"/>
  <c r="P547" i="1"/>
  <c r="P549" i="1"/>
  <c r="X550" i="1"/>
  <c r="P418" i="1"/>
  <c r="Y422" i="1"/>
  <c r="Q426" i="1"/>
  <c r="U429" i="1"/>
  <c r="U433" i="1"/>
  <c r="Y436" i="1"/>
  <c r="Q440" i="1"/>
  <c r="Q444" i="1"/>
  <c r="U447" i="1"/>
  <c r="Y449" i="1"/>
  <c r="U452" i="1"/>
  <c r="X454" i="1"/>
  <c r="N457" i="1"/>
  <c r="X458" i="1"/>
  <c r="U460" i="1"/>
  <c r="R462" i="1"/>
  <c r="P464" i="1"/>
  <c r="Y465" i="1"/>
  <c r="V467" i="1"/>
  <c r="T469" i="1"/>
  <c r="Y470" i="1"/>
  <c r="Q472" i="1"/>
  <c r="U473" i="1"/>
  <c r="Y474" i="1"/>
  <c r="Q476" i="1"/>
  <c r="U477" i="1"/>
  <c r="Y478" i="1"/>
  <c r="Q480" i="1"/>
  <c r="U481" i="1"/>
  <c r="Y482" i="1"/>
  <c r="Q484" i="1"/>
  <c r="U485" i="1"/>
  <c r="Y486" i="1"/>
  <c r="Q488" i="1"/>
  <c r="U489" i="1"/>
  <c r="Y490" i="1"/>
  <c r="Q492" i="1"/>
  <c r="U493" i="1"/>
  <c r="Y494" i="1"/>
  <c r="Q496" i="1"/>
  <c r="U497" i="1"/>
  <c r="Y498" i="1"/>
  <c r="Q500" i="1"/>
  <c r="U501" i="1"/>
  <c r="Y502" i="1"/>
  <c r="Q504" i="1"/>
  <c r="U505" i="1"/>
  <c r="Y506" i="1"/>
  <c r="Q508" i="1"/>
  <c r="U509" i="1"/>
  <c r="Y510" i="1"/>
  <c r="Q512" i="1"/>
  <c r="U513" i="1"/>
  <c r="Y514" i="1"/>
  <c r="Q516" i="1"/>
  <c r="U517" i="1"/>
  <c r="Y518" i="1"/>
  <c r="Q520" i="1"/>
  <c r="U521" i="1"/>
  <c r="Y522" i="1"/>
  <c r="Q524" i="1"/>
  <c r="U525" i="1"/>
  <c r="Y526" i="1"/>
  <c r="Q528" i="1"/>
  <c r="U529" i="1"/>
  <c r="Y530" i="1"/>
  <c r="Q532" i="1"/>
  <c r="U533" i="1"/>
  <c r="Y534" i="1"/>
  <c r="Q536" i="1"/>
  <c r="U537" i="1"/>
  <c r="Y538" i="1"/>
  <c r="Q540" i="1"/>
  <c r="U541" i="1"/>
  <c r="Y542" i="1"/>
  <c r="Q544" i="1"/>
  <c r="U545" i="1"/>
  <c r="Y546" i="1"/>
  <c r="Q548" i="1"/>
  <c r="U549" i="1"/>
  <c r="Y550" i="1"/>
  <c r="Q552" i="1"/>
  <c r="U553" i="1"/>
  <c r="Y554" i="1"/>
  <c r="Q556" i="1"/>
  <c r="U557" i="1"/>
  <c r="Y558" i="1"/>
  <c r="Q560" i="1"/>
  <c r="U561" i="1"/>
  <c r="Y562" i="1"/>
  <c r="V526" i="1"/>
  <c r="S530" i="1"/>
  <c r="O533" i="1"/>
  <c r="W535" i="1"/>
  <c r="S538" i="1"/>
  <c r="O541" i="1"/>
  <c r="W543" i="1"/>
  <c r="S546" i="1"/>
  <c r="O549" i="1"/>
  <c r="W551" i="1"/>
  <c r="V553" i="1"/>
  <c r="S555" i="1"/>
  <c r="P557" i="1"/>
  <c r="N559" i="1"/>
  <c r="W560" i="1"/>
  <c r="T562" i="1"/>
  <c r="P564" i="1"/>
  <c r="T565" i="1"/>
  <c r="X566" i="1"/>
  <c r="P568" i="1"/>
  <c r="T569" i="1"/>
  <c r="X570" i="1"/>
  <c r="P572" i="1"/>
  <c r="T573" i="1"/>
  <c r="X574" i="1"/>
  <c r="P576" i="1"/>
  <c r="T577" i="1"/>
  <c r="X578" i="1"/>
  <c r="P580" i="1"/>
  <c r="T581" i="1"/>
  <c r="X582" i="1"/>
  <c r="P584" i="1"/>
  <c r="T585" i="1"/>
  <c r="X586" i="1"/>
  <c r="P588" i="1"/>
  <c r="T589" i="1"/>
  <c r="X590" i="1"/>
  <c r="P592" i="1"/>
  <c r="T593" i="1"/>
  <c r="X594" i="1"/>
  <c r="P596" i="1"/>
  <c r="T597" i="1"/>
  <c r="X598" i="1"/>
  <c r="P600" i="1"/>
  <c r="T601" i="1"/>
  <c r="X602" i="1"/>
  <c r="P604" i="1"/>
  <c r="T605" i="1"/>
  <c r="X606" i="1"/>
  <c r="P608" i="1"/>
  <c r="T609" i="1"/>
  <c r="X610" i="1"/>
  <c r="P612" i="1"/>
  <c r="T613" i="1"/>
  <c r="X614" i="1"/>
  <c r="P616" i="1"/>
  <c r="T617" i="1"/>
  <c r="X618" i="1"/>
  <c r="P620" i="1"/>
  <c r="T621" i="1"/>
  <c r="X622" i="1"/>
  <c r="P624" i="1"/>
  <c r="T625" i="1"/>
  <c r="X626" i="1"/>
  <c r="P628" i="1"/>
  <c r="T629" i="1"/>
  <c r="X630" i="1"/>
  <c r="P632" i="1"/>
  <c r="T633" i="1"/>
  <c r="X634" i="1"/>
  <c r="P636" i="1"/>
  <c r="P638" i="1"/>
  <c r="T639" i="1"/>
  <c r="P641" i="1"/>
  <c r="P646" i="1"/>
  <c r="P651" i="1"/>
  <c r="T656" i="1"/>
  <c r="T662" i="1"/>
  <c r="R528" i="1"/>
  <c r="R531" i="1"/>
  <c r="N534" i="1"/>
  <c r="V536" i="1"/>
  <c r="R539" i="1"/>
  <c r="N542" i="1"/>
  <c r="V544" i="1"/>
  <c r="R547" i="1"/>
  <c r="N550" i="1"/>
  <c r="S552" i="1"/>
  <c r="P554" i="1"/>
  <c r="N556" i="1"/>
  <c r="W557" i="1"/>
  <c r="T559" i="1"/>
  <c r="R561" i="1"/>
  <c r="O563" i="1"/>
  <c r="U564" i="1"/>
  <c r="Y565" i="1"/>
  <c r="Q567" i="1"/>
  <c r="U568" i="1"/>
  <c r="Y569" i="1"/>
  <c r="Q571" i="1"/>
  <c r="U572" i="1"/>
  <c r="Y573" i="1"/>
  <c r="Q575" i="1"/>
  <c r="U576" i="1"/>
  <c r="Y577" i="1"/>
  <c r="Q579" i="1"/>
  <c r="U580" i="1"/>
  <c r="Y581" i="1"/>
  <c r="Q583" i="1"/>
  <c r="U584" i="1"/>
  <c r="Y585" i="1"/>
  <c r="Q587" i="1"/>
  <c r="U588" i="1"/>
  <c r="Y589" i="1"/>
  <c r="Q591" i="1"/>
  <c r="U592" i="1"/>
  <c r="Y593" i="1"/>
  <c r="Q595" i="1"/>
  <c r="U596" i="1"/>
  <c r="Y597" i="1"/>
  <c r="Q599" i="1"/>
  <c r="U600" i="1"/>
  <c r="Y601" i="1"/>
  <c r="Q603" i="1"/>
  <c r="U604" i="1"/>
  <c r="Y605" i="1"/>
  <c r="Q607" i="1"/>
  <c r="U608" i="1"/>
  <c r="Y609" i="1"/>
  <c r="Q611" i="1"/>
  <c r="U612" i="1"/>
  <c r="Y613" i="1"/>
  <c r="Q615" i="1"/>
  <c r="U616" i="1"/>
  <c r="Y617" i="1"/>
  <c r="Q619" i="1"/>
  <c r="U620" i="1"/>
  <c r="Y621" i="1"/>
  <c r="Q623" i="1"/>
  <c r="U624" i="1"/>
  <c r="Y625" i="1"/>
  <c r="Q627" i="1"/>
  <c r="U628" i="1"/>
  <c r="Y629" i="1"/>
  <c r="Q631" i="1"/>
  <c r="U632" i="1"/>
  <c r="Y633" i="1"/>
  <c r="Q635" i="1"/>
  <c r="U636" i="1"/>
  <c r="Y637" i="1"/>
  <c r="Q639" i="1"/>
  <c r="U640" i="1"/>
  <c r="Y641" i="1"/>
  <c r="Q643" i="1"/>
  <c r="U644" i="1"/>
  <c r="Y645" i="1"/>
  <c r="Q647" i="1"/>
  <c r="U648" i="1"/>
  <c r="Y649" i="1"/>
  <c r="Q651" i="1"/>
  <c r="U652" i="1"/>
  <c r="Y653" i="1"/>
  <c r="Q655" i="1"/>
  <c r="R527" i="1"/>
  <c r="W530" i="1"/>
  <c r="S533" i="1"/>
  <c r="O536" i="1"/>
  <c r="W538" i="1"/>
  <c r="S541" i="1"/>
  <c r="O544" i="1"/>
  <c r="W546" i="1"/>
  <c r="S549" i="1"/>
  <c r="O552" i="1"/>
  <c r="X553" i="1"/>
  <c r="V555" i="1"/>
  <c r="S557" i="1"/>
  <c r="P559" i="1"/>
  <c r="N561" i="1"/>
  <c r="W562" i="1"/>
  <c r="R564" i="1"/>
  <c r="V565" i="1"/>
  <c r="N567" i="1"/>
  <c r="R568" i="1"/>
  <c r="V569" i="1"/>
  <c r="N571" i="1"/>
  <c r="R572" i="1"/>
  <c r="V573" i="1"/>
  <c r="N575" i="1"/>
  <c r="R576" i="1"/>
  <c r="V577" i="1"/>
  <c r="N579" i="1"/>
  <c r="R580" i="1"/>
  <c r="V581" i="1"/>
  <c r="N583" i="1"/>
  <c r="R584" i="1"/>
  <c r="V585" i="1"/>
  <c r="N587" i="1"/>
  <c r="R588" i="1"/>
  <c r="V589" i="1"/>
  <c r="N591" i="1"/>
  <c r="R592" i="1"/>
  <c r="V593" i="1"/>
  <c r="N595" i="1"/>
  <c r="R596" i="1"/>
  <c r="V597" i="1"/>
  <c r="N599" i="1"/>
  <c r="R600" i="1"/>
  <c r="V601" i="1"/>
  <c r="N603" i="1"/>
  <c r="R604" i="1"/>
  <c r="V605" i="1"/>
  <c r="N607" i="1"/>
  <c r="R608" i="1"/>
  <c r="V609" i="1"/>
  <c r="N611" i="1"/>
  <c r="R612" i="1"/>
  <c r="V613" i="1"/>
  <c r="N615" i="1"/>
  <c r="R616" i="1"/>
  <c r="V617" i="1"/>
  <c r="N619" i="1"/>
  <c r="R620" i="1"/>
  <c r="V621" i="1"/>
  <c r="N623" i="1"/>
  <c r="R624" i="1"/>
  <c r="V625" i="1"/>
  <c r="N627" i="1"/>
  <c r="R628" i="1"/>
  <c r="V629" i="1"/>
  <c r="N631" i="1"/>
  <c r="R632" i="1"/>
  <c r="V633" i="1"/>
  <c r="N635" i="1"/>
  <c r="R636" i="1"/>
  <c r="V637" i="1"/>
  <c r="N639" i="1"/>
  <c r="R640" i="1"/>
  <c r="V641" i="1"/>
  <c r="N643" i="1"/>
  <c r="R644" i="1"/>
  <c r="V645" i="1"/>
  <c r="N647" i="1"/>
  <c r="R648" i="1"/>
  <c r="V649" i="1"/>
  <c r="N651" i="1"/>
  <c r="R652" i="1"/>
  <c r="V653" i="1"/>
  <c r="N655" i="1"/>
  <c r="R656" i="1"/>
  <c r="V657" i="1"/>
  <c r="N659" i="1"/>
  <c r="R660" i="1"/>
  <c r="V661" i="1"/>
  <c r="N663" i="1"/>
  <c r="R664" i="1"/>
  <c r="V665" i="1"/>
  <c r="N667" i="1"/>
  <c r="R668" i="1"/>
  <c r="V669" i="1"/>
  <c r="N671" i="1"/>
  <c r="R672" i="1"/>
  <c r="V673" i="1"/>
  <c r="N675" i="1"/>
  <c r="R676" i="1"/>
  <c r="V677" i="1"/>
  <c r="N679" i="1"/>
  <c r="X636" i="1"/>
  <c r="P643" i="1"/>
  <c r="X646" i="1"/>
  <c r="T650" i="1"/>
  <c r="X653" i="1"/>
  <c r="T657" i="1"/>
  <c r="P661" i="1"/>
  <c r="P664" i="1"/>
  <c r="N529" i="1"/>
  <c r="V531" i="1"/>
  <c r="R534" i="1"/>
  <c r="N537" i="1"/>
  <c r="V539" i="1"/>
  <c r="R542" i="1"/>
  <c r="N545" i="1"/>
  <c r="V547" i="1"/>
  <c r="R550" i="1"/>
  <c r="V552" i="1"/>
  <c r="S554" i="1"/>
  <c r="P556" i="1"/>
  <c r="N558" i="1"/>
  <c r="W559" i="1"/>
  <c r="T561" i="1"/>
  <c r="R563" i="1"/>
  <c r="W564" i="1"/>
  <c r="O566" i="1"/>
  <c r="S567" i="1"/>
  <c r="W568" i="1"/>
  <c r="O570" i="1"/>
  <c r="S571" i="1"/>
  <c r="W572" i="1"/>
  <c r="O574" i="1"/>
  <c r="S575" i="1"/>
  <c r="W576" i="1"/>
  <c r="O578" i="1"/>
  <c r="S579" i="1"/>
  <c r="W580" i="1"/>
  <c r="O582" i="1"/>
  <c r="S583" i="1"/>
  <c r="W584" i="1"/>
  <c r="O586" i="1"/>
  <c r="S587" i="1"/>
  <c r="W588" i="1"/>
  <c r="O590" i="1"/>
  <c r="S591" i="1"/>
  <c r="W592" i="1"/>
  <c r="O594" i="1"/>
  <c r="S595" i="1"/>
  <c r="W596" i="1"/>
  <c r="O598" i="1"/>
  <c r="S599" i="1"/>
  <c r="W600" i="1"/>
  <c r="O602" i="1"/>
  <c r="S603" i="1"/>
  <c r="W604" i="1"/>
  <c r="O606" i="1"/>
  <c r="S607" i="1"/>
  <c r="W608" i="1"/>
  <c r="O610" i="1"/>
  <c r="S611" i="1"/>
  <c r="W612" i="1"/>
  <c r="O614" i="1"/>
  <c r="S615" i="1"/>
  <c r="W616" i="1"/>
  <c r="O618" i="1"/>
  <c r="S619" i="1"/>
  <c r="W620" i="1"/>
  <c r="O622" i="1"/>
  <c r="S623" i="1"/>
  <c r="W624" i="1"/>
  <c r="O626" i="1"/>
  <c r="S627" i="1"/>
  <c r="W628" i="1"/>
  <c r="O630" i="1"/>
  <c r="S631" i="1"/>
  <c r="W632" i="1"/>
  <c r="O634" i="1"/>
  <c r="S635" i="1"/>
  <c r="W636" i="1"/>
  <c r="O638" i="1"/>
  <c r="S639" i="1"/>
  <c r="W640" i="1"/>
  <c r="O642" i="1"/>
  <c r="S643" i="1"/>
  <c r="W644" i="1"/>
  <c r="O646" i="1"/>
  <c r="S647" i="1"/>
  <c r="W648" i="1"/>
  <c r="O650" i="1"/>
  <c r="S651" i="1"/>
  <c r="W652" i="1"/>
  <c r="O654" i="1"/>
  <c r="S655" i="1"/>
  <c r="W656" i="1"/>
  <c r="O658" i="1"/>
  <c r="S659" i="1"/>
  <c r="W660" i="1"/>
  <c r="O662" i="1"/>
  <c r="S663" i="1"/>
  <c r="W664" i="1"/>
  <c r="O666" i="1"/>
  <c r="S667" i="1"/>
  <c r="W668" i="1"/>
  <c r="O670" i="1"/>
  <c r="S671" i="1"/>
  <c r="W672" i="1"/>
  <c r="O674" i="1"/>
  <c r="S675" i="1"/>
  <c r="W676" i="1"/>
  <c r="O678" i="1"/>
  <c r="W679" i="1"/>
  <c r="X643" i="1"/>
  <c r="P647" i="1"/>
  <c r="X650" i="1"/>
  <c r="T654" i="1"/>
  <c r="P658" i="1"/>
  <c r="T661" i="1"/>
  <c r="X664" i="1"/>
  <c r="Y660" i="1"/>
  <c r="X665" i="1"/>
  <c r="T668" i="1"/>
  <c r="P671" i="1"/>
  <c r="X673" i="1"/>
  <c r="T676" i="1"/>
  <c r="P679" i="1"/>
  <c r="U677" i="1"/>
  <c r="U658" i="1"/>
  <c r="Y663" i="1"/>
  <c r="Q667" i="1"/>
  <c r="Y669" i="1"/>
  <c r="U672" i="1"/>
  <c r="Q675" i="1"/>
  <c r="Y677" i="1"/>
  <c r="Q656" i="1"/>
  <c r="U661" i="1"/>
  <c r="P666" i="1"/>
  <c r="X668" i="1"/>
  <c r="T671" i="1"/>
  <c r="P674" i="1"/>
  <c r="X676" i="1"/>
  <c r="T679" i="1"/>
  <c r="U660" i="1"/>
  <c r="U665" i="1"/>
  <c r="Q668" i="1"/>
  <c r="Y670" i="1"/>
  <c r="U673" i="1"/>
  <c r="Y678" i="1"/>
  <c r="O290" i="1"/>
  <c r="R354" i="1"/>
  <c r="S327" i="1"/>
  <c r="S368" i="1"/>
  <c r="W389" i="1"/>
  <c r="P353" i="1"/>
  <c r="R395" i="1"/>
  <c r="Q325" i="1"/>
  <c r="Y367" i="1"/>
  <c r="Y402" i="1"/>
  <c r="P332" i="1"/>
  <c r="X374" i="1"/>
  <c r="R406" i="1"/>
  <c r="V427" i="1"/>
  <c r="U325" i="1"/>
  <c r="U349" i="1"/>
  <c r="Y370" i="1"/>
  <c r="Q392" i="1"/>
  <c r="W401" i="1"/>
  <c r="W408" i="1"/>
  <c r="W415" i="1"/>
  <c r="O423" i="1"/>
  <c r="O430" i="1"/>
  <c r="O437" i="1"/>
  <c r="S444" i="1"/>
  <c r="S451" i="1"/>
  <c r="O457" i="1"/>
  <c r="S462" i="1"/>
  <c r="W467" i="1"/>
  <c r="X423" i="1"/>
  <c r="T434" i="1"/>
  <c r="P445" i="1"/>
  <c r="P453" i="1"/>
  <c r="Q460" i="1"/>
  <c r="R467" i="1"/>
  <c r="R473" i="1"/>
  <c r="V478" i="1"/>
  <c r="N484" i="1"/>
  <c r="R489" i="1"/>
  <c r="V494" i="1"/>
  <c r="N500" i="1"/>
  <c r="R505" i="1"/>
  <c r="V510" i="1"/>
  <c r="N516" i="1"/>
  <c r="R521" i="1"/>
  <c r="U420" i="1"/>
  <c r="Q431" i="1"/>
  <c r="Y441" i="1"/>
  <c r="T289" i="1"/>
  <c r="Q465" i="1"/>
  <c r="W487" i="1"/>
  <c r="O509" i="1"/>
  <c r="X420" i="1"/>
  <c r="Q458" i="1"/>
  <c r="T482" i="1"/>
  <c r="X503" i="1"/>
  <c r="P525" i="1"/>
  <c r="X539" i="1"/>
  <c r="T549" i="1"/>
  <c r="Y426" i="1"/>
  <c r="U441" i="1"/>
  <c r="N453" i="1"/>
  <c r="N461" i="1"/>
  <c r="P468" i="1"/>
  <c r="Y473" i="1"/>
  <c r="Q479" i="1"/>
  <c r="U484" i="1"/>
  <c r="Y489" i="1"/>
  <c r="Q495" i="1"/>
  <c r="U500" i="1"/>
  <c r="Y505" i="1"/>
  <c r="Q511" i="1"/>
  <c r="U516" i="1"/>
  <c r="Y521" i="1"/>
  <c r="Q527" i="1"/>
  <c r="U532" i="1"/>
  <c r="Y537" i="1"/>
  <c r="Q543" i="1"/>
  <c r="U548" i="1"/>
  <c r="Y553" i="1"/>
  <c r="Q559" i="1"/>
  <c r="N528" i="1"/>
  <c r="O539" i="1"/>
  <c r="W549" i="1"/>
  <c r="V557" i="1"/>
  <c r="T564" i="1"/>
  <c r="X569" i="1"/>
  <c r="P575" i="1"/>
  <c r="T580" i="1"/>
  <c r="X585" i="1"/>
  <c r="P591" i="1"/>
  <c r="T596" i="1"/>
  <c r="X601" i="1"/>
  <c r="P607" i="1"/>
  <c r="T612" i="1"/>
  <c r="X617" i="1"/>
  <c r="P623" i="1"/>
  <c r="T628" i="1"/>
  <c r="X633" i="1"/>
  <c r="X639" i="1"/>
  <c r="X657" i="1"/>
  <c r="V534" i="1"/>
  <c r="R545" i="1"/>
  <c r="V554" i="1"/>
  <c r="W561" i="1"/>
  <c r="U567" i="1"/>
  <c r="Y572" i="1"/>
  <c r="Q578" i="1"/>
  <c r="U583" i="1"/>
  <c r="Y588" i="1"/>
  <c r="Q594" i="1"/>
  <c r="U599" i="1"/>
  <c r="Y604" i="1"/>
  <c r="Q610" i="1"/>
  <c r="U615" i="1"/>
  <c r="Y620" i="1"/>
  <c r="Q626" i="1"/>
  <c r="U631" i="1"/>
  <c r="Y636" i="1"/>
  <c r="Q642" i="1"/>
  <c r="U647" i="1"/>
  <c r="Y652" i="1"/>
  <c r="S531" i="1"/>
  <c r="O542" i="1"/>
  <c r="T552" i="1"/>
  <c r="V559" i="1"/>
  <c r="N566" i="1"/>
  <c r="R571" i="1"/>
  <c r="V576" i="1"/>
  <c r="N582" i="1"/>
  <c r="R587" i="1"/>
  <c r="V592" i="1"/>
  <c r="N598" i="1"/>
  <c r="R603" i="1"/>
  <c r="V608" i="1"/>
  <c r="N614" i="1"/>
  <c r="R619" i="1"/>
  <c r="V624" i="1"/>
  <c r="N630" i="1"/>
  <c r="R635" i="1"/>
  <c r="V640" i="1"/>
  <c r="N646" i="1"/>
  <c r="R651" i="1"/>
  <c r="V656" i="1"/>
  <c r="N662" i="1"/>
  <c r="R667" i="1"/>
  <c r="V672" i="1"/>
  <c r="N678" i="1"/>
  <c r="X647" i="1"/>
  <c r="X661" i="1"/>
  <c r="N535" i="1"/>
  <c r="V545" i="1"/>
  <c r="X554" i="1"/>
  <c r="N562" i="1"/>
  <c r="W567" i="1"/>
  <c r="O573" i="1"/>
  <c r="S578" i="1"/>
  <c r="W583" i="1"/>
  <c r="O589" i="1"/>
  <c r="S594" i="1"/>
  <c r="W599" i="1"/>
  <c r="O605" i="1"/>
  <c r="S610" i="1"/>
  <c r="W615" i="1"/>
  <c r="O621" i="1"/>
  <c r="S626" i="1"/>
  <c r="W631" i="1"/>
  <c r="O637" i="1"/>
  <c r="S642" i="1"/>
  <c r="W647" i="1"/>
  <c r="O653" i="1"/>
  <c r="S658" i="1"/>
  <c r="W663" i="1"/>
  <c r="O669" i="1"/>
  <c r="S674" i="1"/>
  <c r="T637" i="1"/>
  <c r="T655" i="1"/>
  <c r="Q662" i="1"/>
  <c r="T674" i="1"/>
  <c r="Y659" i="1"/>
  <c r="Q673" i="1"/>
  <c r="Y662" i="1"/>
  <c r="X674" i="1"/>
  <c r="Q666" i="1"/>
  <c r="U536" i="1"/>
  <c r="P627" i="1"/>
  <c r="N532" i="1"/>
  <c r="X552" i="1"/>
  <c r="Q566" i="1"/>
  <c r="Q582" i="1"/>
  <c r="Y592" i="1"/>
  <c r="U603" i="1"/>
  <c r="Q614" i="1"/>
  <c r="U619" i="1"/>
  <c r="Q630" i="1"/>
  <c r="Y640" i="1"/>
  <c r="U651" i="1"/>
  <c r="S539" i="1"/>
  <c r="X557" i="1"/>
  <c r="R575" i="1"/>
  <c r="N586" i="1"/>
  <c r="N602" i="1"/>
  <c r="N618" i="1"/>
  <c r="N634" i="1"/>
  <c r="N650" i="1"/>
  <c r="N666" i="1"/>
  <c r="P644" i="1"/>
  <c r="N543" i="1"/>
  <c r="S566" i="1"/>
  <c r="S582" i="1"/>
  <c r="S598" i="1"/>
  <c r="S614" i="1"/>
  <c r="O625" i="1"/>
  <c r="O641" i="1"/>
  <c r="O657" i="1"/>
  <c r="O673" i="1"/>
  <c r="Y656" i="1"/>
  <c r="Q678" i="1"/>
  <c r="P672" i="1"/>
  <c r="Q308" i="1"/>
  <c r="W471" i="1"/>
  <c r="O493" i="1"/>
  <c r="S514" i="1"/>
  <c r="T431" i="1"/>
  <c r="R465" i="1"/>
  <c r="X487" i="1"/>
  <c r="P509" i="1"/>
  <c r="T530" i="1"/>
  <c r="T542" i="1"/>
  <c r="P551" i="1"/>
  <c r="Y430" i="1"/>
  <c r="Y444" i="1"/>
  <c r="Q455" i="1"/>
  <c r="X462" i="1"/>
  <c r="Y469" i="1"/>
  <c r="Q475" i="1"/>
  <c r="U480" i="1"/>
  <c r="Y485" i="1"/>
  <c r="Q491" i="1"/>
  <c r="U496" i="1"/>
  <c r="Y501" i="1"/>
  <c r="Q507" i="1"/>
  <c r="U512" i="1"/>
  <c r="Y517" i="1"/>
  <c r="Q523" i="1"/>
  <c r="U528" i="1"/>
  <c r="Y533" i="1"/>
  <c r="Q539" i="1"/>
  <c r="U544" i="1"/>
  <c r="Y549" i="1"/>
  <c r="Q555" i="1"/>
  <c r="U560" i="1"/>
  <c r="O531" i="1"/>
  <c r="W541" i="1"/>
  <c r="R552" i="1"/>
  <c r="S559" i="1"/>
  <c r="X565" i="1"/>
  <c r="P571" i="1"/>
  <c r="T576" i="1"/>
  <c r="X581" i="1"/>
  <c r="P587" i="1"/>
  <c r="T592" i="1"/>
  <c r="X597" i="1"/>
  <c r="P603" i="1"/>
  <c r="T608" i="1"/>
  <c r="X613" i="1"/>
  <c r="P619" i="1"/>
  <c r="T624" i="1"/>
  <c r="X629" i="1"/>
  <c r="P635" i="1"/>
  <c r="P642" i="1"/>
  <c r="T664" i="1"/>
  <c r="R537" i="1"/>
  <c r="N548" i="1"/>
  <c r="S556" i="1"/>
  <c r="T563" i="1"/>
  <c r="Y568" i="1"/>
  <c r="Q574" i="1"/>
  <c r="U579" i="1"/>
  <c r="Y584" i="1"/>
  <c r="Q590" i="1"/>
  <c r="U595" i="1"/>
  <c r="Y600" i="1"/>
  <c r="Q606" i="1"/>
  <c r="U611" i="1"/>
  <c r="Y616" i="1"/>
  <c r="Q622" i="1"/>
  <c r="U627" i="1"/>
  <c r="Y632" i="1"/>
  <c r="Q638" i="1"/>
  <c r="U643" i="1"/>
  <c r="Y648" i="1"/>
  <c r="Q654" i="1"/>
  <c r="O534" i="1"/>
  <c r="W544" i="1"/>
  <c r="R554" i="1"/>
  <c r="S561" i="1"/>
  <c r="R567" i="1"/>
  <c r="V572" i="1"/>
  <c r="N578" i="1"/>
  <c r="R583" i="1"/>
  <c r="V588" i="1"/>
  <c r="N594" i="1"/>
  <c r="R599" i="1"/>
  <c r="V604" i="1"/>
  <c r="N610" i="1"/>
  <c r="R615" i="1"/>
  <c r="V620" i="1"/>
  <c r="N626" i="1"/>
  <c r="R631" i="1"/>
  <c r="V636" i="1"/>
  <c r="N642" i="1"/>
  <c r="R647" i="1"/>
  <c r="V652" i="1"/>
  <c r="N658" i="1"/>
  <c r="R663" i="1"/>
  <c r="V668" i="1"/>
  <c r="N674" i="1"/>
  <c r="R679" i="1"/>
  <c r="T651" i="1"/>
  <c r="P665" i="1"/>
  <c r="V537" i="1"/>
  <c r="R548" i="1"/>
  <c r="V556" i="1"/>
  <c r="W563" i="1"/>
  <c r="O569" i="1"/>
  <c r="S574" i="1"/>
  <c r="W579" i="1"/>
  <c r="O585" i="1"/>
  <c r="S590" i="1"/>
  <c r="W595" i="1"/>
  <c r="O601" i="1"/>
  <c r="S606" i="1"/>
  <c r="W611" i="1"/>
  <c r="O617" i="1"/>
  <c r="S622" i="1"/>
  <c r="W627" i="1"/>
  <c r="O633" i="1"/>
  <c r="S638" i="1"/>
  <c r="W643" i="1"/>
  <c r="O649" i="1"/>
  <c r="S654" i="1"/>
  <c r="W659" i="1"/>
  <c r="O665" i="1"/>
  <c r="S670" i="1"/>
  <c r="W675" i="1"/>
  <c r="T644" i="1"/>
  <c r="X658" i="1"/>
  <c r="T666" i="1"/>
  <c r="P677" i="1"/>
  <c r="Q665" i="1"/>
  <c r="Y675" i="1"/>
  <c r="X666" i="1"/>
  <c r="T677" i="1"/>
  <c r="Y668" i="1"/>
  <c r="Y576" i="1"/>
  <c r="N570" i="1"/>
  <c r="V596" i="1"/>
  <c r="V612" i="1"/>
  <c r="V628" i="1"/>
  <c r="V644" i="1"/>
  <c r="V660" i="1"/>
  <c r="V676" i="1"/>
  <c r="R532" i="1"/>
  <c r="P560" i="1"/>
  <c r="O577" i="1"/>
  <c r="O593" i="1"/>
  <c r="W603" i="1"/>
  <c r="W619" i="1"/>
  <c r="W635" i="1"/>
  <c r="S646" i="1"/>
  <c r="S662" i="1"/>
  <c r="S678" i="1"/>
  <c r="X671" i="1"/>
  <c r="U657" i="1"/>
  <c r="Y674" i="1"/>
  <c r="N451" i="1"/>
  <c r="O477" i="1"/>
  <c r="S498" i="1"/>
  <c r="W519" i="1"/>
  <c r="P442" i="1"/>
  <c r="X471" i="1"/>
  <c r="P493" i="1"/>
  <c r="T514" i="1"/>
  <c r="T534" i="1"/>
  <c r="P545" i="1"/>
  <c r="Q420" i="1"/>
  <c r="Q434" i="1"/>
  <c r="P448" i="1"/>
  <c r="T457" i="1"/>
  <c r="U464" i="1"/>
  <c r="Q471" i="1"/>
  <c r="U476" i="1"/>
  <c r="Y481" i="1"/>
  <c r="Q487" i="1"/>
  <c r="U492" i="1"/>
  <c r="Y497" i="1"/>
  <c r="Q503" i="1"/>
  <c r="U508" i="1"/>
  <c r="Y513" i="1"/>
  <c r="Q519" i="1"/>
  <c r="U524" i="1"/>
  <c r="Y529" i="1"/>
  <c r="Q535" i="1"/>
  <c r="U540" i="1"/>
  <c r="Y545" i="1"/>
  <c r="Q551" i="1"/>
  <c r="U556" i="1"/>
  <c r="Y561" i="1"/>
  <c r="W533" i="1"/>
  <c r="S544" i="1"/>
  <c r="O554" i="1"/>
  <c r="P561" i="1"/>
  <c r="P567" i="1"/>
  <c r="T572" i="1"/>
  <c r="X577" i="1"/>
  <c r="P583" i="1"/>
  <c r="T588" i="1"/>
  <c r="X593" i="1"/>
  <c r="P599" i="1"/>
  <c r="T604" i="1"/>
  <c r="X609" i="1"/>
  <c r="P615" i="1"/>
  <c r="T620" i="1"/>
  <c r="X625" i="1"/>
  <c r="P631" i="1"/>
  <c r="T636" i="1"/>
  <c r="T647" i="1"/>
  <c r="R529" i="1"/>
  <c r="N540" i="1"/>
  <c r="V550" i="1"/>
  <c r="P558" i="1"/>
  <c r="Y564" i="1"/>
  <c r="Q570" i="1"/>
  <c r="U575" i="1"/>
  <c r="Y580" i="1"/>
  <c r="Q586" i="1"/>
  <c r="U591" i="1"/>
  <c r="Y596" i="1"/>
  <c r="Q602" i="1"/>
  <c r="U607" i="1"/>
  <c r="Y612" i="1"/>
  <c r="Q618" i="1"/>
  <c r="U623" i="1"/>
  <c r="Y628" i="1"/>
  <c r="Q634" i="1"/>
  <c r="U639" i="1"/>
  <c r="Y644" i="1"/>
  <c r="Q650" i="1"/>
  <c r="U655" i="1"/>
  <c r="W536" i="1"/>
  <c r="S547" i="1"/>
  <c r="O556" i="1"/>
  <c r="P563" i="1"/>
  <c r="V568" i="1"/>
  <c r="N574" i="1"/>
  <c r="R579" i="1"/>
  <c r="V584" i="1"/>
  <c r="N590" i="1"/>
  <c r="R595" i="1"/>
  <c r="V600" i="1"/>
  <c r="N606" i="1"/>
  <c r="R611" i="1"/>
  <c r="V616" i="1"/>
  <c r="N622" i="1"/>
  <c r="R627" i="1"/>
  <c r="V632" i="1"/>
  <c r="N638" i="1"/>
  <c r="R643" i="1"/>
  <c r="V648" i="1"/>
  <c r="N654" i="1"/>
  <c r="R659" i="1"/>
  <c r="V664" i="1"/>
  <c r="N670" i="1"/>
  <c r="R675" i="1"/>
  <c r="X640" i="1"/>
  <c r="X654" i="1"/>
  <c r="V529" i="1"/>
  <c r="R540" i="1"/>
  <c r="N551" i="1"/>
  <c r="S558" i="1"/>
  <c r="O565" i="1"/>
  <c r="S570" i="1"/>
  <c r="W575" i="1"/>
  <c r="O581" i="1"/>
  <c r="S586" i="1"/>
  <c r="W591" i="1"/>
  <c r="O597" i="1"/>
  <c r="S602" i="1"/>
  <c r="W607" i="1"/>
  <c r="O613" i="1"/>
  <c r="S618" i="1"/>
  <c r="W623" i="1"/>
  <c r="O629" i="1"/>
  <c r="S634" i="1"/>
  <c r="W639" i="1"/>
  <c r="O645" i="1"/>
  <c r="S650" i="1"/>
  <c r="W655" i="1"/>
  <c r="O661" i="1"/>
  <c r="S666" i="1"/>
  <c r="W671" i="1"/>
  <c r="O677" i="1"/>
  <c r="P648" i="1"/>
  <c r="P662" i="1"/>
  <c r="P669" i="1"/>
  <c r="X679" i="1"/>
  <c r="Y667" i="1"/>
  <c r="U678" i="1"/>
  <c r="T669" i="1"/>
  <c r="U656" i="1"/>
  <c r="U671" i="1"/>
  <c r="P458" i="1"/>
  <c r="S482" i="1"/>
  <c r="W503" i="1"/>
  <c r="O525" i="1"/>
  <c r="P451" i="1"/>
  <c r="P477" i="1"/>
  <c r="T498" i="1"/>
  <c r="X519" i="1"/>
  <c r="P537" i="1"/>
  <c r="X547" i="1"/>
  <c r="U423" i="1"/>
  <c r="U437" i="1"/>
  <c r="X450" i="1"/>
  <c r="Q459" i="1"/>
  <c r="R466" i="1"/>
  <c r="U472" i="1"/>
  <c r="Y477" i="1"/>
  <c r="Q483" i="1"/>
  <c r="U488" i="1"/>
  <c r="Y493" i="1"/>
  <c r="Q499" i="1"/>
  <c r="U504" i="1"/>
  <c r="Y509" i="1"/>
  <c r="Q515" i="1"/>
  <c r="U520" i="1"/>
  <c r="Y525" i="1"/>
  <c r="Q531" i="1"/>
  <c r="Y541" i="1"/>
  <c r="Q547" i="1"/>
  <c r="U552" i="1"/>
  <c r="Y557" i="1"/>
  <c r="Q563" i="1"/>
  <c r="S536" i="1"/>
  <c r="O547" i="1"/>
  <c r="X555" i="1"/>
  <c r="N563" i="1"/>
  <c r="T568" i="1"/>
  <c r="X573" i="1"/>
  <c r="P579" i="1"/>
  <c r="T584" i="1"/>
  <c r="X589" i="1"/>
  <c r="P595" i="1"/>
  <c r="T600" i="1"/>
  <c r="X605" i="1"/>
  <c r="P611" i="1"/>
  <c r="T616" i="1"/>
  <c r="X621" i="1"/>
  <c r="T632" i="1"/>
  <c r="T638" i="1"/>
  <c r="X652" i="1"/>
  <c r="V542" i="1"/>
  <c r="N560" i="1"/>
  <c r="U571" i="1"/>
  <c r="U587" i="1"/>
  <c r="Q598" i="1"/>
  <c r="Y608" i="1"/>
  <c r="Y624" i="1"/>
  <c r="U635" i="1"/>
  <c r="Q646" i="1"/>
  <c r="V528" i="1"/>
  <c r="O550" i="1"/>
  <c r="V564" i="1"/>
  <c r="V580" i="1"/>
  <c r="R591" i="1"/>
  <c r="R607" i="1"/>
  <c r="R623" i="1"/>
  <c r="R639" i="1"/>
  <c r="R655" i="1"/>
  <c r="R671" i="1"/>
  <c r="T658" i="1"/>
  <c r="O553" i="1"/>
  <c r="W571" i="1"/>
  <c r="W587" i="1"/>
  <c r="O609" i="1"/>
  <c r="S630" i="1"/>
  <c r="W651" i="1"/>
  <c r="W667" i="1"/>
  <c r="X651" i="1"/>
  <c r="U670" i="1"/>
  <c r="Y661" i="1"/>
  <c r="N37" i="1"/>
  <c r="N36" i="1"/>
  <c r="O35" i="1"/>
  <c r="N35" i="1"/>
  <c r="N33" i="1"/>
  <c r="O38" i="1"/>
  <c r="O37" i="1"/>
  <c r="P36" i="1"/>
  <c r="O36" i="1"/>
  <c r="O34" i="1"/>
  <c r="O33" i="1"/>
  <c r="P38" i="1"/>
  <c r="N38" i="1"/>
  <c r="P37" i="1"/>
  <c r="P34" i="1"/>
  <c r="N34" i="1"/>
  <c r="P33" i="1"/>
  <c r="P35" i="1"/>
  <c r="T18" i="1"/>
  <c r="Y18" i="1"/>
  <c r="O18" i="1"/>
  <c r="X18" i="1"/>
  <c r="R18" i="1"/>
  <c r="S18" i="1"/>
  <c r="P18" i="1"/>
  <c r="Z18" i="1"/>
  <c r="Q18" i="1"/>
  <c r="W18" i="1"/>
  <c r="U18" i="1"/>
  <c r="V18" i="1"/>
  <c r="AC11" i="1" a="1"/>
  <c r="AD11" i="1" l="1"/>
  <c r="AJ12" i="1"/>
  <c r="AG11" i="1"/>
  <c r="AE12" i="1"/>
  <c r="AI12" i="1"/>
  <c r="AE11" i="1"/>
  <c r="AH11" i="1"/>
  <c r="AK12" i="1"/>
  <c r="AK11" i="1"/>
  <c r="AF12" i="1"/>
  <c r="AJ11" i="1"/>
  <c r="AF11" i="1"/>
  <c r="AI11" i="1"/>
  <c r="AC12" i="1"/>
  <c r="AG12" i="1"/>
  <c r="AC11" i="1"/>
  <c r="AD12" i="1"/>
  <c r="AH12" i="1"/>
</calcChain>
</file>

<file path=xl/sharedStrings.xml><?xml version="1.0" encoding="utf-8"?>
<sst xmlns="http://schemas.openxmlformats.org/spreadsheetml/2006/main" count="23207" uniqueCount="1956">
  <si>
    <t>Destino</t>
  </si>
  <si>
    <t>Codigo</t>
  </si>
  <si>
    <t>Dia_semana</t>
  </si>
  <si>
    <t>Opera_desde</t>
  </si>
  <si>
    <t>Opera_hasta</t>
  </si>
  <si>
    <t>Hora_Salida</t>
  </si>
  <si>
    <t>Aeronave</t>
  </si>
  <si>
    <t>Num_vuelo</t>
  </si>
  <si>
    <t>Pais</t>
  </si>
  <si>
    <t>Escala</t>
  </si>
  <si>
    <t>Origen</t>
  </si>
  <si>
    <t>AMSTERDAM/SCHIPHOL</t>
  </si>
  <si>
    <t>AMS</t>
  </si>
  <si>
    <t xml:space="preserve">   J   </t>
  </si>
  <si>
    <t>73H</t>
  </si>
  <si>
    <t xml:space="preserve">  TRA5686</t>
  </si>
  <si>
    <t>HOLANDA</t>
  </si>
  <si>
    <t>ACE</t>
  </si>
  <si>
    <t xml:space="preserve">      D</t>
  </si>
  <si>
    <t xml:space="preserve"> M     </t>
  </si>
  <si>
    <t xml:space="preserve">  X    </t>
  </si>
  <si>
    <t xml:space="preserve">  TRA5684</t>
  </si>
  <si>
    <t xml:space="preserve">     S </t>
  </si>
  <si>
    <t>ASTURIAS</t>
  </si>
  <si>
    <t>OVD</t>
  </si>
  <si>
    <t>ESPAÑA</t>
  </si>
  <si>
    <t xml:space="preserve">  VLG3138</t>
  </si>
  <si>
    <t>BARCELONA-EL PRAT</t>
  </si>
  <si>
    <t>BCN</t>
  </si>
  <si>
    <t xml:space="preserve">  VLG2473</t>
  </si>
  <si>
    <t xml:space="preserve">LMXJVS </t>
  </si>
  <si>
    <t>BASEL/MULHOUSE EUROAIRPORT CH</t>
  </si>
  <si>
    <t>BSL</t>
  </si>
  <si>
    <t xml:space="preserve">  EZS1250</t>
  </si>
  <si>
    <t>SUIZA</t>
  </si>
  <si>
    <t>BELFAST / INTERNACIONAL</t>
  </si>
  <si>
    <t>BFS</t>
  </si>
  <si>
    <t xml:space="preserve">L   V  </t>
  </si>
  <si>
    <t>REINO UNIDO</t>
  </si>
  <si>
    <t>32B</t>
  </si>
  <si>
    <t xml:space="preserve">  TCX1783</t>
  </si>
  <si>
    <t xml:space="preserve">  EXS310</t>
  </si>
  <si>
    <t>BERLIN /SCHOENEFELD</t>
  </si>
  <si>
    <t>SXF</t>
  </si>
  <si>
    <t xml:space="preserve">  RYR3493</t>
  </si>
  <si>
    <t>ALEMANIA</t>
  </si>
  <si>
    <t>BERLIN /TEGEL</t>
  </si>
  <si>
    <t>TXL</t>
  </si>
  <si>
    <t xml:space="preserve">    V  </t>
  </si>
  <si>
    <t xml:space="preserve">  GMI4925</t>
  </si>
  <si>
    <t>BILBAO</t>
  </si>
  <si>
    <t>BIO</t>
  </si>
  <si>
    <t xml:space="preserve">     SD</t>
  </si>
  <si>
    <t xml:space="preserve">  VLG3281</t>
  </si>
  <si>
    <t xml:space="preserve"> MX    </t>
  </si>
  <si>
    <t xml:space="preserve">  AEA7029</t>
  </si>
  <si>
    <t>BIRMINGHAM / INTERNACIONAL</t>
  </si>
  <si>
    <t>BHX</t>
  </si>
  <si>
    <t xml:space="preserve">  RYR1449</t>
  </si>
  <si>
    <t xml:space="preserve">L      </t>
  </si>
  <si>
    <t xml:space="preserve">  EXS1202</t>
  </si>
  <si>
    <t xml:space="preserve">  TCX1403</t>
  </si>
  <si>
    <t xml:space="preserve">  TCX1807</t>
  </si>
  <si>
    <t>BOLONIA/ GUGLIELMO MARCONI</t>
  </si>
  <si>
    <t>BLQ</t>
  </si>
  <si>
    <t xml:space="preserve">  RYR4896</t>
  </si>
  <si>
    <t>ITALIA</t>
  </si>
  <si>
    <t>BREMEN</t>
  </si>
  <si>
    <t>BRE</t>
  </si>
  <si>
    <t xml:space="preserve">  GMI2921</t>
  </si>
  <si>
    <t>BRISTOL</t>
  </si>
  <si>
    <t>BRS</t>
  </si>
  <si>
    <t xml:space="preserve"> M   S </t>
  </si>
  <si>
    <t xml:space="preserve">  EZY6194</t>
  </si>
  <si>
    <t xml:space="preserve">  RYR4756</t>
  </si>
  <si>
    <t xml:space="preserve">  TCX1703</t>
  </si>
  <si>
    <t>BRUSELAS</t>
  </si>
  <si>
    <t>BRU</t>
  </si>
  <si>
    <t xml:space="preserve">  BEL3788</t>
  </si>
  <si>
    <t>BELGICA</t>
  </si>
  <si>
    <t>FUE</t>
  </si>
  <si>
    <t>73W</t>
  </si>
  <si>
    <t>BRUSELAS/CHARLEROI</t>
  </si>
  <si>
    <t>CRL</t>
  </si>
  <si>
    <t xml:space="preserve">  X   D</t>
  </si>
  <si>
    <t xml:space="preserve">  RYR8175</t>
  </si>
  <si>
    <t>CARDIFF-WALES</t>
  </si>
  <si>
    <t>CWL</t>
  </si>
  <si>
    <t>COLONIA/BONN</t>
  </si>
  <si>
    <t>CGN</t>
  </si>
  <si>
    <t>CORK</t>
  </si>
  <si>
    <t>ORK</t>
  </si>
  <si>
    <t xml:space="preserve">  RYR9944</t>
  </si>
  <si>
    <t>IRLANDA</t>
  </si>
  <si>
    <t xml:space="preserve">  EIN877</t>
  </si>
  <si>
    <t xml:space="preserve">   J S </t>
  </si>
  <si>
    <t>DUBLIN</t>
  </si>
  <si>
    <t>DUB</t>
  </si>
  <si>
    <t xml:space="preserve">  RYR7125</t>
  </si>
  <si>
    <t xml:space="preserve">  EIN777</t>
  </si>
  <si>
    <t xml:space="preserve">  EIN779</t>
  </si>
  <si>
    <t>L     D</t>
  </si>
  <si>
    <t>DUSSELDORF</t>
  </si>
  <si>
    <t>DUS</t>
  </si>
  <si>
    <t>75T</t>
  </si>
  <si>
    <t xml:space="preserve">  CFG1421</t>
  </si>
  <si>
    <t>7S8</t>
  </si>
  <si>
    <t>EAST MIDLANDS</t>
  </si>
  <si>
    <t>EMA</t>
  </si>
  <si>
    <t xml:space="preserve"> M J   </t>
  </si>
  <si>
    <t xml:space="preserve">  RYR3173</t>
  </si>
  <si>
    <t xml:space="preserve">   J  D</t>
  </si>
  <si>
    <t xml:space="preserve">  EXS632</t>
  </si>
  <si>
    <t xml:space="preserve">  TCX1287</t>
  </si>
  <si>
    <t xml:space="preserve">  TCX1399</t>
  </si>
  <si>
    <t>EDIMBURGO/ TURNHOUSE</t>
  </si>
  <si>
    <t>EDI</t>
  </si>
  <si>
    <t xml:space="preserve">  RYR6627</t>
  </si>
  <si>
    <t xml:space="preserve">  EXS706</t>
  </si>
  <si>
    <t>EINDHOVEN</t>
  </si>
  <si>
    <t>EIN</t>
  </si>
  <si>
    <t xml:space="preserve">  TRA6358</t>
  </si>
  <si>
    <t xml:space="preserve">  RYR5858</t>
  </si>
  <si>
    <t>FRANKFURT/INTERNACIONAL</t>
  </si>
  <si>
    <t>FRA</t>
  </si>
  <si>
    <t xml:space="preserve">  RYR1587</t>
  </si>
  <si>
    <t xml:space="preserve">  CFG1409</t>
  </si>
  <si>
    <t xml:space="preserve">  TUI2187</t>
  </si>
  <si>
    <t>WAW</t>
  </si>
  <si>
    <t>POLONIA</t>
  </si>
  <si>
    <t>GLASGOW /GLASGOW INTERNACIONAL</t>
  </si>
  <si>
    <t>GLA</t>
  </si>
  <si>
    <t xml:space="preserve">  X V  </t>
  </si>
  <si>
    <t xml:space="preserve">  EXS168</t>
  </si>
  <si>
    <t>GLASGOW /PRESTWICK</t>
  </si>
  <si>
    <t>PIK</t>
  </si>
  <si>
    <t xml:space="preserve">  RYR6154</t>
  </si>
  <si>
    <t>GRAN CANARIA</t>
  </si>
  <si>
    <t>LPA</t>
  </si>
  <si>
    <t>AT7</t>
  </si>
  <si>
    <t xml:space="preserve">  IBB503</t>
  </si>
  <si>
    <t>CRK</t>
  </si>
  <si>
    <t xml:space="preserve">  IBB501</t>
  </si>
  <si>
    <t xml:space="preserve">    V D</t>
  </si>
  <si>
    <t>LMXJVSD</t>
  </si>
  <si>
    <t xml:space="preserve">  CNF704</t>
  </si>
  <si>
    <t xml:space="preserve">LM     </t>
  </si>
  <si>
    <t xml:space="preserve">  IBB521</t>
  </si>
  <si>
    <t xml:space="preserve">  IBB505</t>
  </si>
  <si>
    <t xml:space="preserve">  IBB507</t>
  </si>
  <si>
    <t xml:space="preserve">  IBB517</t>
  </si>
  <si>
    <t>LMXJV D</t>
  </si>
  <si>
    <t xml:space="preserve">  AEA9448</t>
  </si>
  <si>
    <t xml:space="preserve">  IBB591</t>
  </si>
  <si>
    <t xml:space="preserve">  IBB511</t>
  </si>
  <si>
    <t>LM JV D</t>
  </si>
  <si>
    <t xml:space="preserve">  CNF722</t>
  </si>
  <si>
    <t xml:space="preserve">  IBB513</t>
  </si>
  <si>
    <t xml:space="preserve">  X  S </t>
  </si>
  <si>
    <t xml:space="preserve">  CNF730</t>
  </si>
  <si>
    <t xml:space="preserve">  IBB519</t>
  </si>
  <si>
    <t xml:space="preserve">  AEA9450</t>
  </si>
  <si>
    <t xml:space="preserve">LM JV  </t>
  </si>
  <si>
    <t xml:space="preserve">L XJ   </t>
  </si>
  <si>
    <t xml:space="preserve">  IBB523</t>
  </si>
  <si>
    <t xml:space="preserve">  IBB525</t>
  </si>
  <si>
    <t xml:space="preserve">  IBB531</t>
  </si>
  <si>
    <t xml:space="preserve">LMX    </t>
  </si>
  <si>
    <t xml:space="preserve">  IBB509</t>
  </si>
  <si>
    <t xml:space="preserve">  IBB529</t>
  </si>
  <si>
    <t xml:space="preserve">  IBB528</t>
  </si>
  <si>
    <t xml:space="preserve">  CNF766</t>
  </si>
  <si>
    <t xml:space="preserve">  IBB537</t>
  </si>
  <si>
    <t xml:space="preserve">  XJ  D</t>
  </si>
  <si>
    <t xml:space="preserve">  AEA9446</t>
  </si>
  <si>
    <t xml:space="preserve">  CNF784</t>
  </si>
  <si>
    <t xml:space="preserve">  IBB549</t>
  </si>
  <si>
    <t>HAMBURGO/ FUHLSBUETTEL</t>
  </si>
  <si>
    <t>HAM</t>
  </si>
  <si>
    <t xml:space="preserve">  CFG1439</t>
  </si>
  <si>
    <t>HANNOVER</t>
  </si>
  <si>
    <t>HAJ</t>
  </si>
  <si>
    <t xml:space="preserve">  CFG1695</t>
  </si>
  <si>
    <t xml:space="preserve">  TUI2189</t>
  </si>
  <si>
    <t>KNOCK - IRELAND WEST</t>
  </si>
  <si>
    <t>NOC</t>
  </si>
  <si>
    <t xml:space="preserve">  RYR2359</t>
  </si>
  <si>
    <t>LEEDS /LEEDS-BRADFORD</t>
  </si>
  <si>
    <t>LBA</t>
  </si>
  <si>
    <t xml:space="preserve">  RYR2047</t>
  </si>
  <si>
    <t xml:space="preserve">    VS </t>
  </si>
  <si>
    <t xml:space="preserve">  EXS218</t>
  </si>
  <si>
    <t>LEIPZIG</t>
  </si>
  <si>
    <t>LEJ</t>
  </si>
  <si>
    <t xml:space="preserve">  CFG1455</t>
  </si>
  <si>
    <t>LIVERPOOL /INTERNACIONAL</t>
  </si>
  <si>
    <t>LPL</t>
  </si>
  <si>
    <t xml:space="preserve">  RYR3812</t>
  </si>
  <si>
    <t>LONDRES /LUTON APT</t>
  </si>
  <si>
    <t>LTN</t>
  </si>
  <si>
    <t xml:space="preserve">  RYR3512</t>
  </si>
  <si>
    <t xml:space="preserve">  EZY2026</t>
  </si>
  <si>
    <t>LONDRES /STANSTED</t>
  </si>
  <si>
    <t>STN</t>
  </si>
  <si>
    <t xml:space="preserve">  EXS1402</t>
  </si>
  <si>
    <t>L XJV D</t>
  </si>
  <si>
    <t xml:space="preserve">  RYR8289</t>
  </si>
  <si>
    <t>75W</t>
  </si>
  <si>
    <t>LONDRES/GATWICK</t>
  </si>
  <si>
    <t>LGW</t>
  </si>
  <si>
    <t xml:space="preserve">  EZY8682</t>
  </si>
  <si>
    <t xml:space="preserve">  BAW2733</t>
  </si>
  <si>
    <t xml:space="preserve">  TCX1131</t>
  </si>
  <si>
    <t xml:space="preserve">  TCX1199</t>
  </si>
  <si>
    <t xml:space="preserve">  TCX1003</t>
  </si>
  <si>
    <t xml:space="preserve">  EZY8684</t>
  </si>
  <si>
    <t>LUXEMBURGO</t>
  </si>
  <si>
    <t>LUX</t>
  </si>
  <si>
    <t xml:space="preserve">  LGL742</t>
  </si>
  <si>
    <t>LYON /SATOLAS</t>
  </si>
  <si>
    <t>LYS</t>
  </si>
  <si>
    <t>FRANCIA</t>
  </si>
  <si>
    <t>MADRID-BARAJAS ADOLFO SUÁREZ</t>
  </si>
  <si>
    <t>MAD</t>
  </si>
  <si>
    <t xml:space="preserve">  RYR2018</t>
  </si>
  <si>
    <t xml:space="preserve">  IBE3857</t>
  </si>
  <si>
    <t xml:space="preserve">  RYR2016</t>
  </si>
  <si>
    <t>L   V D</t>
  </si>
  <si>
    <t xml:space="preserve">  XJ   </t>
  </si>
  <si>
    <t xml:space="preserve">  AEA9076</t>
  </si>
  <si>
    <t>MALAGA-COSTA DEL SOL</t>
  </si>
  <si>
    <t>AGP</t>
  </si>
  <si>
    <t xml:space="preserve">  VLG3141</t>
  </si>
  <si>
    <t>MANCHESTER /INTERNACIONAL</t>
  </si>
  <si>
    <t>MAN</t>
  </si>
  <si>
    <t xml:space="preserve">L  J   </t>
  </si>
  <si>
    <t xml:space="preserve">  RYR2132</t>
  </si>
  <si>
    <t xml:space="preserve">  EXS892</t>
  </si>
  <si>
    <t xml:space="preserve">  TCX1499</t>
  </si>
  <si>
    <t xml:space="preserve">  TCX1723</t>
  </si>
  <si>
    <t>MILAN /MALPENSA</t>
  </si>
  <si>
    <t>MXP</t>
  </si>
  <si>
    <t xml:space="preserve">  EZY2980</t>
  </si>
  <si>
    <t>MILAN/BERGAMO</t>
  </si>
  <si>
    <t>BGY</t>
  </si>
  <si>
    <t xml:space="preserve">  RYR4002</t>
  </si>
  <si>
    <t>MUNICH /FRANZ JOSEF STRAUSS</t>
  </si>
  <si>
    <t>MUC</t>
  </si>
  <si>
    <t xml:space="preserve">  CFG1401</t>
  </si>
  <si>
    <t>NANTES / ATLANTIQUE</t>
  </si>
  <si>
    <t>NTE</t>
  </si>
  <si>
    <t xml:space="preserve">  VOE2829</t>
  </si>
  <si>
    <t>NEWCASTLE</t>
  </si>
  <si>
    <t>NCL</t>
  </si>
  <si>
    <t xml:space="preserve">  RYR3491</t>
  </si>
  <si>
    <t xml:space="preserve">  TCX1369</t>
  </si>
  <si>
    <t xml:space="preserve">  TCX1371</t>
  </si>
  <si>
    <t xml:space="preserve">  EXS546</t>
  </si>
  <si>
    <t>NUREMBERG</t>
  </si>
  <si>
    <t>NUE</t>
  </si>
  <si>
    <t xml:space="preserve">  GMI3913</t>
  </si>
  <si>
    <t>PARIS /ORLY</t>
  </si>
  <si>
    <t>ORY</t>
  </si>
  <si>
    <t xml:space="preserve">  VLG3188</t>
  </si>
  <si>
    <t>PARIS/ CHARLES DE GAULLE</t>
  </si>
  <si>
    <t>CDG</t>
  </si>
  <si>
    <t>POZNAN /LAWICA</t>
  </si>
  <si>
    <t>POZ</t>
  </si>
  <si>
    <t>PRAGA /RUZYNE</t>
  </si>
  <si>
    <t>PRG</t>
  </si>
  <si>
    <t>REPUBLICA CHECA</t>
  </si>
  <si>
    <t>ROMA / FIUMICINO</t>
  </si>
  <si>
    <t>FCO</t>
  </si>
  <si>
    <t>ROTTERDAM</t>
  </si>
  <si>
    <t>RTM</t>
  </si>
  <si>
    <t>TFS</t>
  </si>
  <si>
    <t>SANTANDER-SEVE BALLESTEROS</t>
  </si>
  <si>
    <t>SDR</t>
  </si>
  <si>
    <t>SANTIAGO</t>
  </si>
  <si>
    <t>SCQ</t>
  </si>
  <si>
    <t xml:space="preserve">  RYR2001</t>
  </si>
  <si>
    <t xml:space="preserve">  VLG3136</t>
  </si>
  <si>
    <t>SEVILLA</t>
  </si>
  <si>
    <t>SVQ</t>
  </si>
  <si>
    <t xml:space="preserve">  VLG3161</t>
  </si>
  <si>
    <t xml:space="preserve">  RYR2553</t>
  </si>
  <si>
    <t>SHANNON</t>
  </si>
  <si>
    <t>SNN</t>
  </si>
  <si>
    <t xml:space="preserve">  RYR1345</t>
  </si>
  <si>
    <t>STUTTGART/ ECHTERDINGEN</t>
  </si>
  <si>
    <t>STR</t>
  </si>
  <si>
    <t xml:space="preserve">  CFG1451</t>
  </si>
  <si>
    <t>TENERIFE NORTE/ LOS RODEOS</t>
  </si>
  <si>
    <t>TFN</t>
  </si>
  <si>
    <t xml:space="preserve">  IBB453</t>
  </si>
  <si>
    <t xml:space="preserve">  IBB469</t>
  </si>
  <si>
    <t xml:space="preserve">  IBB471</t>
  </si>
  <si>
    <t xml:space="preserve">  IBB455</t>
  </si>
  <si>
    <t xml:space="preserve">L X    </t>
  </si>
  <si>
    <t xml:space="preserve">  IBB473</t>
  </si>
  <si>
    <t xml:space="preserve">  IBB457</t>
  </si>
  <si>
    <t xml:space="preserve">  CNF550</t>
  </si>
  <si>
    <t xml:space="preserve">  IBB475</t>
  </si>
  <si>
    <t xml:space="preserve">  IBB485</t>
  </si>
  <si>
    <t xml:space="preserve">  IBB487</t>
  </si>
  <si>
    <t>TENERIFE SUR/ REINA SOFIA</t>
  </si>
  <si>
    <t>TOULOUSE /BLAGNAC</t>
  </si>
  <si>
    <t>TLS</t>
  </si>
  <si>
    <t>VALENCIA</t>
  </si>
  <si>
    <t>VLC</t>
  </si>
  <si>
    <t xml:space="preserve">  RYR3488</t>
  </si>
  <si>
    <t>WEEZE</t>
  </si>
  <si>
    <t>NRN</t>
  </si>
  <si>
    <t xml:space="preserve">  RYR6209</t>
  </si>
  <si>
    <t>WROCLAW /STRACHOWICE</t>
  </si>
  <si>
    <t>WRO</t>
  </si>
  <si>
    <t>ZARAGOZA</t>
  </si>
  <si>
    <t>ZAZ</t>
  </si>
  <si>
    <t>ZURICH</t>
  </si>
  <si>
    <t>ZRH</t>
  </si>
  <si>
    <t xml:space="preserve">  VLG3286</t>
  </si>
  <si>
    <t xml:space="preserve">  EDW229</t>
  </si>
  <si>
    <t xml:space="preserve">  TRA6706</t>
  </si>
  <si>
    <t xml:space="preserve">  VLG8419</t>
  </si>
  <si>
    <t xml:space="preserve">  VLG3015</t>
  </si>
  <si>
    <t xml:space="preserve"> M J S </t>
  </si>
  <si>
    <t xml:space="preserve">  RYR6303</t>
  </si>
  <si>
    <t xml:space="preserve">  EZS1222</t>
  </si>
  <si>
    <t xml:space="preserve">  EXS308</t>
  </si>
  <si>
    <t xml:space="preserve">  RYR1102</t>
  </si>
  <si>
    <t xml:space="preserve">  GMI4923</t>
  </si>
  <si>
    <t>73G</t>
  </si>
  <si>
    <t xml:space="preserve">  TUI2873</t>
  </si>
  <si>
    <t xml:space="preserve">  VLG3285</t>
  </si>
  <si>
    <t xml:space="preserve">  RYR3742</t>
  </si>
  <si>
    <t xml:space="preserve">  EXS1230</t>
  </si>
  <si>
    <t xml:space="preserve">  TCX1863</t>
  </si>
  <si>
    <t xml:space="preserve">  NOS1446</t>
  </si>
  <si>
    <t xml:space="preserve">  GMI4199</t>
  </si>
  <si>
    <t xml:space="preserve">  EZY6066</t>
  </si>
  <si>
    <t xml:space="preserve">  RYR6443</t>
  </si>
  <si>
    <t>BUDAPEST/ FERIHEGY</t>
  </si>
  <si>
    <t>BUD</t>
  </si>
  <si>
    <t xml:space="preserve">  WZZ2392</t>
  </si>
  <si>
    <t>HUNGRIA</t>
  </si>
  <si>
    <t xml:space="preserve">  TUI2279</t>
  </si>
  <si>
    <t>DRESDEN</t>
  </si>
  <si>
    <t>DRS</t>
  </si>
  <si>
    <t xml:space="preserve">  GMI2913</t>
  </si>
  <si>
    <t xml:space="preserve">  EIN771</t>
  </si>
  <si>
    <t xml:space="preserve">  RYR7129</t>
  </si>
  <si>
    <t xml:space="preserve">  TUI2117</t>
  </si>
  <si>
    <t>32A</t>
  </si>
  <si>
    <t xml:space="preserve">  EWG9553</t>
  </si>
  <si>
    <t xml:space="preserve">  CFG1457</t>
  </si>
  <si>
    <t xml:space="preserve">  RYR3702</t>
  </si>
  <si>
    <t xml:space="preserve">  EXS614</t>
  </si>
  <si>
    <t xml:space="preserve">  TCX1759</t>
  </si>
  <si>
    <t xml:space="preserve">  RYR8422</t>
  </si>
  <si>
    <t xml:space="preserve">  EXS746</t>
  </si>
  <si>
    <t>ERFURT</t>
  </si>
  <si>
    <t>ERF</t>
  </si>
  <si>
    <t xml:space="preserve">  GMI2933</t>
  </si>
  <si>
    <t xml:space="preserve">  TUI2139</t>
  </si>
  <si>
    <t xml:space="preserve">  CFG1403</t>
  </si>
  <si>
    <t>FRIEDRICHSHAFEN</t>
  </si>
  <si>
    <t>FDH</t>
  </si>
  <si>
    <t xml:space="preserve">  GMI3035</t>
  </si>
  <si>
    <t xml:space="preserve">  TCX1149</t>
  </si>
  <si>
    <t xml:space="preserve">  EXS138</t>
  </si>
  <si>
    <t xml:space="preserve">  RYR6954</t>
  </si>
  <si>
    <t xml:space="preserve">  IBB203</t>
  </si>
  <si>
    <t xml:space="preserve">  AEA9432</t>
  </si>
  <si>
    <t xml:space="preserve">  CNF804</t>
  </si>
  <si>
    <t xml:space="preserve">  IBB237</t>
  </si>
  <si>
    <t xml:space="preserve">  IBB209</t>
  </si>
  <si>
    <t xml:space="preserve">  IBB211</t>
  </si>
  <si>
    <t xml:space="preserve">  CNF810</t>
  </si>
  <si>
    <t xml:space="preserve">  IBB207</t>
  </si>
  <si>
    <t xml:space="preserve">LMXJV  </t>
  </si>
  <si>
    <t xml:space="preserve">  AEA9434</t>
  </si>
  <si>
    <t xml:space="preserve">  IBB213</t>
  </si>
  <si>
    <t xml:space="preserve">  IBB223</t>
  </si>
  <si>
    <t xml:space="preserve">LMXJ   </t>
  </si>
  <si>
    <t xml:space="preserve">  IBB221</t>
  </si>
  <si>
    <t xml:space="preserve">  IBB217</t>
  </si>
  <si>
    <t xml:space="preserve">  CNF850</t>
  </si>
  <si>
    <t xml:space="preserve">  IBB219</t>
  </si>
  <si>
    <t xml:space="preserve">  AEA9436</t>
  </si>
  <si>
    <t xml:space="preserve">  IBB227</t>
  </si>
  <si>
    <t xml:space="preserve">  IBB231</t>
  </si>
  <si>
    <t xml:space="preserve"> MXJ   </t>
  </si>
  <si>
    <t xml:space="preserve">  IBB235</t>
  </si>
  <si>
    <t>L XJVSD</t>
  </si>
  <si>
    <t xml:space="preserve">  CNF884</t>
  </si>
  <si>
    <t xml:space="preserve">  IBB233</t>
  </si>
  <si>
    <t xml:space="preserve">  CFG1441</t>
  </si>
  <si>
    <t xml:space="preserve">  CFG1489</t>
  </si>
  <si>
    <t xml:space="preserve">  TUI2149</t>
  </si>
  <si>
    <t>KATOWICE / PYRZOWICE</t>
  </si>
  <si>
    <t>KTW</t>
  </si>
  <si>
    <t xml:space="preserve">  RYR1585</t>
  </si>
  <si>
    <t xml:space="preserve">  EXS250</t>
  </si>
  <si>
    <t xml:space="preserve">  CFG1461</t>
  </si>
  <si>
    <t>LILLE  /LESQUIN</t>
  </si>
  <si>
    <t>LIL</t>
  </si>
  <si>
    <t xml:space="preserve">  RYR4082</t>
  </si>
  <si>
    <t xml:space="preserve">  EZY7168</t>
  </si>
  <si>
    <t xml:space="preserve">  RYR3526</t>
  </si>
  <si>
    <t xml:space="preserve"> M J SD</t>
  </si>
  <si>
    <t xml:space="preserve">  RYR8183</t>
  </si>
  <si>
    <t xml:space="preserve">  EXS1452</t>
  </si>
  <si>
    <t xml:space="preserve">  EZY8536</t>
  </si>
  <si>
    <t xml:space="preserve">  TCX1015</t>
  </si>
  <si>
    <t xml:space="preserve">  TCX1111</t>
  </si>
  <si>
    <t xml:space="preserve">  EZY8538</t>
  </si>
  <si>
    <t xml:space="preserve">  EZY4440</t>
  </si>
  <si>
    <t xml:space="preserve">  RYR5469</t>
  </si>
  <si>
    <t xml:space="preserve">  IBE3907</t>
  </si>
  <si>
    <t xml:space="preserve">    VSD</t>
  </si>
  <si>
    <t xml:space="preserve">  VLG3147</t>
  </si>
  <si>
    <t xml:space="preserve">  TCX1545</t>
  </si>
  <si>
    <t xml:space="preserve">  EXS910</t>
  </si>
  <si>
    <t xml:space="preserve">  TCX1483</t>
  </si>
  <si>
    <t xml:space="preserve">  RYR3806</t>
  </si>
  <si>
    <t xml:space="preserve">  RYR8807</t>
  </si>
  <si>
    <t>MUENSTER</t>
  </si>
  <si>
    <t>FMO</t>
  </si>
  <si>
    <t xml:space="preserve">  GMI4205</t>
  </si>
  <si>
    <t xml:space="preserve">  TUI2163</t>
  </si>
  <si>
    <t xml:space="preserve">  CFG1413</t>
  </si>
  <si>
    <t xml:space="preserve">  VOE2811</t>
  </si>
  <si>
    <t xml:space="preserve">  TCX1445</t>
  </si>
  <si>
    <t xml:space="preserve">  EXS522</t>
  </si>
  <si>
    <t xml:space="preserve">  GMI3711</t>
  </si>
  <si>
    <t xml:space="preserve">  VLG3197</t>
  </si>
  <si>
    <t xml:space="preserve">  TVS3703</t>
  </si>
  <si>
    <t>PISA / GALILEO GALILEI</t>
  </si>
  <si>
    <t>PSA</t>
  </si>
  <si>
    <t xml:space="preserve">  RYR9423</t>
  </si>
  <si>
    <t>73J</t>
  </si>
  <si>
    <t xml:space="preserve">  TVS1211</t>
  </si>
  <si>
    <t xml:space="preserve">  VLG6231</t>
  </si>
  <si>
    <t xml:space="preserve">  VLG1641</t>
  </si>
  <si>
    <t xml:space="preserve">  VLG3165</t>
  </si>
  <si>
    <t xml:space="preserve">  RYR1349</t>
  </si>
  <si>
    <t xml:space="preserve">  CFG1453</t>
  </si>
  <si>
    <t xml:space="preserve">  IBB415</t>
  </si>
  <si>
    <t xml:space="preserve">  IBB423</t>
  </si>
  <si>
    <t xml:space="preserve">  IBB419</t>
  </si>
  <si>
    <t xml:space="preserve">  IBB417</t>
  </si>
  <si>
    <t xml:space="preserve">  IBB421</t>
  </si>
  <si>
    <t xml:space="preserve">  IBB425</t>
  </si>
  <si>
    <t xml:space="preserve">  CNF375</t>
  </si>
  <si>
    <t xml:space="preserve">  IBB429</t>
  </si>
  <si>
    <t>VERONA /VILLAFRANCA</t>
  </si>
  <si>
    <t>VRN</t>
  </si>
  <si>
    <t>VIENA  /INTERNACIONAL</t>
  </si>
  <si>
    <t>VIE</t>
  </si>
  <si>
    <t xml:space="preserve">  AUA9502</t>
  </si>
  <si>
    <t>AUSTRIA</t>
  </si>
  <si>
    <t xml:space="preserve">  RYR8627</t>
  </si>
  <si>
    <t xml:space="preserve">  EDW213</t>
  </si>
  <si>
    <t>LCG</t>
  </si>
  <si>
    <t xml:space="preserve">  VLG3132</t>
  </si>
  <si>
    <t>AGADIR/AL MASSIRA</t>
  </si>
  <si>
    <t>AGA</t>
  </si>
  <si>
    <t xml:space="preserve">  IBB6306</t>
  </si>
  <si>
    <t>MARRUECOS</t>
  </si>
  <si>
    <t>ALICANTE-ELCHE</t>
  </si>
  <si>
    <t>ALC</t>
  </si>
  <si>
    <t xml:space="preserve">  ANE8805</t>
  </si>
  <si>
    <t xml:space="preserve">  TRA5666</t>
  </si>
  <si>
    <t xml:space="preserve">  TRA5664</t>
  </si>
  <si>
    <t>76W</t>
  </si>
  <si>
    <t xml:space="preserve">  TRA5662</t>
  </si>
  <si>
    <t>BANJUL/YUNDUM INTERNACIONAL</t>
  </si>
  <si>
    <t>BJL</t>
  </si>
  <si>
    <t xml:space="preserve">  IBB6902</t>
  </si>
  <si>
    <t>GAMBIA</t>
  </si>
  <si>
    <t xml:space="preserve">  VLG3001</t>
  </si>
  <si>
    <t xml:space="preserve">  VLG3007</t>
  </si>
  <si>
    <t xml:space="preserve">  VLG3003</t>
  </si>
  <si>
    <t xml:space="preserve">  RYR6371</t>
  </si>
  <si>
    <t xml:space="preserve">  TUI2205</t>
  </si>
  <si>
    <t xml:space="preserve">  EXS372</t>
  </si>
  <si>
    <t>BERGEN/FLESLAND</t>
  </si>
  <si>
    <t>BGO</t>
  </si>
  <si>
    <t>NORUEGA</t>
  </si>
  <si>
    <t xml:space="preserve">  RYR2505</t>
  </si>
  <si>
    <t xml:space="preserve">  GMI4927</t>
  </si>
  <si>
    <t xml:space="preserve">  VLG3275</t>
  </si>
  <si>
    <t xml:space="preserve">  RYR1129</t>
  </si>
  <si>
    <t xml:space="preserve">  EXS1260</t>
  </si>
  <si>
    <t>BLAISE DIAGNE INTL</t>
  </si>
  <si>
    <t>DSS</t>
  </si>
  <si>
    <t xml:space="preserve">  IBB6604</t>
  </si>
  <si>
    <t>SENEGAL</t>
  </si>
  <si>
    <t xml:space="preserve">  RYR4515</t>
  </si>
  <si>
    <t>BOURNEMOUTH  INTL</t>
  </si>
  <si>
    <t>BOH</t>
  </si>
  <si>
    <t xml:space="preserve">  GMI3205</t>
  </si>
  <si>
    <t xml:space="preserve">  RYR4758</t>
  </si>
  <si>
    <t>FNC</t>
  </si>
  <si>
    <t xml:space="preserve">  BEL3784</t>
  </si>
  <si>
    <t xml:space="preserve">  RYR8177</t>
  </si>
  <si>
    <t xml:space="preserve">  RYR2967</t>
  </si>
  <si>
    <t>CASABLANCA/ MOHAMED V</t>
  </si>
  <si>
    <t>CMN</t>
  </si>
  <si>
    <t xml:space="preserve">  IBB6400</t>
  </si>
  <si>
    <t xml:space="preserve">  RYR303</t>
  </si>
  <si>
    <t xml:space="preserve">  TUI2207</t>
  </si>
  <si>
    <t>COPENHAGUE</t>
  </si>
  <si>
    <t>CPH</t>
  </si>
  <si>
    <t xml:space="preserve">  IBK5922</t>
  </si>
  <si>
    <t>DINAMARCA</t>
  </si>
  <si>
    <t xml:space="preserve">  RYR7027</t>
  </si>
  <si>
    <t xml:space="preserve">  EIN873</t>
  </si>
  <si>
    <t>CRACOVIA /JUAN PABLO II INTERN</t>
  </si>
  <si>
    <t>KRK</t>
  </si>
  <si>
    <t xml:space="preserve">  RYR4504</t>
  </si>
  <si>
    <t>DAKHLA</t>
  </si>
  <si>
    <t>VIL</t>
  </si>
  <si>
    <t xml:space="preserve">  IBB6167</t>
  </si>
  <si>
    <t xml:space="preserve">  GMI2903</t>
  </si>
  <si>
    <t xml:space="preserve">  RYR7127</t>
  </si>
  <si>
    <t xml:space="preserve">  EIN783</t>
  </si>
  <si>
    <t xml:space="preserve">  GMI4967</t>
  </si>
  <si>
    <t xml:space="preserve">  IBK5952</t>
  </si>
  <si>
    <t xml:space="preserve">  TUI2115</t>
  </si>
  <si>
    <t xml:space="preserve">  EWG9543</t>
  </si>
  <si>
    <t xml:space="preserve">  CFG1435</t>
  </si>
  <si>
    <t xml:space="preserve">  RYR3163</t>
  </si>
  <si>
    <t xml:space="preserve">  TCX1267</t>
  </si>
  <si>
    <t xml:space="preserve">  EXS670</t>
  </si>
  <si>
    <t xml:space="preserve">  RYR6699</t>
  </si>
  <si>
    <t xml:space="preserve">  EXS716</t>
  </si>
  <si>
    <t xml:space="preserve">  RYR7735</t>
  </si>
  <si>
    <t>EL HIERRO / VALVERDE</t>
  </si>
  <si>
    <t>VDE</t>
  </si>
  <si>
    <t xml:space="preserve">  IBB365</t>
  </si>
  <si>
    <t xml:space="preserve">  GMI4351</t>
  </si>
  <si>
    <t>ESTOCOLMO/ARLANDA</t>
  </si>
  <si>
    <t>ARN</t>
  </si>
  <si>
    <t>SUECIA</t>
  </si>
  <si>
    <t xml:space="preserve">  NAX4242</t>
  </si>
  <si>
    <t>F.G.L. GRANADA - JAEN</t>
  </si>
  <si>
    <t>GRX</t>
  </si>
  <si>
    <t xml:space="preserve">  VLG3061</t>
  </si>
  <si>
    <t>FRANKFURT /HAHN</t>
  </si>
  <si>
    <t>HHN</t>
  </si>
  <si>
    <t xml:space="preserve">  RYR5053</t>
  </si>
  <si>
    <t xml:space="preserve">  RYR1569</t>
  </si>
  <si>
    <t xml:space="preserve">  CFG1405</t>
  </si>
  <si>
    <t xml:space="preserve">  TUI2259</t>
  </si>
  <si>
    <t xml:space="preserve">  GMI2949</t>
  </si>
  <si>
    <t>FUERTEVENTURA</t>
  </si>
  <si>
    <t xml:space="preserve">  AEA9431</t>
  </si>
  <si>
    <t xml:space="preserve"> MXJ SD</t>
  </si>
  <si>
    <t xml:space="preserve">  IBB200</t>
  </si>
  <si>
    <t>LMXJ SD</t>
  </si>
  <si>
    <t xml:space="preserve">  CNF803</t>
  </si>
  <si>
    <t xml:space="preserve">  IBB236</t>
  </si>
  <si>
    <t xml:space="preserve">  IBB208</t>
  </si>
  <si>
    <t xml:space="preserve">  IBB210</t>
  </si>
  <si>
    <t xml:space="preserve">  CNF809</t>
  </si>
  <si>
    <t xml:space="preserve">  IBB206</t>
  </si>
  <si>
    <t xml:space="preserve">  AEA9433</t>
  </si>
  <si>
    <t xml:space="preserve">  IBB212</t>
  </si>
  <si>
    <t xml:space="preserve">  IBB222</t>
  </si>
  <si>
    <t xml:space="preserve">  IBB214</t>
  </si>
  <si>
    <t xml:space="preserve">  IBB216</t>
  </si>
  <si>
    <t xml:space="preserve">  CNF849</t>
  </si>
  <si>
    <t xml:space="preserve">  IBB220</t>
  </si>
  <si>
    <t xml:space="preserve">  AEA9435</t>
  </si>
  <si>
    <t xml:space="preserve">  IBB224</t>
  </si>
  <si>
    <t xml:space="preserve">  IBB228</t>
  </si>
  <si>
    <t xml:space="preserve">  IBB234</t>
  </si>
  <si>
    <t xml:space="preserve">  CNF883</t>
  </si>
  <si>
    <t xml:space="preserve">  IBB230</t>
  </si>
  <si>
    <t>FUNCHAL / MADEIRA</t>
  </si>
  <si>
    <t xml:space="preserve">  IBB912</t>
  </si>
  <si>
    <t>PORTUGAL</t>
  </si>
  <si>
    <t xml:space="preserve">  X V D</t>
  </si>
  <si>
    <t>GINEBRA/COINTRIN</t>
  </si>
  <si>
    <t>GVA</t>
  </si>
  <si>
    <t xml:space="preserve">  EXS144</t>
  </si>
  <si>
    <t>GRONINGEN/EELDE</t>
  </si>
  <si>
    <t>GRQ</t>
  </si>
  <si>
    <t xml:space="preserve">  IBK5950</t>
  </si>
  <si>
    <t xml:space="preserve">  CFG1519</t>
  </si>
  <si>
    <t xml:space="preserve">  TUI2263</t>
  </si>
  <si>
    <t xml:space="preserve">  CFG1443</t>
  </si>
  <si>
    <t>HELSINKI / HELSINKI-VANTAA</t>
  </si>
  <si>
    <t>HEL</t>
  </si>
  <si>
    <t>FINLANDIA</t>
  </si>
  <si>
    <t xml:space="preserve">  ENT7362</t>
  </si>
  <si>
    <t>LA GOMERA</t>
  </si>
  <si>
    <t>GMZ</t>
  </si>
  <si>
    <t>LA PALMA /STA.CRUZ DE LA PALMA</t>
  </si>
  <si>
    <t>SPC</t>
  </si>
  <si>
    <t xml:space="preserve">  IBB309</t>
  </si>
  <si>
    <t xml:space="preserve">  IBB315</t>
  </si>
  <si>
    <t xml:space="preserve">  IBB311</t>
  </si>
  <si>
    <t xml:space="preserve">  IBB317</t>
  </si>
  <si>
    <t>LAAYOUNE / HASSAN I</t>
  </si>
  <si>
    <t>EUN</t>
  </si>
  <si>
    <t xml:space="preserve">  IBB6102</t>
  </si>
  <si>
    <t xml:space="preserve">  RAM999</t>
  </si>
  <si>
    <t>LANZAROTE</t>
  </si>
  <si>
    <t xml:space="preserve">  IBB500</t>
  </si>
  <si>
    <t xml:space="preserve">  CNF703</t>
  </si>
  <si>
    <t xml:space="preserve">  IBB520</t>
  </si>
  <si>
    <t xml:space="preserve">  IBB504</t>
  </si>
  <si>
    <t xml:space="preserve">  IBB506</t>
  </si>
  <si>
    <t xml:space="preserve">  IBB516</t>
  </si>
  <si>
    <t xml:space="preserve">  AEA9447</t>
  </si>
  <si>
    <t xml:space="preserve">  IBB590</t>
  </si>
  <si>
    <t xml:space="preserve">  IBB510</t>
  </si>
  <si>
    <t xml:space="preserve">  IBB514</t>
  </si>
  <si>
    <t xml:space="preserve">  CNF721</t>
  </si>
  <si>
    <t xml:space="preserve">  IBB508</t>
  </si>
  <si>
    <t xml:space="preserve">  CNF729</t>
  </si>
  <si>
    <t xml:space="preserve">  AEA9449</t>
  </si>
  <si>
    <t xml:space="preserve">  IBB518</t>
  </si>
  <si>
    <t xml:space="preserve">  IBB522</t>
  </si>
  <si>
    <t xml:space="preserve">  IBB524</t>
  </si>
  <si>
    <t xml:space="preserve">  IBB530</t>
  </si>
  <si>
    <t xml:space="preserve">  IBB502</t>
  </si>
  <si>
    <t xml:space="preserve">  IBB534</t>
  </si>
  <si>
    <t xml:space="preserve">  IBB526</t>
  </si>
  <si>
    <t xml:space="preserve">  IBB527</t>
  </si>
  <si>
    <t xml:space="preserve">  CNF765</t>
  </si>
  <si>
    <t xml:space="preserve">  IBB536</t>
  </si>
  <si>
    <t xml:space="preserve">  AEA9445</t>
  </si>
  <si>
    <t xml:space="preserve">  IBB538</t>
  </si>
  <si>
    <t xml:space="preserve">  CNF783</t>
  </si>
  <si>
    <t xml:space="preserve">  IBB540</t>
  </si>
  <si>
    <t xml:space="preserve">  RYR2535</t>
  </si>
  <si>
    <t xml:space="preserve">  EXS478</t>
  </si>
  <si>
    <t xml:space="preserve">  CFG1463</t>
  </si>
  <si>
    <t>LIEGE /BIERSET</t>
  </si>
  <si>
    <t>LGG</t>
  </si>
  <si>
    <t>LISBOA</t>
  </si>
  <si>
    <t>LIS</t>
  </si>
  <si>
    <t xml:space="preserve">  IBB6810</t>
  </si>
  <si>
    <t>LONDRES / HEATHROW</t>
  </si>
  <si>
    <t>LHR</t>
  </si>
  <si>
    <t xml:space="preserve">  BAW489</t>
  </si>
  <si>
    <t xml:space="preserve">  RYR8133</t>
  </si>
  <si>
    <t xml:space="preserve">  X  SD</t>
  </si>
  <si>
    <t xml:space="preserve">  EXS1508</t>
  </si>
  <si>
    <t xml:space="preserve">  IBK2419</t>
  </si>
  <si>
    <t xml:space="preserve">  EZY8692</t>
  </si>
  <si>
    <t xml:space="preserve">  TCX1069</t>
  </si>
  <si>
    <t xml:space="preserve">  LGL708</t>
  </si>
  <si>
    <t xml:space="preserve">  LGL704</t>
  </si>
  <si>
    <t xml:space="preserve">  VLG3182</t>
  </si>
  <si>
    <t xml:space="preserve">  IBE3835</t>
  </si>
  <si>
    <t xml:space="preserve">L X  S </t>
  </si>
  <si>
    <t xml:space="preserve">  AEA9018</t>
  </si>
  <si>
    <t xml:space="preserve">  RYR2032</t>
  </si>
  <si>
    <t xml:space="preserve">  AEA9161</t>
  </si>
  <si>
    <t xml:space="preserve">  IBE3827</t>
  </si>
  <si>
    <t xml:space="preserve">  IBE3823</t>
  </si>
  <si>
    <t xml:space="preserve">  IBE3825</t>
  </si>
  <si>
    <t xml:space="preserve">  IBE3829</t>
  </si>
  <si>
    <t xml:space="preserve"> M   SD</t>
  </si>
  <si>
    <t xml:space="preserve">  RYR2012</t>
  </si>
  <si>
    <t xml:space="preserve">  AEA9165</t>
  </si>
  <si>
    <t xml:space="preserve">  IBE3833</t>
  </si>
  <si>
    <t xml:space="preserve">  IBK6303</t>
  </si>
  <si>
    <t xml:space="preserve">L    S </t>
  </si>
  <si>
    <t xml:space="preserve">   JV  </t>
  </si>
  <si>
    <t xml:space="preserve">  VLG3069</t>
  </si>
  <si>
    <t xml:space="preserve">  RYR3804</t>
  </si>
  <si>
    <t xml:space="preserve">  TCX1885</t>
  </si>
  <si>
    <t xml:space="preserve">  EXS782</t>
  </si>
  <si>
    <t xml:space="preserve">  TCX1479</t>
  </si>
  <si>
    <t>MARRAKECH /MENARA</t>
  </si>
  <si>
    <t>RAK</t>
  </si>
  <si>
    <t xml:space="preserve">  IBB6204</t>
  </si>
  <si>
    <t xml:space="preserve">  RYR5522</t>
  </si>
  <si>
    <t xml:space="preserve">  RYR6093</t>
  </si>
  <si>
    <t xml:space="preserve">  GMI4303</t>
  </si>
  <si>
    <t xml:space="preserve">  IBK5962</t>
  </si>
  <si>
    <t xml:space="preserve">  CFG1523</t>
  </si>
  <si>
    <t xml:space="preserve">  TUI2239</t>
  </si>
  <si>
    <t xml:space="preserve">  VLG3186</t>
  </si>
  <si>
    <t xml:space="preserve">  VOE2739</t>
  </si>
  <si>
    <t xml:space="preserve">  EXS542</t>
  </si>
  <si>
    <t>NOUAKCHOTT-OUMTOUNSY</t>
  </si>
  <si>
    <t>NKC</t>
  </si>
  <si>
    <t xml:space="preserve">  IBB6504</t>
  </si>
  <si>
    <t>MAURITANIA</t>
  </si>
  <si>
    <t xml:space="preserve">  GMI3713</t>
  </si>
  <si>
    <t>OOSTENDE-BRUGGE / OOSTENDEN</t>
  </si>
  <si>
    <t>OST</t>
  </si>
  <si>
    <t>7M8</t>
  </si>
  <si>
    <t>OPORTO</t>
  </si>
  <si>
    <t>OPO</t>
  </si>
  <si>
    <t>OSLO / GARDERMOEN</t>
  </si>
  <si>
    <t>OSL</t>
  </si>
  <si>
    <t xml:space="preserve">  IBK5872</t>
  </si>
  <si>
    <t xml:space="preserve">  SAS4698</t>
  </si>
  <si>
    <t xml:space="preserve">  NAX1817</t>
  </si>
  <si>
    <t>OSLO /SANDEFJORD</t>
  </si>
  <si>
    <t>TRF</t>
  </si>
  <si>
    <t xml:space="preserve">  IBK5892</t>
  </si>
  <si>
    <t>PALMA DE MALLORCA</t>
  </si>
  <si>
    <t>PMI</t>
  </si>
  <si>
    <t xml:space="preserve">  IBB5100</t>
  </si>
  <si>
    <t xml:space="preserve">  RYR1419</t>
  </si>
  <si>
    <t>PONTA DELGADA /NORDEZA</t>
  </si>
  <si>
    <t>PDL</t>
  </si>
  <si>
    <t>DH4</t>
  </si>
  <si>
    <t xml:space="preserve">  RZO505</t>
  </si>
  <si>
    <t xml:space="preserve">  TVS2041</t>
  </si>
  <si>
    <t xml:space="preserve">  VLG6579</t>
  </si>
  <si>
    <t xml:space="preserve">  TRA6302</t>
  </si>
  <si>
    <t>SAL  /AMILCAR CABRAL INTERN</t>
  </si>
  <si>
    <t>SID</t>
  </si>
  <si>
    <t xml:space="preserve">  IBB6800</t>
  </si>
  <si>
    <t>CABO VERDE</t>
  </si>
  <si>
    <t xml:space="preserve">  RYR7003</t>
  </si>
  <si>
    <t xml:space="preserve">  VLG3049</t>
  </si>
  <si>
    <t xml:space="preserve">  VLG3045</t>
  </si>
  <si>
    <t xml:space="preserve">  RYR7723</t>
  </si>
  <si>
    <t xml:space="preserve">  VLG3047</t>
  </si>
  <si>
    <t xml:space="preserve">  TUI2169</t>
  </si>
  <si>
    <t xml:space="preserve">  CFG1481</t>
  </si>
  <si>
    <t xml:space="preserve">  AEA9403</t>
  </si>
  <si>
    <t xml:space="preserve">  IBB101</t>
  </si>
  <si>
    <t xml:space="preserve">  IBB153</t>
  </si>
  <si>
    <t xml:space="preserve">  IBB103</t>
  </si>
  <si>
    <t xml:space="preserve">  IBB107</t>
  </si>
  <si>
    <t xml:space="preserve"> M  V  </t>
  </si>
  <si>
    <t xml:space="preserve">  IBB105</t>
  </si>
  <si>
    <t xml:space="preserve">  IBB119</t>
  </si>
  <si>
    <t xml:space="preserve">  AEA9415</t>
  </si>
  <si>
    <t xml:space="preserve">  IBB111</t>
  </si>
  <si>
    <t xml:space="preserve">  IBB109</t>
  </si>
  <si>
    <t xml:space="preserve">  AEA9401</t>
  </si>
  <si>
    <t xml:space="preserve">  IBB127</t>
  </si>
  <si>
    <t xml:space="preserve">  IBB133</t>
  </si>
  <si>
    <t xml:space="preserve">  IBB145</t>
  </si>
  <si>
    <t xml:space="preserve">  AEA9417</t>
  </si>
  <si>
    <t xml:space="preserve">  IBB147</t>
  </si>
  <si>
    <t xml:space="preserve">  CNF653</t>
  </si>
  <si>
    <t xml:space="preserve">  IBB135</t>
  </si>
  <si>
    <t xml:space="preserve">L  J S </t>
  </si>
  <si>
    <t xml:space="preserve">  AEA9405</t>
  </si>
  <si>
    <t xml:space="preserve">  IBB117</t>
  </si>
  <si>
    <t xml:space="preserve">  IBB167</t>
  </si>
  <si>
    <t xml:space="preserve">  IBB169</t>
  </si>
  <si>
    <t xml:space="preserve">LM   S </t>
  </si>
  <si>
    <t xml:space="preserve">  AEA9419</t>
  </si>
  <si>
    <t xml:space="preserve">  IBB175</t>
  </si>
  <si>
    <t xml:space="preserve">  IBB173</t>
  </si>
  <si>
    <t xml:space="preserve">  CNF667</t>
  </si>
  <si>
    <t xml:space="preserve">  IBB179</t>
  </si>
  <si>
    <t xml:space="preserve">  AEA9407</t>
  </si>
  <si>
    <t xml:space="preserve">  IBB191</t>
  </si>
  <si>
    <t xml:space="preserve">  IBB195</t>
  </si>
  <si>
    <t xml:space="preserve">  IBB193</t>
  </si>
  <si>
    <t xml:space="preserve">  IBB155</t>
  </si>
  <si>
    <t xml:space="preserve">  IBB123</t>
  </si>
  <si>
    <t>LMX  SD</t>
  </si>
  <si>
    <t xml:space="preserve">  IBB125</t>
  </si>
  <si>
    <t>TREVISO/S.ANGELO (MIL)</t>
  </si>
  <si>
    <t>TSF</t>
  </si>
  <si>
    <t xml:space="preserve">  RYR7201</t>
  </si>
  <si>
    <t>VARSOVIA/MODLIN</t>
  </si>
  <si>
    <t>WMI</t>
  </si>
  <si>
    <t xml:space="preserve">  RYR6124</t>
  </si>
  <si>
    <t xml:space="preserve">  EWG5905</t>
  </si>
  <si>
    <t xml:space="preserve">  AUA9504</t>
  </si>
  <si>
    <t>VIGO</t>
  </si>
  <si>
    <t>VGO</t>
  </si>
  <si>
    <t xml:space="preserve">  IBB5230</t>
  </si>
  <si>
    <t xml:space="preserve">  EDW201</t>
  </si>
  <si>
    <t xml:space="preserve">  GSW4937</t>
  </si>
  <si>
    <t xml:space="preserve">  TRA5642</t>
  </si>
  <si>
    <t xml:space="preserve">  VLG3249</t>
  </si>
  <si>
    <t>BILLUND</t>
  </si>
  <si>
    <t>BLL</t>
  </si>
  <si>
    <t xml:space="preserve">  GMI4979</t>
  </si>
  <si>
    <t xml:space="preserve">  CFG1427</t>
  </si>
  <si>
    <t xml:space="preserve">  CFG1407</t>
  </si>
  <si>
    <t xml:space="preserve">  IBB304</t>
  </si>
  <si>
    <t xml:space="preserve">  IBB316</t>
  </si>
  <si>
    <t xml:space="preserve">  IBB312</t>
  </si>
  <si>
    <t xml:space="preserve">  IBB318</t>
  </si>
  <si>
    <t xml:space="preserve">  CFG1495</t>
  </si>
  <si>
    <t xml:space="preserve">  EZY8712</t>
  </si>
  <si>
    <t xml:space="preserve"> M J  D</t>
  </si>
  <si>
    <t xml:space="preserve">  IBE3843</t>
  </si>
  <si>
    <t xml:space="preserve">  CFG1417</t>
  </si>
  <si>
    <t xml:space="preserve">  CFG1423</t>
  </si>
  <si>
    <t xml:space="preserve">  IBB604</t>
  </si>
  <si>
    <t xml:space="preserve">  IBB606</t>
  </si>
  <si>
    <t xml:space="preserve">  CNF413</t>
  </si>
  <si>
    <t xml:space="preserve">   JVS </t>
  </si>
  <si>
    <t xml:space="preserve">  IBB608</t>
  </si>
  <si>
    <t xml:space="preserve">  AEA9462</t>
  </si>
  <si>
    <t xml:space="preserve">  XJV  </t>
  </si>
  <si>
    <t xml:space="preserve">  IBB612</t>
  </si>
  <si>
    <t xml:space="preserve">  CNF419</t>
  </si>
  <si>
    <t xml:space="preserve">  IBB614</t>
  </si>
  <si>
    <t xml:space="preserve">  IBB610</t>
  </si>
  <si>
    <t xml:space="preserve">  IBB642</t>
  </si>
  <si>
    <t xml:space="preserve">  IBB618</t>
  </si>
  <si>
    <t xml:space="preserve">  AEA9464</t>
  </si>
  <si>
    <t xml:space="preserve">  IBB620</t>
  </si>
  <si>
    <t xml:space="preserve">LMXJ S </t>
  </si>
  <si>
    <t xml:space="preserve">  IBB622</t>
  </si>
  <si>
    <t xml:space="preserve">  IBB630</t>
  </si>
  <si>
    <t xml:space="preserve">  CNF453</t>
  </si>
  <si>
    <t xml:space="preserve">  IBB632</t>
  </si>
  <si>
    <t xml:space="preserve">  AEA9466</t>
  </si>
  <si>
    <t xml:space="preserve">  IBB634</t>
  </si>
  <si>
    <t xml:space="preserve">  IBB636</t>
  </si>
  <si>
    <t xml:space="preserve">  AEA9480</t>
  </si>
  <si>
    <t xml:space="preserve">  IBB626</t>
  </si>
  <si>
    <t xml:space="preserve">  IBB638</t>
  </si>
  <si>
    <t xml:space="preserve">  IBB640</t>
  </si>
  <si>
    <t xml:space="preserve">  CNF468</t>
  </si>
  <si>
    <t xml:space="preserve">  AEA9468</t>
  </si>
  <si>
    <t>GOTEBORG /LANDVETTER</t>
  </si>
  <si>
    <t>GOT</t>
  </si>
  <si>
    <t xml:space="preserve">  VLG3215</t>
  </si>
  <si>
    <t xml:space="preserve">  RYR3064</t>
  </si>
  <si>
    <t xml:space="preserve">  IBK5757</t>
  </si>
  <si>
    <t xml:space="preserve">  VLG3217</t>
  </si>
  <si>
    <t xml:space="preserve">  VLG3209</t>
  </si>
  <si>
    <t xml:space="preserve">  VLG3261</t>
  </si>
  <si>
    <t xml:space="preserve">  AEA7007</t>
  </si>
  <si>
    <t>CARACAS/ SIMON BOLIVAR</t>
  </si>
  <si>
    <t>CCS</t>
  </si>
  <si>
    <t xml:space="preserve">  PUE711</t>
  </si>
  <si>
    <t>VENEZUELA</t>
  </si>
  <si>
    <t>LM JVSD</t>
  </si>
  <si>
    <t xml:space="preserve">  IBB655</t>
  </si>
  <si>
    <t xml:space="preserve">  IBB659</t>
  </si>
  <si>
    <t xml:space="preserve">  IBB663</t>
  </si>
  <si>
    <t xml:space="preserve">  CNF247</t>
  </si>
  <si>
    <t xml:space="preserve">  IBB673</t>
  </si>
  <si>
    <t xml:space="preserve">  IBB414</t>
  </si>
  <si>
    <t xml:space="preserve">  IBB422</t>
  </si>
  <si>
    <t xml:space="preserve">  IBB418</t>
  </si>
  <si>
    <t xml:space="preserve">  IBB416</t>
  </si>
  <si>
    <t xml:space="preserve">  IBB420</t>
  </si>
  <si>
    <t xml:space="preserve">  IBB424</t>
  </si>
  <si>
    <t xml:space="preserve">  CNF374</t>
  </si>
  <si>
    <t xml:space="preserve">  IBB428</t>
  </si>
  <si>
    <t xml:space="preserve">  IBB106</t>
  </si>
  <si>
    <t xml:space="preserve">  IBB102</t>
  </si>
  <si>
    <t xml:space="preserve">  AEA9404</t>
  </si>
  <si>
    <t xml:space="preserve">L   VS </t>
  </si>
  <si>
    <t xml:space="preserve">  CNF612</t>
  </si>
  <si>
    <t xml:space="preserve">  IBB104</t>
  </si>
  <si>
    <t xml:space="preserve">  IBB108</t>
  </si>
  <si>
    <t xml:space="preserve">  IBB132</t>
  </si>
  <si>
    <t xml:space="preserve">  IBB112</t>
  </si>
  <si>
    <t xml:space="preserve">  IBB120</t>
  </si>
  <si>
    <t xml:space="preserve">  AEA9416</t>
  </si>
  <si>
    <t xml:space="preserve">  IBB110</t>
  </si>
  <si>
    <t xml:space="preserve">  AEA9402</t>
  </si>
  <si>
    <t xml:space="preserve">  IBB134</t>
  </si>
  <si>
    <t xml:space="preserve">  CNF652</t>
  </si>
  <si>
    <t xml:space="preserve">  IBB158</t>
  </si>
  <si>
    <t xml:space="preserve">  AEA9418</t>
  </si>
  <si>
    <t xml:space="preserve">  IBB148</t>
  </si>
  <si>
    <t xml:space="preserve">  IBB160</t>
  </si>
  <si>
    <t xml:space="preserve">  IBB166</t>
  </si>
  <si>
    <t>LM    D</t>
  </si>
  <si>
    <t xml:space="preserve">  AEA9406</t>
  </si>
  <si>
    <t xml:space="preserve">  IBB170</t>
  </si>
  <si>
    <t xml:space="preserve">  IBB6811</t>
  </si>
  <si>
    <t xml:space="preserve">  IBB178</t>
  </si>
  <si>
    <t xml:space="preserve">  AEA9420</t>
  </si>
  <si>
    <t xml:space="preserve">  IBB186</t>
  </si>
  <si>
    <t xml:space="preserve">  CNF668</t>
  </si>
  <si>
    <t xml:space="preserve">  IBB188</t>
  </si>
  <si>
    <t xml:space="preserve">  AEA9408</t>
  </si>
  <si>
    <t xml:space="preserve">  IBB192</t>
  </si>
  <si>
    <t xml:space="preserve">  IBB190</t>
  </si>
  <si>
    <t xml:space="preserve">  IBB174</t>
  </si>
  <si>
    <t xml:space="preserve">  IBB651</t>
  </si>
  <si>
    <t xml:space="preserve">  IBB653</t>
  </si>
  <si>
    <t xml:space="preserve">  IBB605</t>
  </si>
  <si>
    <t xml:space="preserve">  CNF412</t>
  </si>
  <si>
    <t xml:space="preserve">  IBB607</t>
  </si>
  <si>
    <t xml:space="preserve">  AEA9461</t>
  </si>
  <si>
    <t xml:space="preserve">  IBB611</t>
  </si>
  <si>
    <t xml:space="preserve">  CNF418</t>
  </si>
  <si>
    <t xml:space="preserve">  IBB615</t>
  </si>
  <si>
    <t xml:space="preserve">L XJV  </t>
  </si>
  <si>
    <t xml:space="preserve">  IBB609</t>
  </si>
  <si>
    <t xml:space="preserve">  IBB617</t>
  </si>
  <si>
    <t xml:space="preserve">  AEA9463</t>
  </si>
  <si>
    <t xml:space="preserve">  IBB619</t>
  </si>
  <si>
    <t xml:space="preserve">  IBB621</t>
  </si>
  <si>
    <t xml:space="preserve">  IBB629</t>
  </si>
  <si>
    <t xml:space="preserve">  CNF452</t>
  </si>
  <si>
    <t xml:space="preserve">  IBB631</t>
  </si>
  <si>
    <t xml:space="preserve">  AEA9465</t>
  </si>
  <si>
    <t xml:space="preserve">  IBB633</t>
  </si>
  <si>
    <t xml:space="preserve">  IBB623</t>
  </si>
  <si>
    <t xml:space="preserve">  AEA9479</t>
  </si>
  <si>
    <t xml:space="preserve">  IBB625</t>
  </si>
  <si>
    <t xml:space="preserve">  IBB637</t>
  </si>
  <si>
    <t xml:space="preserve">  IBB639</t>
  </si>
  <si>
    <t xml:space="preserve">  CNF467</t>
  </si>
  <si>
    <t xml:space="preserve">  AEA9467</t>
  </si>
  <si>
    <t xml:space="preserve">  IBB627</t>
  </si>
  <si>
    <t xml:space="preserve">  IBB641</t>
  </si>
  <si>
    <t xml:space="preserve">  IBB643</t>
  </si>
  <si>
    <t xml:space="preserve">  IBB452</t>
  </si>
  <si>
    <t xml:space="preserve">  IBB468</t>
  </si>
  <si>
    <t xml:space="preserve">  IBB470</t>
  </si>
  <si>
    <t xml:space="preserve">  IBB454</t>
  </si>
  <si>
    <t xml:space="preserve">  IBB456</t>
  </si>
  <si>
    <t xml:space="preserve">  CNF549</t>
  </si>
  <si>
    <t xml:space="preserve">  IBB474</t>
  </si>
  <si>
    <t xml:space="preserve">  IBB484</t>
  </si>
  <si>
    <t xml:space="preserve">  IBB486</t>
  </si>
  <si>
    <t xml:space="preserve">  IBE3945</t>
  </si>
  <si>
    <t xml:space="preserve">  AEA9045</t>
  </si>
  <si>
    <t xml:space="preserve">L X V  </t>
  </si>
  <si>
    <t xml:space="preserve">  IBK6307</t>
  </si>
  <si>
    <t xml:space="preserve">  AEA9047</t>
  </si>
  <si>
    <t xml:space="preserve">  RYR5279</t>
  </si>
  <si>
    <t xml:space="preserve">  IBE3943</t>
  </si>
  <si>
    <t xml:space="preserve">  IBE3937</t>
  </si>
  <si>
    <t xml:space="preserve">  AEA9049</t>
  </si>
  <si>
    <t xml:space="preserve">  IBE3955</t>
  </si>
  <si>
    <t xml:space="preserve">  AEA9117</t>
  </si>
  <si>
    <t xml:space="preserve">  IBE3939</t>
  </si>
  <si>
    <t xml:space="preserve">  VLG3277</t>
  </si>
  <si>
    <t xml:space="preserve">  AEA5403</t>
  </si>
  <si>
    <t xml:space="preserve">  IBB5150</t>
  </si>
  <si>
    <t xml:space="preserve">  IBE8205</t>
  </si>
  <si>
    <t xml:space="preserve">  VLG3246</t>
  </si>
  <si>
    <t xml:space="preserve">  VLG3257</t>
  </si>
  <si>
    <t xml:space="preserve">  VLG3255</t>
  </si>
  <si>
    <t xml:space="preserve">  AEA5103</t>
  </si>
  <si>
    <t xml:space="preserve">  VLG3234</t>
  </si>
  <si>
    <t xml:space="preserve">  VLG1399</t>
  </si>
  <si>
    <t xml:space="preserve">  TFL574</t>
  </si>
  <si>
    <t xml:space="preserve">  TRA6672</t>
  </si>
  <si>
    <t xml:space="preserve">  TRA6674</t>
  </si>
  <si>
    <t xml:space="preserve">  AEA7221</t>
  </si>
  <si>
    <t xml:space="preserve">  VOE3541</t>
  </si>
  <si>
    <t xml:space="preserve">  VLG3221</t>
  </si>
  <si>
    <t xml:space="preserve">  RYR6377</t>
  </si>
  <si>
    <t xml:space="preserve">  EZS1226</t>
  </si>
  <si>
    <t xml:space="preserve">  TUI2215</t>
  </si>
  <si>
    <t xml:space="preserve">  TCX1981</t>
  </si>
  <si>
    <t xml:space="preserve">  TCX1849</t>
  </si>
  <si>
    <t xml:space="preserve">  EXS382</t>
  </si>
  <si>
    <t xml:space="preserve">  RYR4067</t>
  </si>
  <si>
    <t xml:space="preserve">  GMI4919</t>
  </si>
  <si>
    <t xml:space="preserve">  TUI2895</t>
  </si>
  <si>
    <t xml:space="preserve">  IBK6360</t>
  </si>
  <si>
    <t xml:space="preserve">  EXS1294</t>
  </si>
  <si>
    <t xml:space="preserve">  RYR1122</t>
  </si>
  <si>
    <t xml:space="preserve">  TCX1223</t>
  </si>
  <si>
    <t xml:space="preserve">  TCX1133</t>
  </si>
  <si>
    <t xml:space="preserve">  RYR4898</t>
  </si>
  <si>
    <t xml:space="preserve">  RYR6763</t>
  </si>
  <si>
    <t xml:space="preserve">  GMI4301</t>
  </si>
  <si>
    <t>BREST-BRETAGNE</t>
  </si>
  <si>
    <t>BES</t>
  </si>
  <si>
    <t xml:space="preserve">  RYR4754</t>
  </si>
  <si>
    <t xml:space="preserve">  EZY6096</t>
  </si>
  <si>
    <t xml:space="preserve"> M    D</t>
  </si>
  <si>
    <t xml:space="preserve">  TCX1655</t>
  </si>
  <si>
    <t xml:space="preserve">  TCX1423</t>
  </si>
  <si>
    <t xml:space="preserve">  BEL3782</t>
  </si>
  <si>
    <t xml:space="preserve">  RYR8179</t>
  </si>
  <si>
    <t>BUCAREST /OTOPENI INTERNACIONA</t>
  </si>
  <si>
    <t>OTP</t>
  </si>
  <si>
    <t xml:space="preserve">  WZZ3022</t>
  </si>
  <si>
    <t>RUMANIA</t>
  </si>
  <si>
    <t xml:space="preserve">  WZZ2494</t>
  </si>
  <si>
    <t>BURDEOS</t>
  </si>
  <si>
    <t>BOD</t>
  </si>
  <si>
    <t xml:space="preserve">  VOE2421</t>
  </si>
  <si>
    <t xml:space="preserve">  RYR4761</t>
  </si>
  <si>
    <t xml:space="preserve">  RYR1034</t>
  </si>
  <si>
    <t xml:space="preserve">  TUI2185</t>
  </si>
  <si>
    <t xml:space="preserve">  IBK6472</t>
  </si>
  <si>
    <t xml:space="preserve">  RYR1401</t>
  </si>
  <si>
    <t xml:space="preserve">  RYR4514</t>
  </si>
  <si>
    <t xml:space="preserve">  GMI2905</t>
  </si>
  <si>
    <t xml:space="preserve">  RYR7123</t>
  </si>
  <si>
    <t xml:space="preserve">  EIN765</t>
  </si>
  <si>
    <t xml:space="preserve">  IBK6514</t>
  </si>
  <si>
    <t xml:space="preserve">  TUI2119</t>
  </si>
  <si>
    <t xml:space="preserve">  CFG1429</t>
  </si>
  <si>
    <t xml:space="preserve">  RYR3153</t>
  </si>
  <si>
    <t xml:space="preserve">  TCX1447</t>
  </si>
  <si>
    <t xml:space="preserve">  EXS634</t>
  </si>
  <si>
    <t xml:space="preserve">  TCX1235</t>
  </si>
  <si>
    <t xml:space="preserve">  EZY6950</t>
  </si>
  <si>
    <t xml:space="preserve">  RYR6622</t>
  </si>
  <si>
    <t xml:space="preserve">  EXS728</t>
  </si>
  <si>
    <t xml:space="preserve">  RYR3244</t>
  </si>
  <si>
    <t xml:space="preserve">  TRA6216</t>
  </si>
  <si>
    <t xml:space="preserve">  GMI2931</t>
  </si>
  <si>
    <t xml:space="preserve">  IBK6450</t>
  </si>
  <si>
    <t xml:space="preserve">  VLG3288</t>
  </si>
  <si>
    <t xml:space="preserve">  RYR5553</t>
  </si>
  <si>
    <t xml:space="preserve">  RYR1589</t>
  </si>
  <si>
    <t xml:space="preserve">  CFG1479</t>
  </si>
  <si>
    <t xml:space="preserve">  TUI2143</t>
  </si>
  <si>
    <t xml:space="preserve">  GMI2955</t>
  </si>
  <si>
    <t xml:space="preserve">  EZS1542</t>
  </si>
  <si>
    <t xml:space="preserve">  EXS156</t>
  </si>
  <si>
    <t xml:space="preserve">  TCX1587</t>
  </si>
  <si>
    <t xml:space="preserve">  RYR654</t>
  </si>
  <si>
    <t xml:space="preserve">  IBB156</t>
  </si>
  <si>
    <t xml:space="preserve">  IBB152</t>
  </si>
  <si>
    <t xml:space="preserve">  IBB154</t>
  </si>
  <si>
    <t xml:space="preserve">  IBK6500</t>
  </si>
  <si>
    <t xml:space="preserve">  CFG1449</t>
  </si>
  <si>
    <t xml:space="preserve">  CFG1487</t>
  </si>
  <si>
    <t xml:space="preserve">  TUI2145</t>
  </si>
  <si>
    <t xml:space="preserve">  WZZ1180</t>
  </si>
  <si>
    <t>KEFLAVIK INTERNATIONAL</t>
  </si>
  <si>
    <t>KEF</t>
  </si>
  <si>
    <t>ISLANDIA</t>
  </si>
  <si>
    <t xml:space="preserve">  WOW635</t>
  </si>
  <si>
    <t xml:space="preserve">  RYR2493</t>
  </si>
  <si>
    <t xml:space="preserve">  EXS224</t>
  </si>
  <si>
    <t xml:space="preserve">  CFG1467</t>
  </si>
  <si>
    <t xml:space="preserve">  RYR4347</t>
  </si>
  <si>
    <t xml:space="preserve">  BAW415</t>
  </si>
  <si>
    <t xml:space="preserve">  EZY2038</t>
  </si>
  <si>
    <t xml:space="preserve">  RYR3514</t>
  </si>
  <si>
    <t xml:space="preserve">  EXS1494</t>
  </si>
  <si>
    <t xml:space="preserve">  EXS1664</t>
  </si>
  <si>
    <t xml:space="preserve">  RYR8167</t>
  </si>
  <si>
    <t xml:space="preserve">  RYR8157</t>
  </si>
  <si>
    <t xml:space="preserve">  IBK2411</t>
  </si>
  <si>
    <t xml:space="preserve">  TCX1913</t>
  </si>
  <si>
    <t xml:space="preserve">  EZY8704</t>
  </si>
  <si>
    <t xml:space="preserve">  BAW2731</t>
  </si>
  <si>
    <t xml:space="preserve">  TCX1013</t>
  </si>
  <si>
    <t xml:space="preserve">  LGL714</t>
  </si>
  <si>
    <t xml:space="preserve">  VLG6792</t>
  </si>
  <si>
    <t xml:space="preserve">  IBE3911</t>
  </si>
  <si>
    <t xml:space="preserve">  RYR2914</t>
  </si>
  <si>
    <t xml:space="preserve">  EXS756</t>
  </si>
  <si>
    <t xml:space="preserve">  TCX1867</t>
  </si>
  <si>
    <t xml:space="preserve">  TCX1165</t>
  </si>
  <si>
    <t xml:space="preserve">  RYR4333</t>
  </si>
  <si>
    <t xml:space="preserve">  TCX1967</t>
  </si>
  <si>
    <t xml:space="preserve">  RYR4331</t>
  </si>
  <si>
    <t xml:space="preserve">  EZY1904</t>
  </si>
  <si>
    <t xml:space="preserve">  EXS918</t>
  </si>
  <si>
    <t>MEMMINGEN</t>
  </si>
  <si>
    <t>FMM</t>
  </si>
  <si>
    <t xml:space="preserve">  RYR1038</t>
  </si>
  <si>
    <t xml:space="preserve">  EZY2588</t>
  </si>
  <si>
    <t xml:space="preserve">  RYR8839</t>
  </si>
  <si>
    <t>MOSCU /DOMODEDOVO</t>
  </si>
  <si>
    <t>DME</t>
  </si>
  <si>
    <t xml:space="preserve">  SBI676</t>
  </si>
  <si>
    <t>FEDERACION RUSA</t>
  </si>
  <si>
    <t>MOSCU /SHEREMETYEVO</t>
  </si>
  <si>
    <t>SVO</t>
  </si>
  <si>
    <t xml:space="preserve">  AFL2549</t>
  </si>
  <si>
    <t xml:space="preserve">  GMI2963</t>
  </si>
  <si>
    <t xml:space="preserve">  IBK6512</t>
  </si>
  <si>
    <t xml:space="preserve">  TUI2197</t>
  </si>
  <si>
    <t xml:space="preserve">  CFG1585</t>
  </si>
  <si>
    <t xml:space="preserve">  VLG3173</t>
  </si>
  <si>
    <t xml:space="preserve">  VOE2807</t>
  </si>
  <si>
    <t xml:space="preserve">  RYR2545</t>
  </si>
  <si>
    <t xml:space="preserve">  TCX1739</t>
  </si>
  <si>
    <t xml:space="preserve">  TCX1373</t>
  </si>
  <si>
    <t xml:space="preserve">  EXS518</t>
  </si>
  <si>
    <t>NIZA /COTE D-AZUR</t>
  </si>
  <si>
    <t>NCE</t>
  </si>
  <si>
    <t xml:space="preserve">  EZY1602</t>
  </si>
  <si>
    <t xml:space="preserve">  GMI3709</t>
  </si>
  <si>
    <t xml:space="preserve">  JAF1592</t>
  </si>
  <si>
    <t>PARIS /BEAUVAIS-TILLE AIRPORT</t>
  </si>
  <si>
    <t>BVA</t>
  </si>
  <si>
    <t xml:space="preserve">  RYR1513</t>
  </si>
  <si>
    <t xml:space="preserve">  VLG3135</t>
  </si>
  <si>
    <t xml:space="preserve">  EZY3858</t>
  </si>
  <si>
    <t xml:space="preserve">  RYR7477</t>
  </si>
  <si>
    <t xml:space="preserve">  TVS2037</t>
  </si>
  <si>
    <t xml:space="preserve">  IBK1065</t>
  </si>
  <si>
    <t xml:space="preserve">  VLG6217</t>
  </si>
  <si>
    <t xml:space="preserve">  TRA5834</t>
  </si>
  <si>
    <t xml:space="preserve">  RYR1991</t>
  </si>
  <si>
    <t xml:space="preserve">  AEA7143</t>
  </si>
  <si>
    <t xml:space="preserve">  RYR1123</t>
  </si>
  <si>
    <t xml:space="preserve">  RYR1961</t>
  </si>
  <si>
    <t xml:space="preserve">  CFG1459</t>
  </si>
  <si>
    <t xml:space="preserve">  TUI2219</t>
  </si>
  <si>
    <t>TEL AVIV /BEN GURION INT</t>
  </si>
  <si>
    <t>TLV</t>
  </si>
  <si>
    <t xml:space="preserve">  TVS1837</t>
  </si>
  <si>
    <t>ISRAEL</t>
  </si>
  <si>
    <t xml:space="preserve">  VOE2565</t>
  </si>
  <si>
    <t xml:space="preserve">  RYR4075</t>
  </si>
  <si>
    <t xml:space="preserve">  VLG1177</t>
  </si>
  <si>
    <t xml:space="preserve">  RYR1971</t>
  </si>
  <si>
    <t xml:space="preserve">  RYR6122</t>
  </si>
  <si>
    <t xml:space="preserve">  AUA9506</t>
  </si>
  <si>
    <t>VITORIA</t>
  </si>
  <si>
    <t>VIT</t>
  </si>
  <si>
    <t xml:space="preserve">  RYR6229</t>
  </si>
  <si>
    <t xml:space="preserve">  RYR3060</t>
  </si>
  <si>
    <t xml:space="preserve">  EDW215</t>
  </si>
  <si>
    <t xml:space="preserve">  JTG632</t>
  </si>
  <si>
    <t xml:space="preserve">  TOM7763</t>
  </si>
  <si>
    <t xml:space="preserve">  TOM7447</t>
  </si>
  <si>
    <t xml:space="preserve">  TOM6427</t>
  </si>
  <si>
    <t xml:space="preserve">  TOM6745</t>
  </si>
  <si>
    <t>DOL</t>
  </si>
  <si>
    <t xml:space="preserve">  TOM6749</t>
  </si>
  <si>
    <t xml:space="preserve">  TOM6465</t>
  </si>
  <si>
    <t xml:space="preserve">  TOM6423</t>
  </si>
  <si>
    <t xml:space="preserve">  TOM6707</t>
  </si>
  <si>
    <t xml:space="preserve">  VKG1105</t>
  </si>
  <si>
    <t>DONCASTER SHEFFIELD ROBIN HOOD</t>
  </si>
  <si>
    <t>DSA</t>
  </si>
  <si>
    <t xml:space="preserve">  TOM3493</t>
  </si>
  <si>
    <t xml:space="preserve">  TOM3773</t>
  </si>
  <si>
    <t xml:space="preserve">  TOM7415</t>
  </si>
  <si>
    <t xml:space="preserve">  TOM1455</t>
  </si>
  <si>
    <t>EXETER</t>
  </si>
  <si>
    <t>EXT</t>
  </si>
  <si>
    <t xml:space="preserve">  TOM6701</t>
  </si>
  <si>
    <t xml:space="preserve">  TOM6463</t>
  </si>
  <si>
    <t>ETZ</t>
  </si>
  <si>
    <t xml:space="preserve">  TOM5725</t>
  </si>
  <si>
    <t xml:space="preserve">  TOM4461</t>
  </si>
  <si>
    <t xml:space="preserve">  TOM4141</t>
  </si>
  <si>
    <t xml:space="preserve">  TOM4767</t>
  </si>
  <si>
    <t xml:space="preserve">  TOM4239</t>
  </si>
  <si>
    <t xml:space="preserve">  TOM2469</t>
  </si>
  <si>
    <t xml:space="preserve">  TOM2755</t>
  </si>
  <si>
    <t xml:space="preserve">  TOM2147</t>
  </si>
  <si>
    <t xml:space="preserve">  TOM2251</t>
  </si>
  <si>
    <t xml:space="preserve">  TOM1445</t>
  </si>
  <si>
    <t xml:space="preserve">  TOM7315</t>
  </si>
  <si>
    <t xml:space="preserve">  TOM7679</t>
  </si>
  <si>
    <t xml:space="preserve">  TOM7345</t>
  </si>
  <si>
    <t xml:space="preserve">  TOM5345</t>
  </si>
  <si>
    <t xml:space="preserve">  TOM4357</t>
  </si>
  <si>
    <t xml:space="preserve">  TOM4669</t>
  </si>
  <si>
    <t xml:space="preserve">  TOM2385</t>
  </si>
  <si>
    <t xml:space="preserve">  TOM2663</t>
  </si>
  <si>
    <t>PADERBORN / LIPPSTADT</t>
  </si>
  <si>
    <t>PAD</t>
  </si>
  <si>
    <t>AALBORG</t>
  </si>
  <si>
    <t>AAL</t>
  </si>
  <si>
    <t>ABERDEEN/DYCE</t>
  </si>
  <si>
    <t>ABZ</t>
  </si>
  <si>
    <t xml:space="preserve">  VKG1217</t>
  </si>
  <si>
    <t xml:space="preserve">  TOM7675</t>
  </si>
  <si>
    <t xml:space="preserve">  TOM7121</t>
  </si>
  <si>
    <t xml:space="preserve">  TOM6181</t>
  </si>
  <si>
    <t xml:space="preserve">  TOM6115</t>
  </si>
  <si>
    <t xml:space="preserve">  TOM6659</t>
  </si>
  <si>
    <t xml:space="preserve">  TOM3689</t>
  </si>
  <si>
    <t xml:space="preserve">  VKG1785</t>
  </si>
  <si>
    <t xml:space="preserve">  TOM6171</t>
  </si>
  <si>
    <t xml:space="preserve">  TOM3313</t>
  </si>
  <si>
    <t xml:space="preserve">  TOM5119</t>
  </si>
  <si>
    <t xml:space="preserve">  TOM5117</t>
  </si>
  <si>
    <t xml:space="preserve">  TOM4681</t>
  </si>
  <si>
    <t xml:space="preserve">  TOM4547</t>
  </si>
  <si>
    <t xml:space="preserve">  TOM4127</t>
  </si>
  <si>
    <t xml:space="preserve">  TOM4497</t>
  </si>
  <si>
    <t xml:space="preserve">  TOM2113</t>
  </si>
  <si>
    <t xml:space="preserve">  TOM2405</t>
  </si>
  <si>
    <t xml:space="preserve">  TOM2533</t>
  </si>
  <si>
    <t xml:space="preserve">  TOM2699</t>
  </si>
  <si>
    <t xml:space="preserve">  TOM1177</t>
  </si>
  <si>
    <t>NORWICH</t>
  </si>
  <si>
    <t>NWI</t>
  </si>
  <si>
    <t xml:space="preserve">  MAI111</t>
  </si>
  <si>
    <t>NDB</t>
  </si>
  <si>
    <t xml:space="preserve">  VKG1567</t>
  </si>
  <si>
    <t>STAVANGER /SOLA</t>
  </si>
  <si>
    <t>SVG</t>
  </si>
  <si>
    <t>TRONDHEIM /VAERNES</t>
  </si>
  <si>
    <t>TRD</t>
  </si>
  <si>
    <t xml:space="preserve">  TOM4465</t>
  </si>
  <si>
    <t xml:space="preserve">  TFL540</t>
  </si>
  <si>
    <t xml:space="preserve">  TOM7549</t>
  </si>
  <si>
    <t xml:space="preserve">  TOM7455</t>
  </si>
  <si>
    <t xml:space="preserve">  TOM7285</t>
  </si>
  <si>
    <t xml:space="preserve">  TOM7741</t>
  </si>
  <si>
    <t xml:space="preserve">  TOM6269</t>
  </si>
  <si>
    <t xml:space="preserve">  TOM6509</t>
  </si>
  <si>
    <t xml:space="preserve">  TOM6279</t>
  </si>
  <si>
    <t xml:space="preserve">  TOM6555</t>
  </si>
  <si>
    <t xml:space="preserve">  TOM7729</t>
  </si>
  <si>
    <t xml:space="preserve">  TOM7581</t>
  </si>
  <si>
    <t xml:space="preserve">  TOM7261</t>
  </si>
  <si>
    <t xml:space="preserve">  TOM1265</t>
  </si>
  <si>
    <t xml:space="preserve">  TOM1577</t>
  </si>
  <si>
    <t xml:space="preserve">  TOM6243</t>
  </si>
  <si>
    <t xml:space="preserve">  TVP7309</t>
  </si>
  <si>
    <t>GDANSK/REBIECHOWO</t>
  </si>
  <si>
    <t>GDN</t>
  </si>
  <si>
    <t xml:space="preserve">  TOM1573</t>
  </si>
  <si>
    <t xml:space="preserve">  ICE1515</t>
  </si>
  <si>
    <t xml:space="preserve">  TOM5545</t>
  </si>
  <si>
    <t xml:space="preserve">  TOM5553</t>
  </si>
  <si>
    <t xml:space="preserve">  TOM4535</t>
  </si>
  <si>
    <t xml:space="preserve">  TOM4745</t>
  </si>
  <si>
    <t xml:space="preserve">  TOM4227</t>
  </si>
  <si>
    <t xml:space="preserve">  TOM4459</t>
  </si>
  <si>
    <t xml:space="preserve">  TOM4563</t>
  </si>
  <si>
    <t xml:space="preserve">  TOM2203</t>
  </si>
  <si>
    <t xml:space="preserve">  TOM2355</t>
  </si>
  <si>
    <t xml:space="preserve">  TOM2477</t>
  </si>
  <si>
    <t xml:space="preserve">  TOM2589</t>
  </si>
  <si>
    <t xml:space="preserve">  TOM1249</t>
  </si>
  <si>
    <t xml:space="preserve">  TOM1559</t>
  </si>
  <si>
    <t xml:space="preserve">  TCX1039</t>
  </si>
  <si>
    <t xml:space="preserve">  TCX1365</t>
  </si>
  <si>
    <t>CHOPINA W WARSZAWIE</t>
  </si>
  <si>
    <t xml:space="preserve"> MX VSD</t>
  </si>
  <si>
    <t xml:space="preserve">  TCX1437</t>
  </si>
  <si>
    <t xml:space="preserve">  FIN1700</t>
  </si>
  <si>
    <t xml:space="preserve">  IBE3859</t>
  </si>
  <si>
    <t xml:space="preserve">  EXS764</t>
  </si>
  <si>
    <t xml:space="preserve">  NAX1829</t>
  </si>
  <si>
    <t xml:space="preserve">  TCX1645</t>
  </si>
  <si>
    <t xml:space="preserve">  TCX1035</t>
  </si>
  <si>
    <t xml:space="preserve">  XJVSD</t>
  </si>
  <si>
    <t xml:space="preserve">  LGL734</t>
  </si>
  <si>
    <t xml:space="preserve">  TFL576</t>
  </si>
  <si>
    <t>BODO</t>
  </si>
  <si>
    <t>BOO</t>
  </si>
  <si>
    <t xml:space="preserve">  NAX1773</t>
  </si>
  <si>
    <t xml:space="preserve">  RAM978</t>
  </si>
  <si>
    <t xml:space="preserve">  RAM994</t>
  </si>
  <si>
    <t xml:space="preserve">  SAS2838</t>
  </si>
  <si>
    <t xml:space="preserve"> MX V  </t>
  </si>
  <si>
    <t xml:space="preserve">  SAS1820</t>
  </si>
  <si>
    <t xml:space="preserve">  TUI2967</t>
  </si>
  <si>
    <t>HARSTAD-NARVIK/EVENES</t>
  </si>
  <si>
    <t>EVE</t>
  </si>
  <si>
    <t xml:space="preserve">  NAX1755</t>
  </si>
  <si>
    <t xml:space="preserve">  FIN1722</t>
  </si>
  <si>
    <t xml:space="preserve">  FIN1724</t>
  </si>
  <si>
    <t>KARLSTAD</t>
  </si>
  <si>
    <t>KSD</t>
  </si>
  <si>
    <t xml:space="preserve">  IBE3837</t>
  </si>
  <si>
    <t xml:space="preserve">L  JVS </t>
  </si>
  <si>
    <t xml:space="preserve"> MX V D</t>
  </si>
  <si>
    <t xml:space="preserve">L  JV  </t>
  </si>
  <si>
    <t xml:space="preserve">  IBB171</t>
  </si>
  <si>
    <t xml:space="preserve">  IBB183</t>
  </si>
  <si>
    <t xml:space="preserve">  IBB121</t>
  </si>
  <si>
    <t xml:space="preserve">  IBB151</t>
  </si>
  <si>
    <t>TROMSO /TROMSO-LANGNES</t>
  </si>
  <si>
    <t>TOS</t>
  </si>
  <si>
    <t xml:space="preserve">  NAX1715</t>
  </si>
  <si>
    <t xml:space="preserve">  NAX1771</t>
  </si>
  <si>
    <t xml:space="preserve">  IBB942</t>
  </si>
  <si>
    <t xml:space="preserve">  IBB100</t>
  </si>
  <si>
    <t xml:space="preserve">  IBB172</t>
  </si>
  <si>
    <t xml:space="preserve">  IBB176</t>
  </si>
  <si>
    <t xml:space="preserve">  IBB122</t>
  </si>
  <si>
    <t xml:space="preserve"> MXJ  D</t>
  </si>
  <si>
    <t xml:space="preserve">  XJ SD</t>
  </si>
  <si>
    <t xml:space="preserve">  TFL552</t>
  </si>
  <si>
    <t xml:space="preserve">  EIN875</t>
  </si>
  <si>
    <t xml:space="preserve">  TCX1295</t>
  </si>
  <si>
    <t xml:space="preserve">  IBB150</t>
  </si>
  <si>
    <t xml:space="preserve">  IBK6520</t>
  </si>
  <si>
    <t xml:space="preserve">  FIN1692</t>
  </si>
  <si>
    <t xml:space="preserve">  EXS244</t>
  </si>
  <si>
    <t xml:space="preserve">  TCX1467</t>
  </si>
  <si>
    <t xml:space="preserve">  IBE3927</t>
  </si>
  <si>
    <t xml:space="preserve">  TCX1219</t>
  </si>
  <si>
    <t xml:space="preserve">  NAX9173</t>
  </si>
  <si>
    <t xml:space="preserve">  JTG218</t>
  </si>
  <si>
    <t>DEAUVILLE/SAINT GATIEN</t>
  </si>
  <si>
    <t xml:space="preserve">  BLX660</t>
  </si>
  <si>
    <t xml:space="preserve">  TOM5421</t>
  </si>
  <si>
    <t>MALMO</t>
  </si>
  <si>
    <t>MMX</t>
  </si>
  <si>
    <t xml:space="preserve">  NVR158</t>
  </si>
  <si>
    <t xml:space="preserve">  DTR793</t>
  </si>
  <si>
    <t xml:space="preserve">  JTG290</t>
  </si>
  <si>
    <t xml:space="preserve">  BLX298</t>
  </si>
  <si>
    <t xml:space="preserve">  VKG1687</t>
  </si>
  <si>
    <t xml:space="preserve">  NVR136</t>
  </si>
  <si>
    <t xml:space="preserve">  NVR134</t>
  </si>
  <si>
    <t xml:space="preserve">  JTG934</t>
  </si>
  <si>
    <t xml:space="preserve">  FIN2060</t>
  </si>
  <si>
    <t>VILNIUS</t>
  </si>
  <si>
    <t>VNO</t>
  </si>
  <si>
    <t>LITUANIA</t>
  </si>
  <si>
    <t xml:space="preserve">  VKG1097</t>
  </si>
  <si>
    <t xml:space="preserve">  DTR511</t>
  </si>
  <si>
    <t xml:space="preserve">  NVR180</t>
  </si>
  <si>
    <t>AALESUND/VIGRA</t>
  </si>
  <si>
    <t>AES</t>
  </si>
  <si>
    <t xml:space="preserve">  SAS7414</t>
  </si>
  <si>
    <t xml:space="preserve">  NAX9031</t>
  </si>
  <si>
    <t>ARE OSTERSUND</t>
  </si>
  <si>
    <t>OSD</t>
  </si>
  <si>
    <t xml:space="preserve">  JTG750</t>
  </si>
  <si>
    <t xml:space="preserve">  VKG1523</t>
  </si>
  <si>
    <t xml:space="preserve">  VKG1521</t>
  </si>
  <si>
    <t xml:space="preserve">  SAS7366</t>
  </si>
  <si>
    <t xml:space="preserve">  NAX9171</t>
  </si>
  <si>
    <t xml:space="preserve">  VKG1219</t>
  </si>
  <si>
    <t xml:space="preserve">  VKG1215</t>
  </si>
  <si>
    <t xml:space="preserve">  JTG520</t>
  </si>
  <si>
    <t xml:space="preserve">  JTG518</t>
  </si>
  <si>
    <t xml:space="preserve">  SAS7736</t>
  </si>
  <si>
    <t xml:space="preserve">  VKG1519</t>
  </si>
  <si>
    <t>BORLANGE / DALA</t>
  </si>
  <si>
    <t>BLE</t>
  </si>
  <si>
    <t xml:space="preserve">  AEA753</t>
  </si>
  <si>
    <t xml:space="preserve">  VKG1159</t>
  </si>
  <si>
    <t xml:space="preserve">  VKG1135</t>
  </si>
  <si>
    <t xml:space="preserve">  VKG1149</t>
  </si>
  <si>
    <t xml:space="preserve">  JTG208</t>
  </si>
  <si>
    <t xml:space="preserve">  VKG1173</t>
  </si>
  <si>
    <t xml:space="preserve">  SAS7714</t>
  </si>
  <si>
    <t xml:space="preserve">  TOM7183</t>
  </si>
  <si>
    <t xml:space="preserve">  NVR164</t>
  </si>
  <si>
    <t xml:space="preserve">  JTG736</t>
  </si>
  <si>
    <t xml:space="preserve">  VKG1733</t>
  </si>
  <si>
    <t xml:space="preserve">  JTG714</t>
  </si>
  <si>
    <t xml:space="preserve">  NVR174</t>
  </si>
  <si>
    <t xml:space="preserve">  VKG1839</t>
  </si>
  <si>
    <t>HAUGESUND/KARMOY</t>
  </si>
  <si>
    <t>HAU</t>
  </si>
  <si>
    <t xml:space="preserve">  NAX9029</t>
  </si>
  <si>
    <t xml:space="preserve">  VKG1399</t>
  </si>
  <si>
    <t xml:space="preserve">  VKG1345</t>
  </si>
  <si>
    <t xml:space="preserve">  BLX236</t>
  </si>
  <si>
    <t xml:space="preserve">  JTG928</t>
  </si>
  <si>
    <t xml:space="preserve">  VKG1325</t>
  </si>
  <si>
    <t xml:space="preserve">  BLX666</t>
  </si>
  <si>
    <t>KALMAR</t>
  </si>
  <si>
    <t>KLR</t>
  </si>
  <si>
    <t xml:space="preserve">  SAS7686</t>
  </si>
  <si>
    <t xml:space="preserve">  VKG1415</t>
  </si>
  <si>
    <t>KRISTIANSAND/KJEVIK</t>
  </si>
  <si>
    <t>KRS</t>
  </si>
  <si>
    <t xml:space="preserve">  SAS7488</t>
  </si>
  <si>
    <t xml:space="preserve">  SAS7538</t>
  </si>
  <si>
    <t>KUOPIO</t>
  </si>
  <si>
    <t>KUO</t>
  </si>
  <si>
    <t xml:space="preserve">  VKG1359</t>
  </si>
  <si>
    <t>LULEA /KALLAX</t>
  </si>
  <si>
    <t>LLA</t>
  </si>
  <si>
    <t xml:space="preserve">  VKG1419</t>
  </si>
  <si>
    <t xml:space="preserve">  VKG1453</t>
  </si>
  <si>
    <t>MOLDE /ARO</t>
  </si>
  <si>
    <t>MOL</t>
  </si>
  <si>
    <t xml:space="preserve">  SAS7486</t>
  </si>
  <si>
    <t>NORRKOPING /KUNGSANGEN</t>
  </si>
  <si>
    <t>NRK</t>
  </si>
  <si>
    <t xml:space="preserve">  JTG742</t>
  </si>
  <si>
    <t xml:space="preserve">  JTG724</t>
  </si>
  <si>
    <t xml:space="preserve">  VKG1547</t>
  </si>
  <si>
    <t xml:space="preserve">  VKG1503</t>
  </si>
  <si>
    <t>OULU</t>
  </si>
  <si>
    <t>OUL</t>
  </si>
  <si>
    <t xml:space="preserve">  JTG962</t>
  </si>
  <si>
    <t xml:space="preserve">  SAS7410</t>
  </si>
  <si>
    <t xml:space="preserve">  NAX9323</t>
  </si>
  <si>
    <t>SUNDSVALL /SUNDSVALL-HARNOSAND</t>
  </si>
  <si>
    <t>SDL</t>
  </si>
  <si>
    <t xml:space="preserve">  JTG796</t>
  </si>
  <si>
    <t xml:space="preserve">  VKG1535</t>
  </si>
  <si>
    <t xml:space="preserve">  NAX9469</t>
  </si>
  <si>
    <t xml:space="preserve">  VKG1509</t>
  </si>
  <si>
    <t xml:space="preserve">  SAS7318</t>
  </si>
  <si>
    <t>TURKU</t>
  </si>
  <si>
    <t>TKU</t>
  </si>
  <si>
    <t xml:space="preserve">  VKG1353</t>
  </si>
  <si>
    <t>UMEA</t>
  </si>
  <si>
    <t>UME</t>
  </si>
  <si>
    <t xml:space="preserve">  VKG1403</t>
  </si>
  <si>
    <t>VAASA</t>
  </si>
  <si>
    <t>VAA</t>
  </si>
  <si>
    <t xml:space="preserve">  VKG1367</t>
  </si>
  <si>
    <t>VAXJO</t>
  </si>
  <si>
    <t>VXO</t>
  </si>
  <si>
    <t xml:space="preserve">  JTG722</t>
  </si>
  <si>
    <t xml:space="preserve">  VKG1095</t>
  </si>
  <si>
    <t xml:space="preserve">  VKG1529</t>
  </si>
  <si>
    <t xml:space="preserve">  SAS7540</t>
  </si>
  <si>
    <t xml:space="preserve">  SAS7756</t>
  </si>
  <si>
    <t xml:space="preserve">  VKG1213</t>
  </si>
  <si>
    <t xml:space="preserve">  TOM6597</t>
  </si>
  <si>
    <t xml:space="preserve">  TOM6161</t>
  </si>
  <si>
    <t xml:space="preserve">  TOM6287</t>
  </si>
  <si>
    <t xml:space="preserve">  SAS7712</t>
  </si>
  <si>
    <t xml:space="preserve">  VKG1123</t>
  </si>
  <si>
    <t xml:space="preserve">  VKG1179</t>
  </si>
  <si>
    <t xml:space="preserve">  TOM3547</t>
  </si>
  <si>
    <t xml:space="preserve">  TOM3141</t>
  </si>
  <si>
    <t xml:space="preserve">  TOM3245</t>
  </si>
  <si>
    <t xml:space="preserve">  VKG1729</t>
  </si>
  <si>
    <t xml:space="preserve">  TOM6317</t>
  </si>
  <si>
    <t xml:space="preserve">  TOM6585</t>
  </si>
  <si>
    <t xml:space="preserve">  VKG1305</t>
  </si>
  <si>
    <t xml:space="preserve">  VKG1315</t>
  </si>
  <si>
    <t xml:space="preserve">  JTG916</t>
  </si>
  <si>
    <t xml:space="preserve">  TOM5291</t>
  </si>
  <si>
    <t xml:space="preserve">  TOM5275</t>
  </si>
  <si>
    <t xml:space="preserve">  TOM4173</t>
  </si>
  <si>
    <t xml:space="preserve">  TOM2107</t>
  </si>
  <si>
    <t xml:space="preserve">  JTG966</t>
  </si>
  <si>
    <t>RIGA</t>
  </si>
  <si>
    <t>RIX</t>
  </si>
  <si>
    <t xml:space="preserve">  MYX426</t>
  </si>
  <si>
    <t>LETONIA</t>
  </si>
  <si>
    <t>TALLINN /ULEMISTE</t>
  </si>
  <si>
    <t>TLL</t>
  </si>
  <si>
    <t xml:space="preserve">  MYX572</t>
  </si>
  <si>
    <t>ESTONIA</t>
  </si>
  <si>
    <t xml:space="preserve">  VKG1357</t>
  </si>
  <si>
    <t xml:space="preserve">  JTG710</t>
  </si>
  <si>
    <t>W18</t>
  </si>
  <si>
    <t xml:space="preserve">  EZY7948</t>
  </si>
  <si>
    <t xml:space="preserve">  TFL532</t>
  </si>
  <si>
    <t xml:space="preserve">  TFL534</t>
  </si>
  <si>
    <t>LMX V D</t>
  </si>
  <si>
    <t xml:space="preserve">  RYR3498</t>
  </si>
  <si>
    <t xml:space="preserve">  EZY6732</t>
  </si>
  <si>
    <t xml:space="preserve">  EZY4512</t>
  </si>
  <si>
    <t xml:space="preserve">  OE2435</t>
  </si>
  <si>
    <t xml:space="preserve">  EWG8371</t>
  </si>
  <si>
    <t xml:space="preserve">  JAF1712</t>
  </si>
  <si>
    <t xml:space="preserve">  EWG261</t>
  </si>
  <si>
    <t xml:space="preserve">  GMI3169</t>
  </si>
  <si>
    <t xml:space="preserve">  RYR5911</t>
  </si>
  <si>
    <t xml:space="preserve">  OE2311</t>
  </si>
  <si>
    <t xml:space="preserve">  EWG9555</t>
  </si>
  <si>
    <t xml:space="preserve">  RYR5503</t>
  </si>
  <si>
    <t xml:space="preserve">  TCX1305</t>
  </si>
  <si>
    <t xml:space="preserve">  XJVS </t>
  </si>
  <si>
    <t xml:space="preserve">  TRA5688</t>
  </si>
  <si>
    <t xml:space="preserve">  EWG7089</t>
  </si>
  <si>
    <t xml:space="preserve">  TVS3715</t>
  </si>
  <si>
    <t xml:space="preserve">  EZY7154</t>
  </si>
  <si>
    <t>L  JV D</t>
  </si>
  <si>
    <t xml:space="preserve">  TCX1699</t>
  </si>
  <si>
    <t xml:space="preserve">  TCX1019</t>
  </si>
  <si>
    <t xml:space="preserve">   JV D</t>
  </si>
  <si>
    <t xml:space="preserve">  EZY1972</t>
  </si>
  <si>
    <t xml:space="preserve">  TCX1051</t>
  </si>
  <si>
    <t xml:space="preserve">  GMI3255</t>
  </si>
  <si>
    <t xml:space="preserve">  TUI2843</t>
  </si>
  <si>
    <t xml:space="preserve">  EWG1803</t>
  </si>
  <si>
    <t xml:space="preserve">  VLG3190</t>
  </si>
  <si>
    <t xml:space="preserve">  JAF6322</t>
  </si>
  <si>
    <t xml:space="preserve">  EZY3862</t>
  </si>
  <si>
    <t xml:space="preserve">  TVS3721</t>
  </si>
  <si>
    <t xml:space="preserve">  TVS2040</t>
  </si>
  <si>
    <t xml:space="preserve">  RYR2111</t>
  </si>
  <si>
    <t xml:space="preserve">  TRA5122</t>
  </si>
  <si>
    <t xml:space="preserve">  EIN923</t>
  </si>
  <si>
    <t>SOUTHEND</t>
  </si>
  <si>
    <t>SEN</t>
  </si>
  <si>
    <t xml:space="preserve">  EZY7452</t>
  </si>
  <si>
    <t xml:space="preserve">  EWG2931</t>
  </si>
  <si>
    <t>LM  VSD</t>
  </si>
  <si>
    <t>VENECIA /MARCO POLO</t>
  </si>
  <si>
    <t>VCE</t>
  </si>
  <si>
    <t xml:space="preserve">  EZY3312</t>
  </si>
  <si>
    <t xml:space="preserve">  OE2167</t>
  </si>
  <si>
    <t xml:space="preserve">  OS9514</t>
  </si>
  <si>
    <t xml:space="preserve">  TFL510</t>
  </si>
  <si>
    <t xml:space="preserve">  TRA6508</t>
  </si>
  <si>
    <t xml:space="preserve">  EZY7960</t>
  </si>
  <si>
    <t xml:space="preserve">L X VS </t>
  </si>
  <si>
    <t xml:space="preserve">  EZY6734</t>
  </si>
  <si>
    <t xml:space="preserve">  GMI3189</t>
  </si>
  <si>
    <t xml:space="preserve">  LDM2213</t>
  </si>
  <si>
    <t xml:space="preserve">  EZY5924</t>
  </si>
  <si>
    <t xml:space="preserve">  TCX1907</t>
  </si>
  <si>
    <t xml:space="preserve">  BEL3825</t>
  </si>
  <si>
    <t xml:space="preserve">  JAF1664</t>
  </si>
  <si>
    <t xml:space="preserve">  TVS7377</t>
  </si>
  <si>
    <t xml:space="preserve">  EWG243</t>
  </si>
  <si>
    <t xml:space="preserve">  LDM2139</t>
  </si>
  <si>
    <t xml:space="preserve">  TCX1577</t>
  </si>
  <si>
    <t xml:space="preserve">  NAX4262</t>
  </si>
  <si>
    <t xml:space="preserve">  EZS1582</t>
  </si>
  <si>
    <t xml:space="preserve"> MXJVS </t>
  </si>
  <si>
    <t xml:space="preserve">  TUI2353</t>
  </si>
  <si>
    <t xml:space="preserve">  EWG7527</t>
  </si>
  <si>
    <t xml:space="preserve">  FIN1704</t>
  </si>
  <si>
    <t xml:space="preserve">  IBE3903</t>
  </si>
  <si>
    <t xml:space="preserve">  TCX1559</t>
  </si>
  <si>
    <t xml:space="preserve">   J SD</t>
  </si>
  <si>
    <t>METZ-NANCY/LORRAINE</t>
  </si>
  <si>
    <t xml:space="preserve">  EZY2914</t>
  </si>
  <si>
    <t xml:space="preserve">  EWG1813</t>
  </si>
  <si>
    <t xml:space="preserve">  EWG4107</t>
  </si>
  <si>
    <t xml:space="preserve">  NAX1789</t>
  </si>
  <si>
    <t xml:space="preserve">  TUI2753</t>
  </si>
  <si>
    <t xml:space="preserve">  EZY3860</t>
  </si>
  <si>
    <t xml:space="preserve">  JAF6212</t>
  </si>
  <si>
    <t xml:space="preserve">  ENT7102</t>
  </si>
  <si>
    <t>ROSTOCK-LAAGE /LAAGE</t>
  </si>
  <si>
    <t>RLG</t>
  </si>
  <si>
    <t xml:space="preserve">  GMI3309</t>
  </si>
  <si>
    <t>SALZBURGO /W. A. MOZART</t>
  </si>
  <si>
    <t>SZG</t>
  </si>
  <si>
    <t xml:space="preserve">  EWG4371</t>
  </si>
  <si>
    <t xml:space="preserve">  RYR5913</t>
  </si>
  <si>
    <t xml:space="preserve">  RYR3369</t>
  </si>
  <si>
    <t xml:space="preserve">  X VS </t>
  </si>
  <si>
    <t xml:space="preserve">  RYR6132</t>
  </si>
  <si>
    <t xml:space="preserve">  EWG5901</t>
  </si>
  <si>
    <t xml:space="preserve">  LDM2169</t>
  </si>
  <si>
    <t xml:space="preserve">  ENT5108</t>
  </si>
  <si>
    <t>A CORUﾑA</t>
  </si>
  <si>
    <t>ESPAﾑA</t>
  </si>
  <si>
    <t xml:space="preserve">  IBK5930</t>
  </si>
  <si>
    <t xml:space="preserve">  TRA6456</t>
  </si>
  <si>
    <t xml:space="preserve">  TFL550</t>
  </si>
  <si>
    <t xml:space="preserve">  TFL558</t>
  </si>
  <si>
    <t xml:space="preserve">  TFL554</t>
  </si>
  <si>
    <t xml:space="preserve">  IBK5753</t>
  </si>
  <si>
    <t xml:space="preserve">  EZS1140</t>
  </si>
  <si>
    <t xml:space="preserve">  IBK5878</t>
  </si>
  <si>
    <t xml:space="preserve">  NAX1839</t>
  </si>
  <si>
    <t xml:space="preserve">  RYR2501</t>
  </si>
  <si>
    <t xml:space="preserve">  EZY4518</t>
  </si>
  <si>
    <t xml:space="preserve">  GMI3621</t>
  </si>
  <si>
    <t xml:space="preserve">  LDM3889</t>
  </si>
  <si>
    <t xml:space="preserve">  LDM4001</t>
  </si>
  <si>
    <t xml:space="preserve">  TUI2917</t>
  </si>
  <si>
    <t xml:space="preserve">  TUI2953</t>
  </si>
  <si>
    <t xml:space="preserve">  EWG8187</t>
  </si>
  <si>
    <t xml:space="preserve">  EZY6196</t>
  </si>
  <si>
    <t xml:space="preserve">  JAF1552</t>
  </si>
  <si>
    <t xml:space="preserve">  JAF1666</t>
  </si>
  <si>
    <t xml:space="preserve">  ENT1476</t>
  </si>
  <si>
    <t xml:space="preserve">  EWG269</t>
  </si>
  <si>
    <t xml:space="preserve">  IBK3693</t>
  </si>
  <si>
    <t xml:space="preserve">  IBK3691</t>
  </si>
  <si>
    <t xml:space="preserve">  IBK5924</t>
  </si>
  <si>
    <t xml:space="preserve">  TUI2943</t>
  </si>
  <si>
    <t xml:space="preserve">  LDM2347</t>
  </si>
  <si>
    <t xml:space="preserve">  TUI2947</t>
  </si>
  <si>
    <t xml:space="preserve">  TRA6366</t>
  </si>
  <si>
    <t xml:space="preserve">  TFL598</t>
  </si>
  <si>
    <t xml:space="preserve">  TFL596</t>
  </si>
  <si>
    <t xml:space="preserve">  CNF921</t>
  </si>
  <si>
    <t xml:space="preserve">  NAX4244</t>
  </si>
  <si>
    <t>ESTOCOLMO/SKAVSTA</t>
  </si>
  <si>
    <t>NYO</t>
  </si>
  <si>
    <t xml:space="preserve">  RYR1041</t>
  </si>
  <si>
    <t xml:space="preserve">  TUI2965</t>
  </si>
  <si>
    <t xml:space="preserve">  TUI2171</t>
  </si>
  <si>
    <t xml:space="preserve">  EZS1544</t>
  </si>
  <si>
    <t xml:space="preserve">  IBK5908</t>
  </si>
  <si>
    <t xml:space="preserve">  NAX4230</t>
  </si>
  <si>
    <t xml:space="preserve">  TFL556</t>
  </si>
  <si>
    <t xml:space="preserve">  TUI2367</t>
  </si>
  <si>
    <t xml:space="preserve">  EWG7267</t>
  </si>
  <si>
    <t xml:space="preserve">  EWG3537</t>
  </si>
  <si>
    <t xml:space="preserve">  TUI2913</t>
  </si>
  <si>
    <t xml:space="preserve">  TUI2261</t>
  </si>
  <si>
    <t xml:space="preserve">  IBK503</t>
  </si>
  <si>
    <t xml:space="preserve">  IBK505</t>
  </si>
  <si>
    <t xml:space="preserve">  IBK5972</t>
  </si>
  <si>
    <t xml:space="preserve">  IBK5912</t>
  </si>
  <si>
    <t xml:space="preserve">  JAF1792</t>
  </si>
  <si>
    <t xml:space="preserve">  TAP1117</t>
  </si>
  <si>
    <t xml:space="preserve">  IBK2417</t>
  </si>
  <si>
    <t xml:space="preserve">  EZY8694</t>
  </si>
  <si>
    <t>MADRID-BARAJAS ADOLFO SUﾁREZ</t>
  </si>
  <si>
    <t xml:space="preserve">  IBK6301</t>
  </si>
  <si>
    <t xml:space="preserve">  IBE3831</t>
  </si>
  <si>
    <t xml:space="preserve">  IBK5832</t>
  </si>
  <si>
    <t xml:space="preserve">  EZY1882</t>
  </si>
  <si>
    <t xml:space="preserve">  GMI5879</t>
  </si>
  <si>
    <t xml:space="preserve">  EWG1805</t>
  </si>
  <si>
    <t xml:space="preserve">  DLH1833</t>
  </si>
  <si>
    <t xml:space="preserve">  EWG4103</t>
  </si>
  <si>
    <t xml:space="preserve">  EWG4109</t>
  </si>
  <si>
    <t xml:space="preserve">  JAF1632</t>
  </si>
  <si>
    <t xml:space="preserve">  NAX1815</t>
  </si>
  <si>
    <t xml:space="preserve">  NAX1819</t>
  </si>
  <si>
    <t xml:space="preserve">  RYR1045</t>
  </si>
  <si>
    <t xml:space="preserve">  IBK5976</t>
  </si>
  <si>
    <t xml:space="preserve">  TUI2755</t>
  </si>
  <si>
    <t xml:space="preserve">  GMI3253</t>
  </si>
  <si>
    <t xml:space="preserve"> M  V D</t>
  </si>
  <si>
    <t xml:space="preserve">  EWG4381</t>
  </si>
  <si>
    <t xml:space="preserve">  NAX1837</t>
  </si>
  <si>
    <t xml:space="preserve">  EWG2263</t>
  </si>
  <si>
    <t xml:space="preserve">  EWG2261</t>
  </si>
  <si>
    <t xml:space="preserve">  CNF629</t>
  </si>
  <si>
    <t xml:space="preserve">  AEA9409</t>
  </si>
  <si>
    <t xml:space="preserve">  RYR2195</t>
  </si>
  <si>
    <t xml:space="preserve">  LDM2571</t>
  </si>
  <si>
    <t xml:space="preserve">  EZS1228</t>
  </si>
  <si>
    <t xml:space="preserve">  EZY4592</t>
  </si>
  <si>
    <t xml:space="preserve">  GMI3165</t>
  </si>
  <si>
    <t xml:space="preserve">  GMI3155</t>
  </si>
  <si>
    <t xml:space="preserve">  EWG9545</t>
  </si>
  <si>
    <t xml:space="preserve">  GMI3159</t>
  </si>
  <si>
    <t xml:space="preserve">  EWG7529</t>
  </si>
  <si>
    <t xml:space="preserve">  CFG1447</t>
  </si>
  <si>
    <t xml:space="preserve">  GMI3191</t>
  </si>
  <si>
    <t xml:space="preserve">  EWG2269</t>
  </si>
  <si>
    <t xml:space="preserve">  AEA9476</t>
  </si>
  <si>
    <t xml:space="preserve">  GSW3179</t>
  </si>
  <si>
    <t xml:space="preserve">  EDW231</t>
  </si>
  <si>
    <t xml:space="preserve">  AEA4125</t>
  </si>
  <si>
    <t xml:space="preserve">  IBK5251</t>
  </si>
  <si>
    <t>L  JVSD</t>
  </si>
  <si>
    <t xml:space="preserve">  IBB116</t>
  </si>
  <si>
    <t xml:space="preserve">  XJV D</t>
  </si>
  <si>
    <t xml:space="preserve">  CNF644</t>
  </si>
  <si>
    <t xml:space="preserve">  AEA9410</t>
  </si>
  <si>
    <t xml:space="preserve">  AEA9475</t>
  </si>
  <si>
    <t xml:space="preserve"> M  VS </t>
  </si>
  <si>
    <t xml:space="preserve">  IBE3957</t>
  </si>
  <si>
    <t xml:space="preserve">  IBK6309</t>
  </si>
  <si>
    <t xml:space="preserve">  IBK6311</t>
  </si>
  <si>
    <t xml:space="preserve">  VLG3279</t>
  </si>
  <si>
    <t xml:space="preserve">  AZA047</t>
  </si>
  <si>
    <t xml:space="preserve">  IBB5250</t>
  </si>
  <si>
    <t xml:space="preserve">  TRA6202</t>
  </si>
  <si>
    <t xml:space="preserve">  EZY7942</t>
  </si>
  <si>
    <t xml:space="preserve">  TFL580</t>
  </si>
  <si>
    <t xml:space="preserve">  TFL686</t>
  </si>
  <si>
    <t xml:space="preserve">  TFL562</t>
  </si>
  <si>
    <t xml:space="preserve">  RYR2533</t>
  </si>
  <si>
    <t xml:space="preserve">  EZY4716</t>
  </si>
  <si>
    <t xml:space="preserve">  GMI3327</t>
  </si>
  <si>
    <t xml:space="preserve">  LDM3315</t>
  </si>
  <si>
    <t xml:space="preserve">  EWG8291</t>
  </si>
  <si>
    <t xml:space="preserve">  TCX1773</t>
  </si>
  <si>
    <t xml:space="preserve">  RYR6692</t>
  </si>
  <si>
    <t xml:space="preserve">  JAF6432</t>
  </si>
  <si>
    <t xml:space="preserve">  JAF1752</t>
  </si>
  <si>
    <t xml:space="preserve">  BEL3780</t>
  </si>
  <si>
    <t xml:space="preserve">  JAF1754</t>
  </si>
  <si>
    <t xml:space="preserve">  JAF1926</t>
  </si>
  <si>
    <t xml:space="preserve">  JAF1772</t>
  </si>
  <si>
    <t xml:space="preserve">  TVS7379</t>
  </si>
  <si>
    <t xml:space="preserve">  EWG253</t>
  </si>
  <si>
    <t xml:space="preserve">  IBK6470</t>
  </si>
  <si>
    <t xml:space="preserve">  RYR1561</t>
  </si>
  <si>
    <t xml:space="preserve">  IBK3675</t>
  </si>
  <si>
    <t xml:space="preserve">  SAS2628</t>
  </si>
  <si>
    <t xml:space="preserve">  IBK6474</t>
  </si>
  <si>
    <t xml:space="preserve">  LDM2051</t>
  </si>
  <si>
    <t xml:space="preserve">  EWG9559</t>
  </si>
  <si>
    <t xml:space="preserve">  TCX1607</t>
  </si>
  <si>
    <t xml:space="preserve">  NAX4272</t>
  </si>
  <si>
    <t xml:space="preserve">  RYR1015</t>
  </si>
  <si>
    <t xml:space="preserve">   JVSD</t>
  </si>
  <si>
    <t xml:space="preserve">  TCX1505</t>
  </si>
  <si>
    <t xml:space="preserve">  IBK6458</t>
  </si>
  <si>
    <t xml:space="preserve">  TUI2363</t>
  </si>
  <si>
    <t xml:space="preserve">  EWG7533</t>
  </si>
  <si>
    <t xml:space="preserve">  EWG3535</t>
  </si>
  <si>
    <t xml:space="preserve">  IBK511</t>
  </si>
  <si>
    <t xml:space="preserve">  FIN1694</t>
  </si>
  <si>
    <t xml:space="preserve">  IBK6522</t>
  </si>
  <si>
    <t xml:space="preserve">  ENT5964</t>
  </si>
  <si>
    <t xml:space="preserve">  BAW2703</t>
  </si>
  <si>
    <t xml:space="preserve">  EZY8706</t>
  </si>
  <si>
    <t xml:space="preserve">  LGL156</t>
  </si>
  <si>
    <t xml:space="preserve">  IBK5213</t>
  </si>
  <si>
    <t xml:space="preserve">  EZY1902</t>
  </si>
  <si>
    <t xml:space="preserve">  TCX1811</t>
  </si>
  <si>
    <t xml:space="preserve">  RYR1810</t>
  </si>
  <si>
    <t xml:space="preserve">  EWG1801</t>
  </si>
  <si>
    <t xml:space="preserve">  DLH1839</t>
  </si>
  <si>
    <t>NAPOLES</t>
  </si>
  <si>
    <t>NAP</t>
  </si>
  <si>
    <t xml:space="preserve">  EZY4858</t>
  </si>
  <si>
    <t xml:space="preserve">  EZY6424</t>
  </si>
  <si>
    <t xml:space="preserve">  EWG4105</t>
  </si>
  <si>
    <t xml:space="preserve">  GMI3175</t>
  </si>
  <si>
    <t xml:space="preserve">  JAF1802</t>
  </si>
  <si>
    <t xml:space="preserve">  RYR1207</t>
  </si>
  <si>
    <t xml:space="preserve">  IBK6422</t>
  </si>
  <si>
    <t xml:space="preserve">  NAX1823</t>
  </si>
  <si>
    <t xml:space="preserve">  RYR1036</t>
  </si>
  <si>
    <t xml:space="preserve">  IBK6426</t>
  </si>
  <si>
    <t xml:space="preserve">  TUI2757</t>
  </si>
  <si>
    <t xml:space="preserve">  JAF6412</t>
  </si>
  <si>
    <t xml:space="preserve">  ENT7344</t>
  </si>
  <si>
    <t xml:space="preserve">  IBK6550</t>
  </si>
  <si>
    <t xml:space="preserve">  GMI3163</t>
  </si>
  <si>
    <t xml:space="preserve">  TRA6214</t>
  </si>
  <si>
    <t xml:space="preserve">  EWG4377</t>
  </si>
  <si>
    <t xml:space="preserve">  EZY7442</t>
  </si>
  <si>
    <t xml:space="preserve">  EWG2535</t>
  </si>
  <si>
    <t xml:space="preserve">  RYR5030</t>
  </si>
  <si>
    <t xml:space="preserve">  LDM2601</t>
  </si>
  <si>
    <t xml:space="preserve">  EWG5961</t>
  </si>
  <si>
    <t xml:space="preserve">  RYR1210</t>
  </si>
  <si>
    <t xml:space="preserve">  VLG3272</t>
  </si>
  <si>
    <t xml:space="preserve">  EDW217</t>
  </si>
  <si>
    <t xml:space="preserve">  SR3907</t>
  </si>
  <si>
    <t xml:space="preserve">  NVR144</t>
  </si>
  <si>
    <t xml:space="preserve">  BLX276</t>
  </si>
  <si>
    <t xml:space="preserve">  BLX184</t>
  </si>
  <si>
    <t xml:space="preserve">  TOM3513</t>
  </si>
  <si>
    <t xml:space="preserve">  JTG720</t>
  </si>
  <si>
    <t xml:space="preserve">  NAX9035</t>
  </si>
  <si>
    <t xml:space="preserve">  CND594</t>
  </si>
  <si>
    <t xml:space="preserve">  CND194</t>
  </si>
  <si>
    <t xml:space="preserve">  TOM6665</t>
  </si>
  <si>
    <t xml:space="preserve">  TVP7301</t>
  </si>
  <si>
    <t xml:space="preserve">  SAS7722</t>
  </si>
  <si>
    <t xml:space="preserve">  SAS7680</t>
  </si>
  <si>
    <t>KASSEL /KASSEL-CALDEN</t>
  </si>
  <si>
    <t>KSF</t>
  </si>
  <si>
    <t xml:space="preserve">  TVP7303</t>
  </si>
  <si>
    <t xml:space="preserve">  VKG1485</t>
  </si>
  <si>
    <t xml:space="preserve">  NVR148</t>
  </si>
  <si>
    <t xml:space="preserve">  JTG422</t>
  </si>
  <si>
    <t xml:space="preserve">  CND794</t>
  </si>
  <si>
    <t xml:space="preserve">  JTG266</t>
  </si>
  <si>
    <t xml:space="preserve">  JTG260</t>
  </si>
  <si>
    <t xml:space="preserve">  JTG262</t>
  </si>
  <si>
    <t xml:space="preserve">  EWG5405</t>
  </si>
  <si>
    <t xml:space="preserve">  SXD4510</t>
  </si>
  <si>
    <t xml:space="preserve">  TOM3611</t>
  </si>
  <si>
    <t xml:space="preserve">  BLX264</t>
  </si>
  <si>
    <t xml:space="preserve">  BLX252</t>
  </si>
  <si>
    <t xml:space="preserve">  VKG1743</t>
  </si>
  <si>
    <t xml:space="preserve">  BLX222</t>
  </si>
  <si>
    <t xml:space="preserve">  SXD4520</t>
  </si>
  <si>
    <t xml:space="preserve">  TOM3645</t>
  </si>
  <si>
    <t xml:space="preserve">  VKG1833</t>
  </si>
  <si>
    <t xml:space="preserve">  VKG1765</t>
  </si>
  <si>
    <t xml:space="preserve">  SAS7674</t>
  </si>
  <si>
    <t>HALMSTAD</t>
  </si>
  <si>
    <t>HAD</t>
  </si>
  <si>
    <t xml:space="preserve">  EWG5401</t>
  </si>
  <si>
    <t xml:space="preserve">  VKG1517</t>
  </si>
  <si>
    <t>JONKOPING/AXAMO</t>
  </si>
  <si>
    <t>JKG</t>
  </si>
  <si>
    <t xml:space="preserve">  JTG706</t>
  </si>
  <si>
    <t xml:space="preserve">  JTG704</t>
  </si>
  <si>
    <t xml:space="preserve">  SDR3467</t>
  </si>
  <si>
    <t xml:space="preserve">  SAS7418</t>
  </si>
  <si>
    <t xml:space="preserve">  JTG738</t>
  </si>
  <si>
    <t xml:space="preserve">  VKG1459</t>
  </si>
  <si>
    <t xml:space="preserve">  JTG734</t>
  </si>
  <si>
    <t xml:space="preserve">  JTG770</t>
  </si>
  <si>
    <t xml:space="preserve">  JTG728</t>
  </si>
  <si>
    <t>OREBRO /OREBRO-BOFORS</t>
  </si>
  <si>
    <t>ORB</t>
  </si>
  <si>
    <t xml:space="preserve">  VKG1437</t>
  </si>
  <si>
    <t xml:space="preserve">  JTG772</t>
  </si>
  <si>
    <t xml:space="preserve">  IBK9318</t>
  </si>
  <si>
    <t xml:space="preserve">  TOM248</t>
  </si>
  <si>
    <t xml:space="preserve">  VKG1555</t>
  </si>
  <si>
    <t>RABIL / BOA VISTA ISLAND</t>
  </si>
  <si>
    <t>BVC</t>
  </si>
  <si>
    <t xml:space="preserve">  JTG259</t>
  </si>
  <si>
    <t xml:space="preserve">  JTG261</t>
  </si>
  <si>
    <t>SKELLEFTEA</t>
  </si>
  <si>
    <t>SFT</t>
  </si>
  <si>
    <t xml:space="preserve">  JTG740</t>
  </si>
  <si>
    <t xml:space="preserve">  VKG1507</t>
  </si>
  <si>
    <t>TAMPERE/TAMPERE-PIRKKALA</t>
  </si>
  <si>
    <t>TMP</t>
  </si>
  <si>
    <t xml:space="preserve">  JTG904</t>
  </si>
  <si>
    <t xml:space="preserve">  SAS7474</t>
  </si>
  <si>
    <t xml:space="preserve">  JTG766</t>
  </si>
  <si>
    <t xml:space="preserve">  JTG952</t>
  </si>
  <si>
    <t xml:space="preserve">  JTG788</t>
  </si>
  <si>
    <t xml:space="preserve">  NAX9631</t>
  </si>
  <si>
    <t xml:space="preserve">  TOM2427</t>
  </si>
  <si>
    <t xml:space="preserve">  TOM1347</t>
  </si>
  <si>
    <t xml:space="preserve">  TOM1757</t>
  </si>
  <si>
    <t xml:space="preserve">  JTG508</t>
  </si>
  <si>
    <t xml:space="preserve">  TVP7305</t>
  </si>
  <si>
    <t xml:space="preserve">  JTG320</t>
  </si>
  <si>
    <t xml:space="preserve">  TOM3747</t>
  </si>
  <si>
    <t xml:space="preserve">  BLX218</t>
  </si>
  <si>
    <t xml:space="preserve">  VKG1817</t>
  </si>
  <si>
    <t xml:space="preserve">  TVP7307</t>
  </si>
  <si>
    <t xml:space="preserve">  VKG1727</t>
  </si>
  <si>
    <t xml:space="preserve">  TOM3785</t>
  </si>
  <si>
    <t xml:space="preserve">  SAS7678</t>
  </si>
  <si>
    <t xml:space="preserve">  SDR3131</t>
  </si>
  <si>
    <t xml:space="preserve">  TOM4649</t>
  </si>
  <si>
    <t xml:space="preserve">  TOM504</t>
  </si>
  <si>
    <t xml:space="preserve">  VKG1457</t>
  </si>
  <si>
    <t xml:space="preserve">  TOM2541</t>
  </si>
  <si>
    <t xml:space="preserve">  TOM2737</t>
  </si>
  <si>
    <t xml:space="preserve">  JTG792</t>
  </si>
  <si>
    <t xml:space="preserve">  TOM5409</t>
  </si>
  <si>
    <t xml:space="preserve">  NVR194</t>
  </si>
  <si>
    <t xml:space="preserve">  TOM606</t>
  </si>
  <si>
    <t xml:space="preserve">  VKG1559</t>
  </si>
  <si>
    <t xml:space="preserve">  VKG1585</t>
  </si>
  <si>
    <t xml:space="preserve">  NAX9325</t>
  </si>
  <si>
    <t xml:space="preserve">  SAS7378</t>
  </si>
  <si>
    <t xml:space="preserve">  JTG912</t>
  </si>
  <si>
    <t xml:space="preserve">  NAX9471</t>
  </si>
  <si>
    <t xml:space="preserve">  TRA5232</t>
  </si>
  <si>
    <t xml:space="preserve">  VOE2487</t>
  </si>
  <si>
    <t xml:space="preserve">  ENT5463</t>
  </si>
  <si>
    <t xml:space="preserve">  ENT5484</t>
  </si>
  <si>
    <t xml:space="preserve">  TCX1537</t>
  </si>
  <si>
    <t xml:space="preserve">  ENT5462</t>
  </si>
  <si>
    <t xml:space="preserve">  EXS1422</t>
  </si>
  <si>
    <t xml:space="preserve">  TVS3717</t>
  </si>
  <si>
    <t>MARSELLA</t>
  </si>
  <si>
    <t>MRS</t>
  </si>
  <si>
    <t xml:space="preserve">  VOE2555</t>
  </si>
  <si>
    <t xml:space="preserve">  JAF6332</t>
  </si>
  <si>
    <t xml:space="preserve">  TVS3719</t>
  </si>
  <si>
    <t xml:space="preserve">  VOE2725</t>
  </si>
  <si>
    <t xml:space="preserve">  VOE2435</t>
  </si>
  <si>
    <t>L    SD</t>
  </si>
  <si>
    <t xml:space="preserve">  TVS3727</t>
  </si>
  <si>
    <t xml:space="preserve">  VOE2557</t>
  </si>
  <si>
    <t xml:space="preserve">  TVS3725</t>
  </si>
  <si>
    <t xml:space="preserve">  VOE2571</t>
  </si>
  <si>
    <t xml:space="preserve">  ENT5482</t>
  </si>
  <si>
    <t xml:space="preserve">  TCX1787</t>
  </si>
  <si>
    <t xml:space="preserve">  ENT5396</t>
  </si>
  <si>
    <t xml:space="preserve">  WOW637</t>
  </si>
  <si>
    <t xml:space="preserve">  LGL312</t>
  </si>
  <si>
    <t xml:space="preserve"> M JVSD</t>
  </si>
  <si>
    <t xml:space="preserve">LM J   </t>
  </si>
  <si>
    <t>LM J  D</t>
  </si>
  <si>
    <t xml:space="preserve">  TUI2174D</t>
  </si>
  <si>
    <t xml:space="preserve">  IBB113</t>
  </si>
  <si>
    <t xml:space="preserve">  EDW203</t>
  </si>
  <si>
    <t>LMX VSD</t>
  </si>
  <si>
    <t xml:space="preserve">  EXS1266</t>
  </si>
  <si>
    <t xml:space="preserve">  TRA5776</t>
  </si>
  <si>
    <t xml:space="preserve">  BAW2665</t>
  </si>
  <si>
    <t xml:space="preserve">  TCX1209</t>
  </si>
  <si>
    <t xml:space="preserve">  EXS756B</t>
  </si>
  <si>
    <t xml:space="preserve">  TVF4709</t>
  </si>
  <si>
    <t xml:space="preserve">  TVF3121</t>
  </si>
  <si>
    <t xml:space="preserve">  AZA045</t>
  </si>
  <si>
    <t xml:space="preserve">  EZY1760</t>
  </si>
  <si>
    <t xml:space="preserve">  WZZ2832</t>
  </si>
  <si>
    <t xml:space="preserve">  TVS3531</t>
  </si>
  <si>
    <t xml:space="preserve">  TVS2491</t>
  </si>
  <si>
    <t xml:space="preserve">  TVS3419</t>
  </si>
  <si>
    <t xml:space="preserve">  TOM1741</t>
  </si>
  <si>
    <t xml:space="preserve">  MYX578</t>
  </si>
  <si>
    <t xml:space="preserve">  DTR329</t>
  </si>
  <si>
    <t xml:space="preserve">  TVS3529</t>
  </si>
  <si>
    <t xml:space="preserve">  LAV2157</t>
  </si>
  <si>
    <t xml:space="preserve">  TVS3565</t>
  </si>
  <si>
    <t xml:space="preserve">  EWG5585</t>
  </si>
  <si>
    <t xml:space="preserve">  TOM1479</t>
  </si>
  <si>
    <t xml:space="preserve">  EWG5431</t>
  </si>
  <si>
    <t xml:space="preserve">  VKG1327</t>
  </si>
  <si>
    <t xml:space="preserve">  ICE1513</t>
  </si>
  <si>
    <t xml:space="preserve">  EWG5477</t>
  </si>
  <si>
    <t xml:space="preserve">  TVS3571</t>
  </si>
  <si>
    <t xml:space="preserve">  TVS5144</t>
  </si>
  <si>
    <t>AARHUS/TIRSTRUP</t>
  </si>
  <si>
    <t>AAR</t>
  </si>
  <si>
    <t xml:space="preserve">  DTR603</t>
  </si>
  <si>
    <t xml:space="preserve">  DTR674</t>
  </si>
  <si>
    <t xml:space="preserve">  TVS3567</t>
  </si>
  <si>
    <t xml:space="preserve">  EWG5465</t>
  </si>
  <si>
    <t xml:space="preserve">  SAS7794</t>
  </si>
  <si>
    <t xml:space="preserve">  TOM1581</t>
  </si>
  <si>
    <t xml:space="preserve">  EWG5451</t>
  </si>
  <si>
    <t xml:space="preserve">  EWG5469</t>
  </si>
  <si>
    <t xml:space="preserve">  GJT3302</t>
  </si>
  <si>
    <t xml:space="preserve">  IBB535</t>
  </si>
  <si>
    <t xml:space="preserve">  CFG1412</t>
  </si>
  <si>
    <t xml:space="preserve">  X VSD</t>
  </si>
  <si>
    <t xml:space="preserve">  IBB229</t>
  </si>
  <si>
    <t xml:space="preserve">  NOS1620</t>
  </si>
  <si>
    <t xml:space="preserve">  NOS1350</t>
  </si>
  <si>
    <t xml:space="preserve">  IBB226</t>
  </si>
  <si>
    <t xml:space="preserve">  TUI2669</t>
  </si>
  <si>
    <t>E95</t>
  </si>
  <si>
    <t xml:space="preserve">  IBB181</t>
  </si>
  <si>
    <t xml:space="preserve"> MX   D</t>
  </si>
  <si>
    <t xml:space="preserve">  IBB197</t>
  </si>
  <si>
    <t xml:space="preserve">  IBE3612</t>
  </si>
  <si>
    <t>LMX   D</t>
  </si>
  <si>
    <t xml:space="preserve">  IBB182</t>
  </si>
  <si>
    <t xml:space="preserve">  IBB472</t>
  </si>
  <si>
    <t xml:space="preserve">  TUI2345</t>
  </si>
  <si>
    <t xml:space="preserve">  LGL712</t>
  </si>
  <si>
    <t xml:space="preserve">  NOS1653</t>
  </si>
  <si>
    <t>32Q</t>
  </si>
  <si>
    <t xml:space="preserve">  FLI7153</t>
  </si>
  <si>
    <t xml:space="preserve">  TOM1131</t>
  </si>
  <si>
    <t xml:space="preserve">  TVS4570</t>
  </si>
  <si>
    <t xml:space="preserve">  TUI2292</t>
  </si>
  <si>
    <t xml:space="preserve">  TUI2258D</t>
  </si>
  <si>
    <t xml:space="preserve">  TUI2188</t>
  </si>
  <si>
    <t xml:space="preserve">  BAW2735</t>
  </si>
  <si>
    <t xml:space="preserve">  TUI2810D</t>
  </si>
  <si>
    <t xml:space="preserve">  TUI2138</t>
  </si>
  <si>
    <t xml:space="preserve">  TUI2188D</t>
  </si>
  <si>
    <t xml:space="preserve">  TUI2343</t>
  </si>
  <si>
    <t xml:space="preserve">  TUI2174</t>
  </si>
  <si>
    <t xml:space="preserve">  TUI2218D</t>
  </si>
  <si>
    <t xml:space="preserve">  TRA5028</t>
  </si>
  <si>
    <t xml:space="preserve">  TFL568</t>
  </si>
  <si>
    <t xml:space="preserve"> M  VSD</t>
  </si>
  <si>
    <t xml:space="preserve">  TCX1225</t>
  </si>
  <si>
    <t xml:space="preserve">  TCX1891</t>
  </si>
  <si>
    <t xml:space="preserve">  SAS4696</t>
  </si>
  <si>
    <t xml:space="preserve">  TUI2258</t>
  </si>
  <si>
    <t xml:space="preserve"> MXJV D</t>
  </si>
  <si>
    <t xml:space="preserve">  AEA4626</t>
  </si>
  <si>
    <t xml:space="preserve">LMX V  </t>
  </si>
  <si>
    <t>BADAJOZ/ TALAVERA LA REAL</t>
  </si>
  <si>
    <t>BJZ</t>
  </si>
  <si>
    <t xml:space="preserve">  IBE8682</t>
  </si>
  <si>
    <t xml:space="preserve">  TFL608</t>
  </si>
  <si>
    <t xml:space="preserve">  ENT7125</t>
  </si>
  <si>
    <t xml:space="preserve">  TUI2138D</t>
  </si>
  <si>
    <t xml:space="preserve">  EXS772</t>
  </si>
  <si>
    <t xml:space="preserve">  TUI2218</t>
  </si>
  <si>
    <t xml:space="preserve">  ENT1864</t>
  </si>
  <si>
    <t xml:space="preserve">  GMI6309</t>
  </si>
  <si>
    <t xml:space="preserve">  SDR3657</t>
  </si>
  <si>
    <t xml:space="preserve">  LGL7660</t>
  </si>
  <si>
    <t xml:space="preserve">  LGL7662</t>
  </si>
  <si>
    <t xml:space="preserve">  TCX1635</t>
  </si>
  <si>
    <t xml:space="preserve">  NVR182</t>
  </si>
  <si>
    <t>JERSEY /STATES</t>
  </si>
  <si>
    <t>JER</t>
  </si>
  <si>
    <t xml:space="preserve">  GMI6179</t>
  </si>
  <si>
    <t xml:space="preserve">  TVS4516</t>
  </si>
  <si>
    <t>POR</t>
  </si>
  <si>
    <t>CANARIAS</t>
  </si>
  <si>
    <t>%d/%m/%Y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</si>
</sst>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indexed="8"/>
      <name val="Calibri"/>
      <family val="2"/>
    </font>
  </fonts>
  <fills count="55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theme="4" tint="0.49995422223578601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4">
    <xf numFmtId="0" fontId="0" fillId="0" borderId="0"/>
    <xf numFmtId="0" fontId="35" fillId="2" borderId="0" applyNumberFormat="0" applyBorder="0" applyAlignment="0" applyProtection="0"/>
    <xf numFmtId="0" fontId="18" fillId="3" borderId="0" applyNumberFormat="0" applyBorder="0" applyAlignment="0" applyProtection="0"/>
    <xf numFmtId="0" fontId="35" fillId="4" borderId="0" applyNumberFormat="0" applyBorder="0" applyAlignment="0" applyProtection="0"/>
    <xf numFmtId="0" fontId="18" fillId="5" borderId="0" applyNumberFormat="0" applyBorder="0" applyAlignment="0" applyProtection="0"/>
    <xf numFmtId="0" fontId="35" fillId="6" borderId="0" applyNumberFormat="0" applyBorder="0" applyAlignment="0" applyProtection="0"/>
    <xf numFmtId="0" fontId="18" fillId="7" borderId="0" applyNumberFormat="0" applyBorder="0" applyAlignment="0" applyProtection="0"/>
    <xf numFmtId="0" fontId="35" fillId="8" borderId="0" applyNumberFormat="0" applyBorder="0" applyAlignment="0" applyProtection="0"/>
    <xf numFmtId="0" fontId="18" fillId="9" borderId="0" applyNumberFormat="0" applyBorder="0" applyAlignment="0" applyProtection="0"/>
    <xf numFmtId="0" fontId="35" fillId="10" borderId="0" applyNumberFormat="0" applyBorder="0" applyAlignment="0" applyProtection="0"/>
    <xf numFmtId="0" fontId="18" fillId="11" borderId="0" applyNumberFormat="0" applyBorder="0" applyAlignment="0" applyProtection="0"/>
    <xf numFmtId="0" fontId="35" fillId="12" borderId="0" applyNumberFormat="0" applyBorder="0" applyAlignment="0" applyProtection="0"/>
    <xf numFmtId="0" fontId="18" fillId="13" borderId="0" applyNumberFormat="0" applyBorder="0" applyAlignment="0" applyProtection="0"/>
    <xf numFmtId="0" fontId="35" fillId="14" borderId="0" applyNumberFormat="0" applyBorder="0" applyAlignment="0" applyProtection="0"/>
    <xf numFmtId="0" fontId="18" fillId="15" borderId="0" applyNumberFormat="0" applyBorder="0" applyAlignment="0" applyProtection="0"/>
    <xf numFmtId="0" fontId="35" fillId="16" borderId="0" applyNumberFormat="0" applyBorder="0" applyAlignment="0" applyProtection="0"/>
    <xf numFmtId="0" fontId="18" fillId="17" borderId="0" applyNumberFormat="0" applyBorder="0" applyAlignment="0" applyProtection="0"/>
    <xf numFmtId="0" fontId="35" fillId="18" borderId="0" applyNumberFormat="0" applyBorder="0" applyAlignment="0" applyProtection="0"/>
    <xf numFmtId="0" fontId="18" fillId="19" borderId="0" applyNumberFormat="0" applyBorder="0" applyAlignment="0" applyProtection="0"/>
    <xf numFmtId="0" fontId="35" fillId="8" borderId="0" applyNumberFormat="0" applyBorder="0" applyAlignment="0" applyProtection="0"/>
    <xf numFmtId="0" fontId="18" fillId="20" borderId="0" applyNumberFormat="0" applyBorder="0" applyAlignment="0" applyProtection="0"/>
    <xf numFmtId="0" fontId="35" fillId="14" borderId="0" applyNumberFormat="0" applyBorder="0" applyAlignment="0" applyProtection="0"/>
    <xf numFmtId="0" fontId="18" fillId="21" borderId="0" applyNumberFormat="0" applyBorder="0" applyAlignment="0" applyProtection="0"/>
    <xf numFmtId="0" fontId="35" fillId="22" borderId="0" applyNumberFormat="0" applyBorder="0" applyAlignment="0" applyProtection="0"/>
    <xf numFmtId="0" fontId="18" fillId="23" borderId="0" applyNumberFormat="0" applyBorder="0" applyAlignment="0" applyProtection="0"/>
    <xf numFmtId="0" fontId="1" fillId="24" borderId="0" applyNumberFormat="0" applyBorder="0" applyAlignment="0" applyProtection="0"/>
    <xf numFmtId="0" fontId="29" fillId="25" borderId="0" applyNumberFormat="0" applyBorder="0" applyAlignment="0" applyProtection="0"/>
    <xf numFmtId="0" fontId="1" fillId="16" borderId="0" applyNumberFormat="0" applyBorder="0" applyAlignment="0" applyProtection="0"/>
    <xf numFmtId="0" fontId="29" fillId="26" borderId="0" applyNumberFormat="0" applyBorder="0" applyAlignment="0" applyProtection="0"/>
    <xf numFmtId="0" fontId="1" fillId="18" borderId="0" applyNumberFormat="0" applyBorder="0" applyAlignment="0" applyProtection="0"/>
    <xf numFmtId="0" fontId="29" fillId="27" borderId="0" applyNumberFormat="0" applyBorder="0" applyAlignment="0" applyProtection="0"/>
    <xf numFmtId="0" fontId="1" fillId="28" borderId="0" applyNumberFormat="0" applyBorder="0" applyAlignment="0" applyProtection="0"/>
    <xf numFmtId="0" fontId="29" fillId="29" borderId="0" applyNumberFormat="0" applyBorder="0" applyAlignment="0" applyProtection="0"/>
    <xf numFmtId="0" fontId="1" fillId="30" borderId="0" applyNumberFormat="0" applyBorder="0" applyAlignment="0" applyProtection="0"/>
    <xf numFmtId="0" fontId="29" fillId="31" borderId="0" applyNumberFormat="0" applyBorder="0" applyAlignment="0" applyProtection="0"/>
    <xf numFmtId="0" fontId="1" fillId="32" borderId="0" applyNumberFormat="0" applyBorder="0" applyAlignment="0" applyProtection="0"/>
    <xf numFmtId="0" fontId="29" fillId="33" borderId="0" applyNumberFormat="0" applyBorder="0" applyAlignment="0" applyProtection="0"/>
    <xf numFmtId="0" fontId="2" fillId="6" borderId="0" applyNumberFormat="0" applyBorder="0" applyAlignment="0" applyProtection="0"/>
    <xf numFmtId="0" fontId="34" fillId="34" borderId="0" applyNumberFormat="0" applyBorder="0" applyAlignment="0" applyProtection="0"/>
    <xf numFmtId="0" fontId="5" fillId="35" borderId="1" applyNumberFormat="0" applyAlignment="0" applyProtection="0"/>
    <xf numFmtId="0" fontId="33" fillId="36" borderId="2" applyNumberFormat="0" applyAlignment="0" applyProtection="0"/>
    <xf numFmtId="0" fontId="3" fillId="37" borderId="3" applyNumberFormat="0" applyAlignment="0" applyProtection="0"/>
    <xf numFmtId="0" fontId="32" fillId="38" borderId="4" applyNumberFormat="0" applyAlignment="0" applyProtection="0"/>
    <xf numFmtId="0" fontId="4" fillId="0" borderId="5" applyNumberFormat="0" applyFill="0" applyAlignment="0" applyProtection="0"/>
    <xf numFmtId="0" fontId="31" fillId="0" borderId="6" applyNumberFormat="0" applyFill="0" applyAlignment="0" applyProtection="0"/>
    <xf numFmtId="0" fontId="30" fillId="0" borderId="7" applyNumberFormat="0" applyFill="0" applyAlignment="0" applyProtection="0"/>
    <xf numFmtId="0" fontId="6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" fillId="39" borderId="0" applyNumberFormat="0" applyBorder="0" applyAlignment="0" applyProtection="0"/>
    <xf numFmtId="0" fontId="29" fillId="40" borderId="0" applyNumberFormat="0" applyBorder="0" applyAlignment="0" applyProtection="0"/>
    <xf numFmtId="0" fontId="1" fillId="41" borderId="0" applyNumberFormat="0" applyBorder="0" applyAlignment="0" applyProtection="0"/>
    <xf numFmtId="0" fontId="29" fillId="42" borderId="0" applyNumberFormat="0" applyBorder="0" applyAlignment="0" applyProtection="0"/>
    <xf numFmtId="0" fontId="1" fillId="43" borderId="0" applyNumberFormat="0" applyBorder="0" applyAlignment="0" applyProtection="0"/>
    <xf numFmtId="0" fontId="29" fillId="44" borderId="0" applyNumberFormat="0" applyBorder="0" applyAlignment="0" applyProtection="0"/>
    <xf numFmtId="0" fontId="1" fillId="28" borderId="0" applyNumberFormat="0" applyBorder="0" applyAlignment="0" applyProtection="0"/>
    <xf numFmtId="0" fontId="29" fillId="45" borderId="0" applyNumberFormat="0" applyBorder="0" applyAlignment="0" applyProtection="0"/>
    <xf numFmtId="0" fontId="1" fillId="30" borderId="0" applyNumberFormat="0" applyBorder="0" applyAlignment="0" applyProtection="0"/>
    <xf numFmtId="0" fontId="29" fillId="46" borderId="0" applyNumberFormat="0" applyBorder="0" applyAlignment="0" applyProtection="0"/>
    <xf numFmtId="0" fontId="1" fillId="47" borderId="0" applyNumberFormat="0" applyBorder="0" applyAlignment="0" applyProtection="0"/>
    <xf numFmtId="0" fontId="29" fillId="48" borderId="0" applyNumberFormat="0" applyBorder="0" applyAlignment="0" applyProtection="0"/>
    <xf numFmtId="0" fontId="7" fillId="12" borderId="1" applyNumberFormat="0" applyAlignment="0" applyProtection="0"/>
    <xf numFmtId="0" fontId="28" fillId="49" borderId="2" applyNumberFormat="0" applyAlignment="0" applyProtection="0"/>
    <xf numFmtId="0" fontId="8" fillId="4" borderId="0" applyNumberFormat="0" applyBorder="0" applyAlignment="0" applyProtection="0"/>
    <xf numFmtId="0" fontId="27" fillId="50" borderId="0" applyNumberFormat="0" applyBorder="0" applyAlignment="0" applyProtection="0"/>
    <xf numFmtId="0" fontId="9" fillId="51" borderId="0" applyNumberFormat="0" applyBorder="0" applyAlignment="0" applyProtection="0"/>
    <xf numFmtId="0" fontId="26" fillId="52" borderId="0" applyNumberFormat="0" applyBorder="0" applyAlignment="0" applyProtection="0"/>
    <xf numFmtId="0" fontId="18" fillId="0" borderId="0"/>
    <xf numFmtId="0" fontId="35" fillId="53" borderId="8" applyNumberFormat="0" applyAlignment="0" applyProtection="0"/>
    <xf numFmtId="0" fontId="18" fillId="54" borderId="9" applyNumberFormat="0" applyAlignment="0" applyProtection="0"/>
    <xf numFmtId="0" fontId="10" fillId="35" borderId="10" applyNumberFormat="0" applyAlignment="0" applyProtection="0"/>
    <xf numFmtId="0" fontId="25" fillId="36" borderId="11" applyNumberFormat="0" applyAlignment="0" applyProtection="0"/>
    <xf numFmtId="0" fontId="11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12" applyNumberFormat="0" applyFill="0" applyAlignment="0" applyProtection="0"/>
    <xf numFmtId="0" fontId="16" fillId="0" borderId="13" applyNumberFormat="0" applyFill="0" applyAlignment="0" applyProtection="0"/>
    <xf numFmtId="0" fontId="22" fillId="0" borderId="14" applyNumberFormat="0" applyFill="0" applyAlignment="0" applyProtection="0"/>
    <xf numFmtId="0" fontId="6" fillId="0" borderId="15" applyNumberFormat="0" applyFill="0" applyAlignment="0" applyProtection="0"/>
    <xf numFmtId="0" fontId="21" fillId="0" borderId="16" applyNumberFormat="0" applyFill="0" applyAlignment="0" applyProtection="0"/>
    <xf numFmtId="0" fontId="20" fillId="0" borderId="0" applyNumberFormat="0" applyFill="0" applyBorder="0" applyAlignment="0" applyProtection="0"/>
    <xf numFmtId="0" fontId="13" fillId="0" borderId="17" applyNumberFormat="0" applyFill="0" applyAlignment="0" applyProtection="0"/>
    <xf numFmtId="0" fontId="19" fillId="0" borderId="18" applyNumberFormat="0" applyFill="0" applyAlignment="0" applyProtection="0"/>
  </cellStyleXfs>
  <cellXfs count="52">
    <xf numFmtId="0" fontId="0" fillId="0" borderId="0" xfId="0" applyAlignment="1"/>
    <xf numFmtId="0" fontId="13" fillId="0" borderId="0" xfId="0" applyFont="1" applyAlignment="1"/>
    <xf numFmtId="0" fontId="17" fillId="0" borderId="0" xfId="0" applyFont="1" applyAlignment="1"/>
    <xf numFmtId="0" fontId="17" fillId="0" borderId="0" xfId="0" applyFont="1" applyAlignment="1">
      <alignment horizontal="right"/>
    </xf>
    <xf numFmtId="0" fontId="18" fillId="0" borderId="0" xfId="66" applyFont="1" applyFill="1"/>
    <xf numFmtId="14" fontId="0" fillId="0" borderId="0" xfId="0" applyNumberFormat="1" applyAlignment="1"/>
    <xf numFmtId="20" fontId="0" fillId="0" borderId="0" xfId="0" applyNumberFormat="1" applyAlignment="1"/>
    <xf numFmtId="0" fontId="18" fillId="0" borderId="0" xfId="66" applyFont="1"/>
    <xf numFmtId="14" fontId="18" fillId="0" borderId="0" xfId="66" applyNumberFormat="1" applyFont="1"/>
    <xf numFmtId="20" fontId="18" fillId="0" borderId="0" xfId="66" applyNumberFormat="1" applyFont="1"/>
    <xf numFmtId="0" fontId="18" fillId="0" borderId="0" xfId="66" applyFont="1"/>
    <xf numFmtId="14" fontId="18" fillId="0" borderId="0" xfId="66" applyNumberFormat="1" applyFont="1"/>
    <xf numFmtId="20" fontId="18" fillId="0" borderId="0" xfId="66" applyNumberFormat="1" applyFont="1"/>
    <xf numFmtId="0" fontId="18" fillId="0" borderId="0" xfId="66" applyFont="1"/>
    <xf numFmtId="14" fontId="18" fillId="0" borderId="0" xfId="66" applyNumberFormat="1" applyFont="1"/>
    <xf numFmtId="20" fontId="18" fillId="0" borderId="0" xfId="66" applyNumberFormat="1" applyFont="1"/>
    <xf numFmtId="0" fontId="18" fillId="0" borderId="0" xfId="66" applyFont="1"/>
    <xf numFmtId="14" fontId="18" fillId="0" borderId="0" xfId="66" applyNumberFormat="1" applyFont="1"/>
    <xf numFmtId="20" fontId="18" fillId="0" borderId="0" xfId="66" applyNumberFormat="1" applyFont="1"/>
    <xf numFmtId="0" fontId="18" fillId="0" borderId="0" xfId="66" applyFont="1"/>
    <xf numFmtId="14" fontId="18" fillId="0" borderId="0" xfId="66" applyNumberFormat="1" applyFont="1"/>
    <xf numFmtId="20" fontId="18" fillId="0" borderId="0" xfId="66" applyNumberFormat="1" applyFont="1"/>
    <xf numFmtId="0" fontId="18" fillId="0" borderId="0" xfId="66" applyFont="1"/>
    <xf numFmtId="14" fontId="18" fillId="0" borderId="0" xfId="66" applyNumberFormat="1" applyFont="1"/>
    <xf numFmtId="20" fontId="18" fillId="0" borderId="0" xfId="66" applyNumberFormat="1" applyFont="1"/>
    <xf numFmtId="0" fontId="18" fillId="0" borderId="0" xfId="66" applyFont="1"/>
    <xf numFmtId="14" fontId="18" fillId="0" borderId="0" xfId="66" applyNumberFormat="1" applyFont="1"/>
    <xf numFmtId="20" fontId="18" fillId="0" borderId="0" xfId="66" applyNumberFormat="1" applyFont="1"/>
    <xf numFmtId="0" fontId="18" fillId="0" borderId="0" xfId="66" applyFont="1"/>
    <xf numFmtId="14" fontId="18" fillId="0" borderId="0" xfId="66" applyNumberFormat="1" applyFont="1"/>
    <xf numFmtId="20" fontId="18" fillId="0" borderId="0" xfId="66" applyNumberFormat="1" applyFont="1"/>
    <xf numFmtId="0" fontId="18" fillId="0" borderId="0" xfId="66" applyFont="1"/>
    <xf numFmtId="14" fontId="18" fillId="0" borderId="0" xfId="66" applyNumberFormat="1" applyFont="1"/>
    <xf numFmtId="20" fontId="18" fillId="0" borderId="0" xfId="66" applyNumberFormat="1" applyFont="1"/>
    <xf numFmtId="0" fontId="18" fillId="0" borderId="0" xfId="66" applyFont="1"/>
    <xf numFmtId="14" fontId="18" fillId="0" borderId="0" xfId="66" applyNumberFormat="1" applyFont="1"/>
    <xf numFmtId="20" fontId="18" fillId="0" borderId="0" xfId="66" applyNumberFormat="1" applyFont="1"/>
    <xf numFmtId="0" fontId="18" fillId="0" borderId="0" xfId="66" applyFont="1"/>
    <xf numFmtId="14" fontId="18" fillId="0" borderId="0" xfId="66" applyNumberFormat="1" applyFont="1"/>
    <xf numFmtId="20" fontId="18" fillId="0" borderId="0" xfId="66" applyNumberFormat="1" applyFont="1"/>
    <xf numFmtId="0" fontId="18" fillId="0" borderId="0" xfId="66" applyFont="1"/>
    <xf numFmtId="14" fontId="18" fillId="0" borderId="0" xfId="66" applyNumberFormat="1" applyFont="1"/>
    <xf numFmtId="20" fontId="18" fillId="0" borderId="0" xfId="66" applyNumberFormat="1" applyFont="1"/>
    <xf numFmtId="0" fontId="18" fillId="0" borderId="0" xfId="66" applyFont="1"/>
    <xf numFmtId="14" fontId="18" fillId="0" borderId="0" xfId="66" applyNumberFormat="1" applyFont="1"/>
    <xf numFmtId="20" fontId="18" fillId="0" borderId="0" xfId="66" applyNumberFormat="1" applyFont="1"/>
    <xf numFmtId="0" fontId="18" fillId="0" borderId="0" xfId="66" applyFont="1"/>
    <xf numFmtId="14" fontId="18" fillId="0" borderId="0" xfId="66" applyNumberFormat="1" applyFont="1"/>
    <xf numFmtId="20" fontId="18" fillId="0" borderId="0" xfId="66" applyNumberFormat="1" applyFont="1"/>
    <xf numFmtId="0" fontId="18" fillId="0" borderId="0" xfId="66" applyFont="1"/>
    <xf numFmtId="14" fontId="18" fillId="0" borderId="0" xfId="66" applyNumberFormat="1" applyFont="1"/>
    <xf numFmtId="20" fontId="18" fillId="0" borderId="0" xfId="66" applyNumberFormat="1" applyFont="1"/>
  </cellXfs>
  <cellStyles count="84">
    <cellStyle name="20% - Énfasis1" xfId="1" xr:uid="{00000000-0005-0000-0000-000001000000}"/>
    <cellStyle name="20% - Énfasis1 2" xfId="2" xr:uid="{00000000-0005-0000-0000-000002000000}"/>
    <cellStyle name="20% - Énfasis2" xfId="3" xr:uid="{00000000-0005-0000-0000-000003000000}"/>
    <cellStyle name="20% - Énfasis2 2" xfId="4" xr:uid="{00000000-0005-0000-0000-000004000000}"/>
    <cellStyle name="20% - Énfasis3" xfId="5" xr:uid="{00000000-0005-0000-0000-000005000000}"/>
    <cellStyle name="20% - Énfasis3 2" xfId="6" xr:uid="{00000000-0005-0000-0000-000006000000}"/>
    <cellStyle name="20% - Énfasis4" xfId="7" xr:uid="{00000000-0005-0000-0000-000007000000}"/>
    <cellStyle name="20% - Énfasis4 2" xfId="8" xr:uid="{00000000-0005-0000-0000-000008000000}"/>
    <cellStyle name="20% - Énfasis5" xfId="9" xr:uid="{00000000-0005-0000-0000-000009000000}"/>
    <cellStyle name="20% - Énfasis5 2" xfId="10" xr:uid="{00000000-0005-0000-0000-00000A000000}"/>
    <cellStyle name="20% - Énfasis6" xfId="11" xr:uid="{00000000-0005-0000-0000-00000B000000}"/>
    <cellStyle name="20% - Énfasis6 2" xfId="12" xr:uid="{00000000-0005-0000-0000-00000C000000}"/>
    <cellStyle name="40% - Énfasis1" xfId="13" xr:uid="{00000000-0005-0000-0000-00000D000000}"/>
    <cellStyle name="40% - Énfasis1 2" xfId="14" xr:uid="{00000000-0005-0000-0000-00000E000000}"/>
    <cellStyle name="40% - Énfasis2" xfId="15" xr:uid="{00000000-0005-0000-0000-00000F000000}"/>
    <cellStyle name="40% - Énfasis2 2" xfId="16" xr:uid="{00000000-0005-0000-0000-000010000000}"/>
    <cellStyle name="40% - Énfasis3" xfId="17" xr:uid="{00000000-0005-0000-0000-000011000000}"/>
    <cellStyle name="40% - Énfasis3 2" xfId="18" xr:uid="{00000000-0005-0000-0000-000012000000}"/>
    <cellStyle name="40% - Énfasis4" xfId="19" xr:uid="{00000000-0005-0000-0000-000013000000}"/>
    <cellStyle name="40% - Énfasis4 2" xfId="20" xr:uid="{00000000-0005-0000-0000-000014000000}"/>
    <cellStyle name="40% - Énfasis5" xfId="21" xr:uid="{00000000-0005-0000-0000-000015000000}"/>
    <cellStyle name="40% - Énfasis5 2" xfId="22" xr:uid="{00000000-0005-0000-0000-000016000000}"/>
    <cellStyle name="40% - Énfasis6" xfId="23" xr:uid="{00000000-0005-0000-0000-000017000000}"/>
    <cellStyle name="40% - Énfasis6 2" xfId="24" xr:uid="{00000000-0005-0000-0000-000018000000}"/>
    <cellStyle name="60% - Énfasis1" xfId="25" xr:uid="{00000000-0005-0000-0000-000019000000}"/>
    <cellStyle name="60% - Énfasis1 2" xfId="26" xr:uid="{00000000-0005-0000-0000-00001A000000}"/>
    <cellStyle name="60% - Énfasis2" xfId="27" xr:uid="{00000000-0005-0000-0000-00001B000000}"/>
    <cellStyle name="60% - Énfasis2 2" xfId="28" xr:uid="{00000000-0005-0000-0000-00001C000000}"/>
    <cellStyle name="60% - Énfasis3" xfId="29" xr:uid="{00000000-0005-0000-0000-00001D000000}"/>
    <cellStyle name="60% - Énfasis3 2" xfId="30" xr:uid="{00000000-0005-0000-0000-00001E000000}"/>
    <cellStyle name="60% - Énfasis4" xfId="31" xr:uid="{00000000-0005-0000-0000-00001F000000}"/>
    <cellStyle name="60% - Énfasis4 2" xfId="32" xr:uid="{00000000-0005-0000-0000-000020000000}"/>
    <cellStyle name="60% - Énfasis5" xfId="33" xr:uid="{00000000-0005-0000-0000-000021000000}"/>
    <cellStyle name="60% - Énfasis5 2" xfId="34" xr:uid="{00000000-0005-0000-0000-000022000000}"/>
    <cellStyle name="60% - Énfasis6" xfId="35" xr:uid="{00000000-0005-0000-0000-000023000000}"/>
    <cellStyle name="60% - Énfasis6 2" xfId="36" xr:uid="{00000000-0005-0000-0000-000024000000}"/>
    <cellStyle name="Buena" xfId="37" xr:uid="{00000000-0005-0000-0000-000025000000}"/>
    <cellStyle name="Bueno" xfId="38" xr:uid="{00000000-0005-0000-0000-000026000000}"/>
    <cellStyle name="Cálculo" xfId="39" xr:uid="{00000000-0005-0000-0000-000027000000}"/>
    <cellStyle name="Cálculo 2" xfId="40" xr:uid="{00000000-0005-0000-0000-000028000000}"/>
    <cellStyle name="Celda de comprobación" xfId="41" xr:uid="{00000000-0005-0000-0000-000029000000}"/>
    <cellStyle name="Celda de comprobación 2" xfId="42" xr:uid="{00000000-0005-0000-0000-00002A000000}"/>
    <cellStyle name="Celda vinculada" xfId="43" xr:uid="{00000000-0005-0000-0000-00002B000000}"/>
    <cellStyle name="Celda vinculada 2" xfId="44" xr:uid="{00000000-0005-0000-0000-00002C000000}"/>
    <cellStyle name="Encabezado 1" xfId="45" xr:uid="{00000000-0005-0000-0000-00002D000000}"/>
    <cellStyle name="Encabezado 4" xfId="46" xr:uid="{00000000-0005-0000-0000-00002E000000}"/>
    <cellStyle name="Encabezado 4 2" xfId="47" xr:uid="{00000000-0005-0000-0000-00002F000000}"/>
    <cellStyle name="Énfasis1" xfId="48" xr:uid="{00000000-0005-0000-0000-000030000000}"/>
    <cellStyle name="Énfasis1 2" xfId="49" xr:uid="{00000000-0005-0000-0000-000031000000}"/>
    <cellStyle name="Énfasis2" xfId="50" xr:uid="{00000000-0005-0000-0000-000032000000}"/>
    <cellStyle name="Énfasis2 2" xfId="51" xr:uid="{00000000-0005-0000-0000-000033000000}"/>
    <cellStyle name="Énfasis3" xfId="52" xr:uid="{00000000-0005-0000-0000-000034000000}"/>
    <cellStyle name="Énfasis3 2" xfId="53" xr:uid="{00000000-0005-0000-0000-000035000000}"/>
    <cellStyle name="Énfasis4" xfId="54" xr:uid="{00000000-0005-0000-0000-000036000000}"/>
    <cellStyle name="Énfasis4 2" xfId="55" xr:uid="{00000000-0005-0000-0000-000037000000}"/>
    <cellStyle name="Énfasis5" xfId="56" xr:uid="{00000000-0005-0000-0000-000038000000}"/>
    <cellStyle name="Énfasis5 2" xfId="57" xr:uid="{00000000-0005-0000-0000-000039000000}"/>
    <cellStyle name="Énfasis6" xfId="58" xr:uid="{00000000-0005-0000-0000-00003A000000}"/>
    <cellStyle name="Énfasis6 2" xfId="59" xr:uid="{00000000-0005-0000-0000-00003B000000}"/>
    <cellStyle name="Entrada" xfId="60" xr:uid="{00000000-0005-0000-0000-00003C000000}"/>
    <cellStyle name="Entrada 2" xfId="61" xr:uid="{00000000-0005-0000-0000-00003D000000}"/>
    <cellStyle name="Incorrecto" xfId="62" xr:uid="{00000000-0005-0000-0000-00003E000000}"/>
    <cellStyle name="Incorrecto 2" xfId="63" xr:uid="{00000000-0005-0000-0000-00003F000000}"/>
    <cellStyle name="Neutral" xfId="64" xr:uid="{00000000-0005-0000-0000-000044000000}"/>
    <cellStyle name="Neutral 2" xfId="65" xr:uid="{00000000-0005-0000-0000-000045000000}"/>
    <cellStyle name="Normal" xfId="0" builtinId="0"/>
    <cellStyle name="Normal 2" xfId="66" xr:uid="{00000000-0005-0000-0000-000046000000}"/>
    <cellStyle name="Notas" xfId="67" xr:uid="{00000000-0005-0000-0000-000047000000}"/>
    <cellStyle name="Notas 2" xfId="68" xr:uid="{00000000-0005-0000-0000-000048000000}"/>
    <cellStyle name="Salida" xfId="69" xr:uid="{00000000-0005-0000-0000-00004A000000}"/>
    <cellStyle name="Salida 2" xfId="70" xr:uid="{00000000-0005-0000-0000-00004B000000}"/>
    <cellStyle name="Texto de advertencia" xfId="71" xr:uid="{00000000-0005-0000-0000-00004C000000}"/>
    <cellStyle name="Texto de advertencia 2" xfId="72" xr:uid="{00000000-0005-0000-0000-00004D000000}"/>
    <cellStyle name="Texto explicativo" xfId="73" xr:uid="{00000000-0005-0000-0000-00004E000000}"/>
    <cellStyle name="Texto explicativo 2" xfId="74" xr:uid="{00000000-0005-0000-0000-00004F000000}"/>
    <cellStyle name="Título" xfId="75" xr:uid="{00000000-0005-0000-0000-000050000000}"/>
    <cellStyle name="Título 1" xfId="76" xr:uid="{00000000-0005-0000-0000-000051000000}"/>
    <cellStyle name="Título 2" xfId="77" xr:uid="{00000000-0005-0000-0000-000052000000}"/>
    <cellStyle name="Título 2 2" xfId="78" xr:uid="{00000000-0005-0000-0000-000053000000}"/>
    <cellStyle name="Título 3" xfId="79" xr:uid="{00000000-0005-0000-0000-000054000000}"/>
    <cellStyle name="Título 3 2" xfId="80" xr:uid="{00000000-0005-0000-0000-000055000000}"/>
    <cellStyle name="Título 4" xfId="81" xr:uid="{00000000-0005-0000-0000-000056000000}"/>
    <cellStyle name="Total" xfId="82" xr:uid="{00000000-0005-0000-0000-000057000000}"/>
    <cellStyle name="Total 2" xfId="83" xr:uid="{00000000-0005-0000-0000-00005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321"/>
  <sheetViews>
    <sheetView tabSelected="1" topLeftCell="A256" zoomScale="50" zoomScaleNormal="50" workbookViewId="0">
      <selection activeCell="AC26" sqref="AC26"/>
    </sheetView>
  </sheetViews>
  <sheetFormatPr baseColWidth="10" defaultColWidth="11.5703125" defaultRowHeight="15" x14ac:dyDescent="0.25"/>
  <cols>
    <col min="1" max="1" width="7.5703125" customWidth="1"/>
    <col min="2" max="2" width="11.42578125" customWidth="1"/>
    <col min="3" max="3" width="24.5703125" customWidth="1"/>
    <col min="4" max="4" width="8" customWidth="1"/>
    <col min="5" max="5" width="13.28515625" customWidth="1"/>
    <col min="6" max="6" width="14.140625" customWidth="1"/>
    <col min="7" max="7" width="13.7109375" customWidth="1"/>
    <col min="8" max="8" width="12" customWidth="1"/>
    <col min="9" max="9" width="11.140625" customWidth="1"/>
    <col min="10" max="10" width="11.42578125" customWidth="1"/>
    <col min="11" max="11" width="14.85546875" customWidth="1"/>
    <col min="12" max="12" width="6.42578125" customWidth="1"/>
    <col min="13" max="13" width="6.28515625" customWidth="1"/>
    <col min="14" max="14" width="12" customWidth="1"/>
    <col min="15" max="15" width="17.140625" customWidth="1"/>
    <col min="16" max="18" width="11.42578125" customWidth="1"/>
    <col min="19" max="19" width="21.28515625" customWidth="1"/>
    <col min="20" max="30" width="11.42578125" customWidth="1"/>
    <col min="31" max="31" width="14.5703125" customWidth="1"/>
    <col min="32" max="32" width="12.140625" customWidth="1"/>
    <col min="33" max="38" width="11.42578125" customWidth="1"/>
    <col min="39" max="39" width="13.7109375" customWidth="1"/>
    <col min="40" max="245" width="11.42578125" customWidth="1"/>
  </cols>
  <sheetData>
    <row r="1" spans="1:39" x14ac:dyDescent="0.25">
      <c r="C1" s="1" t="s">
        <v>0</v>
      </c>
      <c r="D1" s="1" t="s">
        <v>1</v>
      </c>
      <c r="E1" s="1" t="s">
        <v>2</v>
      </c>
      <c r="F1" s="2" t="s">
        <v>3</v>
      </c>
      <c r="G1" s="1" t="s">
        <v>4</v>
      </c>
      <c r="H1" s="3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</row>
    <row r="2" spans="1:39" x14ac:dyDescent="0.25">
      <c r="A2" t="s">
        <v>1436</v>
      </c>
      <c r="B2" t="s">
        <v>0</v>
      </c>
      <c r="C2" t="s">
        <v>11</v>
      </c>
      <c r="D2" t="s">
        <v>12</v>
      </c>
      <c r="E2" t="s">
        <v>18</v>
      </c>
      <c r="F2" s="5">
        <v>43408</v>
      </c>
      <c r="G2" s="5">
        <v>43548</v>
      </c>
      <c r="H2" s="6">
        <v>0.4236111111111111</v>
      </c>
      <c r="I2" t="s">
        <v>14</v>
      </c>
      <c r="J2" t="s">
        <v>15</v>
      </c>
      <c r="K2" t="s">
        <v>16</v>
      </c>
      <c r="M2" t="s">
        <v>17</v>
      </c>
    </row>
    <row r="3" spans="1:39" x14ac:dyDescent="0.25">
      <c r="A3" t="s">
        <v>1436</v>
      </c>
      <c r="B3" t="s">
        <v>0</v>
      </c>
      <c r="C3" t="s">
        <v>11</v>
      </c>
      <c r="D3" t="s">
        <v>12</v>
      </c>
      <c r="E3" t="s">
        <v>109</v>
      </c>
      <c r="F3" s="5">
        <v>43405</v>
      </c>
      <c r="G3" s="5">
        <v>43552</v>
      </c>
      <c r="H3" s="6">
        <v>0.44791666666666669</v>
      </c>
      <c r="I3" t="s">
        <v>14</v>
      </c>
      <c r="J3" t="s">
        <v>15</v>
      </c>
      <c r="K3" t="s">
        <v>16</v>
      </c>
      <c r="M3" t="s">
        <v>17</v>
      </c>
      <c r="N3" t="str">
        <f t="array" ref="N3:W14">expand_date_intervals(assemble_cells(A1:M1,A9:M9))</f>
        <v/>
      </c>
      <c r="O3" t="str">
        <v>Destino</v>
      </c>
      <c r="P3" t="str">
        <v>Codigo</v>
      </c>
      <c r="Q3" t="str">
        <v>Hora_Salida</v>
      </c>
      <c r="R3" t="str">
        <v>Aeronave</v>
      </c>
      <c r="S3" t="str">
        <v>Num_vuelo</v>
      </c>
      <c r="T3" t="str">
        <v>Pais</v>
      </c>
      <c r="U3" t="str">
        <v>Escala</v>
      </c>
      <c r="V3" t="str">
        <v>Origen</v>
      </c>
      <c r="W3" t="str">
        <v>Day</v>
      </c>
      <c r="AA3" t="str">
        <f t="array" ref="AA3:AM4">sample()</f>
        <v>Unnamed: 0</v>
      </c>
      <c r="AB3" t="str">
        <v>Unnamed: 1</v>
      </c>
      <c r="AC3" t="str">
        <v>Destino</v>
      </c>
      <c r="AD3" t="str">
        <v>Codigo</v>
      </c>
      <c r="AE3" t="str">
        <v>Hora_Salida</v>
      </c>
      <c r="AF3" t="str">
        <v>Aeronave</v>
      </c>
      <c r="AG3" t="str">
        <v>Num_vuelo</v>
      </c>
      <c r="AH3" t="str">
        <v>Pais</v>
      </c>
      <c r="AI3" t="str">
        <v>Escala</v>
      </c>
      <c r="AJ3" t="str">
        <v>Origen</v>
      </c>
      <c r="AK3" t="str">
        <v>asientos</v>
      </c>
      <c r="AL3" t="str">
        <v>modelo</v>
      </c>
      <c r="AM3" t="str">
        <v>Day</v>
      </c>
    </row>
    <row r="4" spans="1:39" x14ac:dyDescent="0.25">
      <c r="A4" t="s">
        <v>1436</v>
      </c>
      <c r="B4" t="s">
        <v>0</v>
      </c>
      <c r="C4" t="s">
        <v>11</v>
      </c>
      <c r="D4" t="s">
        <v>12</v>
      </c>
      <c r="E4" t="s">
        <v>48</v>
      </c>
      <c r="F4" s="5">
        <v>43511</v>
      </c>
      <c r="G4" s="5">
        <v>43553</v>
      </c>
      <c r="H4" s="6">
        <v>0.4861111111111111</v>
      </c>
      <c r="I4" t="s">
        <v>14</v>
      </c>
      <c r="J4" t="s">
        <v>15</v>
      </c>
      <c r="N4" t="str">
        <v>Destino</v>
      </c>
      <c r="O4" t="str">
        <v>AMSTERDAM/SCHIPHOL</v>
      </c>
      <c r="P4" t="str">
        <v>AMS</v>
      </c>
      <c r="Q4" t="str">
        <v>19:35:00</v>
      </c>
      <c r="R4" t="str">
        <v>73H</v>
      </c>
      <c r="S4" t="str">
        <v xml:space="preserve">  TRA5684</v>
      </c>
      <c r="T4" t="str">
        <v>HOLANDA</v>
      </c>
      <c r="U4" t="str">
        <v/>
      </c>
      <c r="V4" t="str">
        <v>ACE</v>
      </c>
      <c r="W4" t="str">
        <v>19/01/2019</v>
      </c>
      <c r="AA4" t="str">
        <v>W18</v>
      </c>
      <c r="AB4" t="str">
        <v>Destino</v>
      </c>
      <c r="AC4" t="str">
        <v>AMSTERDAM/SCHIPHOL</v>
      </c>
      <c r="AD4" t="str">
        <v>AMS</v>
      </c>
      <c r="AE4" t="str">
        <v>10:10:00</v>
      </c>
      <c r="AF4" t="str">
        <v>73H</v>
      </c>
      <c r="AG4" t="str">
        <v xml:space="preserve">  TRA5686</v>
      </c>
      <c r="AH4" t="str">
        <v>HOLANDA</v>
      </c>
      <c r="AI4" t="str">
        <v/>
      </c>
      <c r="AJ4" t="str">
        <v>ACE</v>
      </c>
      <c r="AK4">
        <v>189</v>
      </c>
      <c r="AL4" t="str">
        <v>Boeing 737-800 pax</v>
      </c>
      <c r="AM4" t="str">
        <v>10/02/2019</v>
      </c>
    </row>
    <row r="5" spans="1:39" x14ac:dyDescent="0.25">
      <c r="A5" t="s">
        <v>1436</v>
      </c>
      <c r="B5" t="s">
        <v>0</v>
      </c>
      <c r="C5" t="s">
        <v>11</v>
      </c>
      <c r="D5" t="s">
        <v>12</v>
      </c>
      <c r="E5" t="s">
        <v>22</v>
      </c>
      <c r="F5" s="5">
        <v>43421</v>
      </c>
      <c r="G5" s="5">
        <v>43547</v>
      </c>
      <c r="H5" s="6">
        <v>0.5</v>
      </c>
      <c r="I5">
        <v>320</v>
      </c>
      <c r="J5" t="s">
        <v>1437</v>
      </c>
      <c r="N5" t="str">
        <v>Destino</v>
      </c>
      <c r="O5" t="str">
        <v>AMSTERDAM/SCHIPHOL</v>
      </c>
      <c r="P5" t="str">
        <v>AMS</v>
      </c>
      <c r="Q5" t="str">
        <v>19:35:00</v>
      </c>
      <c r="R5" t="str">
        <v>73H</v>
      </c>
      <c r="S5" t="str">
        <v xml:space="preserve">  TRA5684</v>
      </c>
      <c r="T5" t="str">
        <v>HOLANDA</v>
      </c>
      <c r="U5" t="str">
        <v/>
      </c>
      <c r="V5" t="str">
        <v>ACE</v>
      </c>
      <c r="W5" t="str">
        <v>26/01/2019</v>
      </c>
    </row>
    <row r="6" spans="1:39" x14ac:dyDescent="0.25">
      <c r="A6" t="s">
        <v>1436</v>
      </c>
      <c r="B6" t="s">
        <v>0</v>
      </c>
      <c r="C6" t="s">
        <v>11</v>
      </c>
      <c r="D6" t="s">
        <v>12</v>
      </c>
      <c r="E6" t="s">
        <v>19</v>
      </c>
      <c r="F6" s="5">
        <v>43466</v>
      </c>
      <c r="G6" s="5">
        <v>43550</v>
      </c>
      <c r="H6" s="6">
        <v>0.5</v>
      </c>
      <c r="I6">
        <v>320</v>
      </c>
      <c r="J6" t="s">
        <v>1437</v>
      </c>
      <c r="N6" t="str">
        <v>Destino</v>
      </c>
      <c r="O6" t="str">
        <v>AMSTERDAM/SCHIPHOL</v>
      </c>
      <c r="P6" t="str">
        <v>AMS</v>
      </c>
      <c r="Q6" t="str">
        <v>19:35:00</v>
      </c>
      <c r="R6" t="str">
        <v>73H</v>
      </c>
      <c r="S6" t="str">
        <v xml:space="preserve">  TRA5684</v>
      </c>
      <c r="T6" t="str">
        <v>HOLANDA</v>
      </c>
      <c r="U6" t="str">
        <v/>
      </c>
      <c r="V6" t="str">
        <v>ACE</v>
      </c>
      <c r="W6" t="str">
        <v>02/02/2019</v>
      </c>
    </row>
    <row r="7" spans="1:39" x14ac:dyDescent="0.25">
      <c r="A7" t="s">
        <v>1436</v>
      </c>
      <c r="B7" t="s">
        <v>0</v>
      </c>
      <c r="C7" t="s">
        <v>11</v>
      </c>
      <c r="D7" t="s">
        <v>12</v>
      </c>
      <c r="E7" t="s">
        <v>18</v>
      </c>
      <c r="F7" s="5">
        <v>43513</v>
      </c>
      <c r="G7" s="5">
        <v>43548</v>
      </c>
      <c r="H7" s="6">
        <v>0.78125</v>
      </c>
      <c r="I7" t="s">
        <v>14</v>
      </c>
      <c r="J7" t="s">
        <v>1821</v>
      </c>
      <c r="N7" t="str">
        <v>Destino</v>
      </c>
      <c r="O7" t="str">
        <v>AMSTERDAM/SCHIPHOL</v>
      </c>
      <c r="P7" t="str">
        <v>AMS</v>
      </c>
      <c r="Q7" t="str">
        <v>19:35:00</v>
      </c>
      <c r="R7" t="str">
        <v>73H</v>
      </c>
      <c r="S7" t="str">
        <v xml:space="preserve">  TRA5684</v>
      </c>
      <c r="T7" t="str">
        <v>HOLANDA</v>
      </c>
      <c r="U7" t="str">
        <v/>
      </c>
      <c r="V7" t="str">
        <v>ACE</v>
      </c>
      <c r="W7" t="str">
        <v>09/02/2019</v>
      </c>
    </row>
    <row r="8" spans="1:39" x14ac:dyDescent="0.25">
      <c r="A8" t="s">
        <v>1436</v>
      </c>
      <c r="B8" t="s">
        <v>0</v>
      </c>
      <c r="C8" t="s">
        <v>11</v>
      </c>
      <c r="D8" t="s">
        <v>12</v>
      </c>
      <c r="E8" t="s">
        <v>18</v>
      </c>
      <c r="F8" s="5">
        <v>43513</v>
      </c>
      <c r="G8" s="5">
        <v>43527</v>
      </c>
      <c r="H8" s="6">
        <v>0.78472222222222221</v>
      </c>
      <c r="I8" t="s">
        <v>14</v>
      </c>
      <c r="J8" t="s">
        <v>1197</v>
      </c>
      <c r="N8" t="str">
        <v>Destino</v>
      </c>
      <c r="O8" t="str">
        <v>AMSTERDAM/SCHIPHOL</v>
      </c>
      <c r="P8" t="str">
        <v>AMS</v>
      </c>
      <c r="Q8" t="str">
        <v>19:35:00</v>
      </c>
      <c r="R8" t="str">
        <v>73H</v>
      </c>
      <c r="S8" t="str">
        <v xml:space="preserve">  TRA5684</v>
      </c>
      <c r="T8" t="str">
        <v>HOLANDA</v>
      </c>
      <c r="U8" t="str">
        <v/>
      </c>
      <c r="V8" t="str">
        <v>ACE</v>
      </c>
      <c r="W8" t="str">
        <v>16/02/2019</v>
      </c>
    </row>
    <row r="9" spans="1:39" x14ac:dyDescent="0.25">
      <c r="A9" t="s">
        <v>1436</v>
      </c>
      <c r="B9" t="s">
        <v>0</v>
      </c>
      <c r="C9" t="s">
        <v>11</v>
      </c>
      <c r="D9" t="s">
        <v>12</v>
      </c>
      <c r="E9" t="s">
        <v>22</v>
      </c>
      <c r="F9" s="5">
        <v>43484</v>
      </c>
      <c r="G9" s="5">
        <v>43554</v>
      </c>
      <c r="H9" s="6">
        <v>0.81597222222222221</v>
      </c>
      <c r="I9" t="s">
        <v>14</v>
      </c>
      <c r="J9" t="s">
        <v>21</v>
      </c>
      <c r="K9" t="s">
        <v>16</v>
      </c>
      <c r="M9" t="s">
        <v>17</v>
      </c>
      <c r="N9" t="str">
        <v>Destino</v>
      </c>
      <c r="O9" t="str">
        <v>AMSTERDAM/SCHIPHOL</v>
      </c>
      <c r="P9" t="str">
        <v>AMS</v>
      </c>
      <c r="Q9" t="str">
        <v>19:35:00</v>
      </c>
      <c r="R9" t="str">
        <v>73H</v>
      </c>
      <c r="S9" t="str">
        <v xml:space="preserve">  TRA5684</v>
      </c>
      <c r="T9" t="str">
        <v>HOLANDA</v>
      </c>
      <c r="U9" t="str">
        <v/>
      </c>
      <c r="V9" t="str">
        <v>ACE</v>
      </c>
      <c r="W9" t="str">
        <v>23/02/2019</v>
      </c>
    </row>
    <row r="10" spans="1:39" x14ac:dyDescent="0.25">
      <c r="A10" t="s">
        <v>1436</v>
      </c>
      <c r="B10" t="s">
        <v>0</v>
      </c>
      <c r="C10" t="s">
        <v>11</v>
      </c>
      <c r="D10" t="s">
        <v>12</v>
      </c>
      <c r="E10" t="s">
        <v>13</v>
      </c>
      <c r="F10" s="5">
        <v>43510</v>
      </c>
      <c r="G10" s="5">
        <v>43552</v>
      </c>
      <c r="H10" s="6">
        <v>0.86805555555555547</v>
      </c>
      <c r="I10" t="s">
        <v>14</v>
      </c>
      <c r="J10" t="s">
        <v>1438</v>
      </c>
      <c r="K10" t="s">
        <v>16</v>
      </c>
      <c r="M10" t="s">
        <v>17</v>
      </c>
      <c r="N10" t="str">
        <v>Destino</v>
      </c>
      <c r="O10" t="str">
        <v>AMSTERDAM/SCHIPHOL</v>
      </c>
      <c r="P10" t="str">
        <v>AMS</v>
      </c>
      <c r="Q10" t="str">
        <v>19:35:00</v>
      </c>
      <c r="R10" t="str">
        <v>73H</v>
      </c>
      <c r="S10" t="str">
        <v xml:space="preserve">  TRA5684</v>
      </c>
      <c r="T10" t="str">
        <v>HOLANDA</v>
      </c>
      <c r="U10" t="str">
        <v/>
      </c>
      <c r="V10" t="str">
        <v>ACE</v>
      </c>
      <c r="W10" t="str">
        <v>02/03/2019</v>
      </c>
    </row>
    <row r="11" spans="1:39" x14ac:dyDescent="0.25">
      <c r="A11" t="s">
        <v>1436</v>
      </c>
      <c r="B11" t="s">
        <v>0</v>
      </c>
      <c r="C11" t="s">
        <v>23</v>
      </c>
      <c r="D11" t="s">
        <v>24</v>
      </c>
      <c r="E11" t="s">
        <v>22</v>
      </c>
      <c r="F11" s="5">
        <v>43407</v>
      </c>
      <c r="G11" s="5">
        <v>43554</v>
      </c>
      <c r="H11" s="6">
        <v>0.72916666666666663</v>
      </c>
      <c r="I11">
        <v>320</v>
      </c>
      <c r="J11" t="s">
        <v>26</v>
      </c>
      <c r="K11" t="s">
        <v>25</v>
      </c>
      <c r="M11" t="s">
        <v>17</v>
      </c>
      <c r="N11" t="str">
        <v>Destino</v>
      </c>
      <c r="O11" t="str">
        <v>AMSTERDAM/SCHIPHOL</v>
      </c>
      <c r="P11" t="str">
        <v>AMS</v>
      </c>
      <c r="Q11" t="str">
        <v>19:35:00</v>
      </c>
      <c r="R11" t="str">
        <v>73H</v>
      </c>
      <c r="S11" t="str">
        <v xml:space="preserve">  TRA5684</v>
      </c>
      <c r="T11" t="str">
        <v>HOLANDA</v>
      </c>
      <c r="U11" t="str">
        <v/>
      </c>
      <c r="V11" t="str">
        <v>ACE</v>
      </c>
      <c r="W11" t="str">
        <v>09/03/2019</v>
      </c>
      <c r="AC11" t="str">
        <f t="array" ref="AC11:AK12">inner_merge(P3:W4,O3:P4,P3)</f>
        <v>Codigo</v>
      </c>
      <c r="AD11" t="str">
        <v>Hora_Salida</v>
      </c>
      <c r="AE11" t="str">
        <v>Aeronave</v>
      </c>
      <c r="AF11" t="str">
        <v>Num_vuelo</v>
      </c>
      <c r="AG11" t="str">
        <v>Pais</v>
      </c>
      <c r="AH11" t="str">
        <v>Escala</v>
      </c>
      <c r="AI11" t="str">
        <v>Origen</v>
      </c>
      <c r="AJ11" t="str">
        <v>Day</v>
      </c>
      <c r="AK11" t="str">
        <v>Destino</v>
      </c>
    </row>
    <row r="12" spans="1:39" x14ac:dyDescent="0.25">
      <c r="A12" t="s">
        <v>1436</v>
      </c>
      <c r="B12" t="s">
        <v>0</v>
      </c>
      <c r="C12" t="s">
        <v>27</v>
      </c>
      <c r="D12" t="s">
        <v>28</v>
      </c>
      <c r="E12" t="s">
        <v>22</v>
      </c>
      <c r="F12" s="5">
        <v>43456</v>
      </c>
      <c r="G12" s="5">
        <v>43554</v>
      </c>
      <c r="H12" s="6">
        <v>0.56944444444444442</v>
      </c>
      <c r="I12">
        <v>320</v>
      </c>
      <c r="J12" t="s">
        <v>29</v>
      </c>
      <c r="K12" t="s">
        <v>25</v>
      </c>
      <c r="M12" t="s">
        <v>17</v>
      </c>
      <c r="N12" t="str">
        <v>Destino</v>
      </c>
      <c r="O12" t="str">
        <v>AMSTERDAM/SCHIPHOL</v>
      </c>
      <c r="P12" t="str">
        <v>AMS</v>
      </c>
      <c r="Q12" t="str">
        <v>19:35:00</v>
      </c>
      <c r="R12" t="str">
        <v>73H</v>
      </c>
      <c r="S12" t="str">
        <v xml:space="preserve">  TRA5684</v>
      </c>
      <c r="T12" t="str">
        <v>HOLANDA</v>
      </c>
      <c r="U12" t="str">
        <v/>
      </c>
      <c r="V12" t="str">
        <v>ACE</v>
      </c>
      <c r="W12" t="str">
        <v>16/03/2019</v>
      </c>
      <c r="AC12" t="str">
        <v>AMS</v>
      </c>
      <c r="AD12" t="str">
        <v>19:35:00</v>
      </c>
      <c r="AE12" t="str">
        <v>73H</v>
      </c>
      <c r="AF12" t="str">
        <v xml:space="preserve">  TRA5684</v>
      </c>
      <c r="AG12" t="str">
        <v>HOLANDA</v>
      </c>
      <c r="AH12" t="str">
        <v/>
      </c>
      <c r="AI12" t="str">
        <v>ACE</v>
      </c>
      <c r="AJ12" t="str">
        <v>19/01/2019</v>
      </c>
      <c r="AK12" t="str">
        <v>AMSTERDAM/SCHIPHOL</v>
      </c>
    </row>
    <row r="13" spans="1:39" x14ac:dyDescent="0.25">
      <c r="A13" t="s">
        <v>1436</v>
      </c>
      <c r="B13" t="s">
        <v>0</v>
      </c>
      <c r="C13" t="s">
        <v>27</v>
      </c>
      <c r="D13" t="s">
        <v>28</v>
      </c>
      <c r="E13" t="s">
        <v>1440</v>
      </c>
      <c r="F13" s="5">
        <v>43401</v>
      </c>
      <c r="G13" s="5">
        <v>43553</v>
      </c>
      <c r="H13" s="6">
        <v>0.64930555555555558</v>
      </c>
      <c r="I13">
        <v>321</v>
      </c>
      <c r="J13" t="s">
        <v>29</v>
      </c>
      <c r="K13" t="s">
        <v>25</v>
      </c>
      <c r="M13" t="s">
        <v>17</v>
      </c>
      <c r="N13" t="str">
        <v>Destino</v>
      </c>
      <c r="O13" t="str">
        <v>AMSTERDAM/SCHIPHOL</v>
      </c>
      <c r="P13" t="str">
        <v>AMS</v>
      </c>
      <c r="Q13" t="str">
        <v>19:35:00</v>
      </c>
      <c r="R13" t="str">
        <v>73H</v>
      </c>
      <c r="S13" t="str">
        <v xml:space="preserve">  TRA5684</v>
      </c>
      <c r="T13" t="str">
        <v>HOLANDA</v>
      </c>
      <c r="U13" t="str">
        <v/>
      </c>
      <c r="V13" t="str">
        <v>ACE</v>
      </c>
      <c r="W13" t="str">
        <v>23/03/2019</v>
      </c>
    </row>
    <row r="14" spans="1:39" x14ac:dyDescent="0.25">
      <c r="A14" t="s">
        <v>1436</v>
      </c>
      <c r="B14" t="s">
        <v>0</v>
      </c>
      <c r="C14" t="s">
        <v>27</v>
      </c>
      <c r="D14" t="s">
        <v>28</v>
      </c>
      <c r="E14" t="s">
        <v>13</v>
      </c>
      <c r="F14" s="5">
        <v>43454</v>
      </c>
      <c r="G14" s="5">
        <v>43552</v>
      </c>
      <c r="H14" s="6">
        <v>0.68055555555555547</v>
      </c>
      <c r="I14">
        <v>321</v>
      </c>
      <c r="J14" t="s">
        <v>29</v>
      </c>
      <c r="K14" t="s">
        <v>25</v>
      </c>
      <c r="M14" t="s">
        <v>17</v>
      </c>
      <c r="N14" t="str">
        <v>Destino</v>
      </c>
      <c r="O14" t="str">
        <v>AMSTERDAM/SCHIPHOL</v>
      </c>
      <c r="P14" t="str">
        <v>AMS</v>
      </c>
      <c r="Q14" t="str">
        <v>19:35:00</v>
      </c>
      <c r="R14" t="str">
        <v>73H</v>
      </c>
      <c r="S14" t="str">
        <v xml:space="preserve">  TRA5684</v>
      </c>
      <c r="T14" t="str">
        <v>HOLANDA</v>
      </c>
      <c r="U14" t="str">
        <v/>
      </c>
      <c r="V14" t="str">
        <v>ACE</v>
      </c>
      <c r="W14" t="str">
        <v>30/03/2019</v>
      </c>
    </row>
    <row r="15" spans="1:39" x14ac:dyDescent="0.25">
      <c r="A15" t="s">
        <v>1436</v>
      </c>
      <c r="B15" t="s">
        <v>0</v>
      </c>
      <c r="C15" t="s">
        <v>31</v>
      </c>
      <c r="D15" t="s">
        <v>32</v>
      </c>
      <c r="E15" t="s">
        <v>158</v>
      </c>
      <c r="F15" s="5">
        <v>43404</v>
      </c>
      <c r="G15" s="5">
        <v>43554</v>
      </c>
      <c r="H15" s="6">
        <v>0.72569444444444453</v>
      </c>
      <c r="I15">
        <v>320</v>
      </c>
      <c r="J15" t="s">
        <v>33</v>
      </c>
      <c r="K15" t="s">
        <v>34</v>
      </c>
      <c r="M15" t="s">
        <v>17</v>
      </c>
    </row>
    <row r="16" spans="1:39" x14ac:dyDescent="0.25">
      <c r="A16" t="s">
        <v>1436</v>
      </c>
      <c r="B16" t="s">
        <v>0</v>
      </c>
      <c r="C16" t="s">
        <v>35</v>
      </c>
      <c r="D16" t="s">
        <v>36</v>
      </c>
      <c r="E16" t="s">
        <v>48</v>
      </c>
      <c r="F16" s="5">
        <v>43497</v>
      </c>
      <c r="G16" s="5">
        <v>43518</v>
      </c>
      <c r="H16" s="6">
        <v>0.2951388888888889</v>
      </c>
      <c r="I16" t="s">
        <v>14</v>
      </c>
      <c r="J16" t="s">
        <v>1441</v>
      </c>
      <c r="K16" t="s">
        <v>38</v>
      </c>
      <c r="M16" t="s">
        <v>17</v>
      </c>
    </row>
    <row r="17" spans="1:26" x14ac:dyDescent="0.25">
      <c r="A17" t="s">
        <v>1436</v>
      </c>
      <c r="B17" t="s">
        <v>0</v>
      </c>
      <c r="C17" t="s">
        <v>35</v>
      </c>
      <c r="D17" t="s">
        <v>36</v>
      </c>
      <c r="E17" t="s">
        <v>13</v>
      </c>
      <c r="F17" s="5">
        <v>43405</v>
      </c>
      <c r="G17" s="5">
        <v>43552</v>
      </c>
      <c r="H17" s="6">
        <v>0.57291666666666663</v>
      </c>
      <c r="I17" t="s">
        <v>39</v>
      </c>
      <c r="J17" t="s">
        <v>40</v>
      </c>
      <c r="K17" t="s">
        <v>38</v>
      </c>
      <c r="M17" t="s">
        <v>17</v>
      </c>
    </row>
    <row r="18" spans="1:26" x14ac:dyDescent="0.25">
      <c r="A18" t="s">
        <v>1436</v>
      </c>
      <c r="B18" t="s">
        <v>0</v>
      </c>
      <c r="C18" t="s">
        <v>35</v>
      </c>
      <c r="D18" t="s">
        <v>36</v>
      </c>
      <c r="E18" t="s">
        <v>59</v>
      </c>
      <c r="F18" s="5">
        <v>43472</v>
      </c>
      <c r="G18" s="5">
        <v>43549</v>
      </c>
      <c r="H18" s="6">
        <v>0.57986111111111105</v>
      </c>
      <c r="I18" t="s">
        <v>14</v>
      </c>
      <c r="J18" t="s">
        <v>1441</v>
      </c>
      <c r="K18" t="s">
        <v>38</v>
      </c>
      <c r="M18" t="s">
        <v>17</v>
      </c>
      <c r="O18" t="str">
        <f t="array" ref="O18:Z18">format_wk_days(assemble_cells(A1:M1,A3:M5))</f>
        <v/>
      </c>
      <c r="P18" t="str">
        <v>Destino</v>
      </c>
      <c r="Q18" t="str">
        <v>Codigo</v>
      </c>
      <c r="R18" t="str">
        <v>Hora_Salida</v>
      </c>
      <c r="S18" t="str">
        <v>Num_vuelo</v>
      </c>
      <c r="T18" t="str">
        <v>Pais</v>
      </c>
      <c r="U18" t="str">
        <v>Escala</v>
      </c>
      <c r="V18" t="str">
        <v>Origen</v>
      </c>
      <c r="W18" t="str">
        <v>Day</v>
      </c>
      <c r="X18" t="str">
        <v>Aeronave</v>
      </c>
      <c r="Y18" t="str">
        <v>asientos</v>
      </c>
      <c r="Z18" t="str">
        <v>modelo</v>
      </c>
    </row>
    <row r="19" spans="1:26" x14ac:dyDescent="0.25">
      <c r="A19" t="s">
        <v>1436</v>
      </c>
      <c r="B19" t="s">
        <v>0</v>
      </c>
      <c r="C19" t="s">
        <v>35</v>
      </c>
      <c r="D19" t="s">
        <v>36</v>
      </c>
      <c r="E19" t="s">
        <v>19</v>
      </c>
      <c r="F19" s="5">
        <v>43473</v>
      </c>
      <c r="G19" s="5">
        <v>43550</v>
      </c>
      <c r="H19" s="6">
        <v>0.61458333333333337</v>
      </c>
      <c r="I19" t="s">
        <v>14</v>
      </c>
      <c r="J19" t="s">
        <v>41</v>
      </c>
      <c r="K19" t="s">
        <v>38</v>
      </c>
      <c r="M19" t="s">
        <v>17</v>
      </c>
    </row>
    <row r="20" spans="1:26" x14ac:dyDescent="0.25">
      <c r="A20" t="s">
        <v>1436</v>
      </c>
      <c r="B20" t="s">
        <v>0</v>
      </c>
      <c r="C20" t="s">
        <v>35</v>
      </c>
      <c r="D20" t="s">
        <v>36</v>
      </c>
      <c r="E20" t="s">
        <v>19</v>
      </c>
      <c r="F20" s="5">
        <v>43466</v>
      </c>
      <c r="G20" s="5">
        <v>43550</v>
      </c>
      <c r="H20" s="6">
        <v>0.70833333333333337</v>
      </c>
      <c r="I20">
        <v>320</v>
      </c>
      <c r="J20" t="s">
        <v>1442</v>
      </c>
      <c r="K20" t="s">
        <v>38</v>
      </c>
      <c r="M20" t="s">
        <v>17</v>
      </c>
    </row>
    <row r="21" spans="1:26" x14ac:dyDescent="0.25">
      <c r="A21" t="s">
        <v>1436</v>
      </c>
      <c r="B21" t="s">
        <v>0</v>
      </c>
      <c r="C21" t="s">
        <v>35</v>
      </c>
      <c r="D21" t="s">
        <v>36</v>
      </c>
      <c r="E21" t="s">
        <v>22</v>
      </c>
      <c r="F21" s="5">
        <v>43470</v>
      </c>
      <c r="G21" s="5">
        <v>43554</v>
      </c>
      <c r="H21" s="6">
        <v>0.78125</v>
      </c>
      <c r="I21" t="s">
        <v>14</v>
      </c>
      <c r="J21" t="s">
        <v>41</v>
      </c>
      <c r="K21" t="s">
        <v>38</v>
      </c>
      <c r="M21" t="s">
        <v>17</v>
      </c>
    </row>
    <row r="22" spans="1:26" x14ac:dyDescent="0.25">
      <c r="A22" t="s">
        <v>1436</v>
      </c>
      <c r="B22" t="s">
        <v>0</v>
      </c>
      <c r="C22" t="s">
        <v>35</v>
      </c>
      <c r="D22" t="s">
        <v>36</v>
      </c>
      <c r="E22" t="s">
        <v>22</v>
      </c>
      <c r="F22" s="5">
        <v>43407</v>
      </c>
      <c r="G22" s="5">
        <v>43554</v>
      </c>
      <c r="H22" s="6">
        <v>0.84027777777777779</v>
      </c>
      <c r="I22">
        <v>320</v>
      </c>
      <c r="J22" t="s">
        <v>1442</v>
      </c>
      <c r="K22" t="s">
        <v>38</v>
      </c>
      <c r="M22" t="s">
        <v>17</v>
      </c>
    </row>
    <row r="23" spans="1:26" x14ac:dyDescent="0.25">
      <c r="A23" t="s">
        <v>1436</v>
      </c>
      <c r="B23" t="s">
        <v>0</v>
      </c>
      <c r="C23" t="s">
        <v>42</v>
      </c>
      <c r="D23" t="s">
        <v>43</v>
      </c>
      <c r="E23" t="s">
        <v>18</v>
      </c>
      <c r="F23" s="5">
        <v>43415</v>
      </c>
      <c r="G23" s="5">
        <v>43520</v>
      </c>
      <c r="H23" s="6">
        <v>0.47916666666666669</v>
      </c>
      <c r="I23" t="s">
        <v>14</v>
      </c>
      <c r="J23" t="s">
        <v>44</v>
      </c>
      <c r="K23" t="s">
        <v>45</v>
      </c>
      <c r="M23" t="s">
        <v>17</v>
      </c>
    </row>
    <row r="24" spans="1:26" x14ac:dyDescent="0.25">
      <c r="A24" t="s">
        <v>1436</v>
      </c>
      <c r="B24" t="s">
        <v>0</v>
      </c>
      <c r="C24" t="s">
        <v>42</v>
      </c>
      <c r="D24" t="s">
        <v>43</v>
      </c>
      <c r="E24" t="s">
        <v>18</v>
      </c>
      <c r="F24" s="5">
        <v>43401</v>
      </c>
      <c r="G24" s="5">
        <v>43548</v>
      </c>
      <c r="H24" s="6">
        <v>0.49305555555555558</v>
      </c>
      <c r="I24">
        <v>320</v>
      </c>
      <c r="J24" t="s">
        <v>1443</v>
      </c>
      <c r="K24" t="s">
        <v>45</v>
      </c>
      <c r="M24" t="s">
        <v>17</v>
      </c>
    </row>
    <row r="25" spans="1:26" x14ac:dyDescent="0.25">
      <c r="A25" t="s">
        <v>1436</v>
      </c>
      <c r="B25" t="s">
        <v>0</v>
      </c>
      <c r="C25" t="s">
        <v>42</v>
      </c>
      <c r="D25" t="s">
        <v>43</v>
      </c>
      <c r="E25" t="s">
        <v>20</v>
      </c>
      <c r="F25" s="5">
        <v>43467</v>
      </c>
      <c r="G25" s="5">
        <v>43551</v>
      </c>
      <c r="H25" s="6">
        <v>0.52777777777777779</v>
      </c>
      <c r="I25" t="s">
        <v>14</v>
      </c>
      <c r="J25" t="s">
        <v>44</v>
      </c>
      <c r="K25" t="s">
        <v>45</v>
      </c>
      <c r="M25" t="s">
        <v>17</v>
      </c>
    </row>
    <row r="26" spans="1:26" x14ac:dyDescent="0.25">
      <c r="A26" t="s">
        <v>1436</v>
      </c>
      <c r="B26" t="s">
        <v>0</v>
      </c>
      <c r="C26" t="s">
        <v>42</v>
      </c>
      <c r="D26" t="s">
        <v>43</v>
      </c>
      <c r="E26" t="s">
        <v>13</v>
      </c>
      <c r="F26" s="5">
        <v>43405</v>
      </c>
      <c r="G26" s="5">
        <v>43552</v>
      </c>
      <c r="H26" s="6">
        <v>0.67361111111111116</v>
      </c>
      <c r="I26">
        <v>320</v>
      </c>
      <c r="J26" t="s">
        <v>1443</v>
      </c>
      <c r="K26" t="s">
        <v>45</v>
      </c>
      <c r="M26" t="s">
        <v>17</v>
      </c>
    </row>
    <row r="27" spans="1:26" x14ac:dyDescent="0.25">
      <c r="A27" t="s">
        <v>1436</v>
      </c>
      <c r="B27" t="s">
        <v>0</v>
      </c>
      <c r="C27" t="s">
        <v>46</v>
      </c>
      <c r="D27" t="s">
        <v>47</v>
      </c>
      <c r="E27" t="s">
        <v>19</v>
      </c>
      <c r="F27" s="5">
        <v>43466</v>
      </c>
      <c r="G27" s="5">
        <v>43550</v>
      </c>
      <c r="H27" s="6">
        <v>0.44097222222222227</v>
      </c>
      <c r="I27" t="s">
        <v>14</v>
      </c>
      <c r="J27" t="s">
        <v>1444</v>
      </c>
      <c r="K27" t="s">
        <v>45</v>
      </c>
      <c r="M27" t="s">
        <v>17</v>
      </c>
    </row>
    <row r="28" spans="1:26" x14ac:dyDescent="0.25">
      <c r="A28" t="s">
        <v>1436</v>
      </c>
      <c r="B28" t="s">
        <v>0</v>
      </c>
      <c r="C28" t="s">
        <v>46</v>
      </c>
      <c r="D28" t="s">
        <v>47</v>
      </c>
      <c r="E28" t="s">
        <v>18</v>
      </c>
      <c r="F28" s="5">
        <v>43506</v>
      </c>
      <c r="G28" s="5">
        <v>43548</v>
      </c>
      <c r="H28" s="6">
        <v>0.47569444444444442</v>
      </c>
      <c r="I28">
        <v>319</v>
      </c>
      <c r="J28" t="s">
        <v>1445</v>
      </c>
      <c r="K28" t="s">
        <v>45</v>
      </c>
      <c r="M28" t="s">
        <v>17</v>
      </c>
    </row>
    <row r="29" spans="1:26" x14ac:dyDescent="0.25">
      <c r="A29" t="s">
        <v>1436</v>
      </c>
      <c r="B29" t="s">
        <v>0</v>
      </c>
      <c r="C29" t="s">
        <v>46</v>
      </c>
      <c r="D29" t="s">
        <v>47</v>
      </c>
      <c r="E29" t="s">
        <v>19</v>
      </c>
      <c r="F29" s="5">
        <v>43466</v>
      </c>
      <c r="G29" s="5">
        <v>43550</v>
      </c>
      <c r="H29" s="6">
        <v>0.625</v>
      </c>
      <c r="I29">
        <v>319</v>
      </c>
      <c r="J29" t="s">
        <v>49</v>
      </c>
      <c r="K29" t="s">
        <v>45</v>
      </c>
      <c r="M29" t="s">
        <v>17</v>
      </c>
    </row>
    <row r="30" spans="1:26" x14ac:dyDescent="0.25">
      <c r="A30" t="s">
        <v>1436</v>
      </c>
      <c r="B30" t="s">
        <v>0</v>
      </c>
      <c r="C30" t="s">
        <v>46</v>
      </c>
      <c r="D30" t="s">
        <v>47</v>
      </c>
      <c r="E30" t="s">
        <v>48</v>
      </c>
      <c r="F30" s="5">
        <v>43511</v>
      </c>
      <c r="G30" s="5">
        <v>43511</v>
      </c>
      <c r="H30" s="6">
        <v>0.65277777777777779</v>
      </c>
      <c r="I30">
        <v>320</v>
      </c>
      <c r="J30" t="s">
        <v>49</v>
      </c>
      <c r="K30" t="s">
        <v>45</v>
      </c>
      <c r="M30" t="s">
        <v>17</v>
      </c>
    </row>
    <row r="31" spans="1:26" x14ac:dyDescent="0.25">
      <c r="A31" t="s">
        <v>1436</v>
      </c>
      <c r="B31" t="s">
        <v>0</v>
      </c>
      <c r="C31" t="s">
        <v>46</v>
      </c>
      <c r="D31" t="s">
        <v>47</v>
      </c>
      <c r="E31" t="s">
        <v>19</v>
      </c>
      <c r="F31" s="5">
        <v>43403</v>
      </c>
      <c r="G31" s="5">
        <v>43550</v>
      </c>
      <c r="H31" s="6">
        <v>0.65625</v>
      </c>
      <c r="I31">
        <v>319</v>
      </c>
      <c r="J31" t="s">
        <v>1445</v>
      </c>
      <c r="K31" t="s">
        <v>45</v>
      </c>
      <c r="M31" t="s">
        <v>17</v>
      </c>
    </row>
    <row r="32" spans="1:26" x14ac:dyDescent="0.25">
      <c r="A32" t="s">
        <v>1436</v>
      </c>
      <c r="B32" t="s">
        <v>0</v>
      </c>
      <c r="C32" t="s">
        <v>46</v>
      </c>
      <c r="D32" t="s">
        <v>47</v>
      </c>
      <c r="E32" t="s">
        <v>22</v>
      </c>
      <c r="F32" s="5">
        <v>43407</v>
      </c>
      <c r="G32" s="5">
        <v>43554</v>
      </c>
      <c r="H32" s="6">
        <v>0.6875</v>
      </c>
      <c r="I32" t="s">
        <v>14</v>
      </c>
      <c r="J32" t="s">
        <v>1444</v>
      </c>
      <c r="K32" t="s">
        <v>45</v>
      </c>
      <c r="M32" t="s">
        <v>17</v>
      </c>
    </row>
    <row r="33" spans="1:26" x14ac:dyDescent="0.25">
      <c r="A33" t="s">
        <v>1436</v>
      </c>
      <c r="B33" t="s">
        <v>0</v>
      </c>
      <c r="C33" t="s">
        <v>50</v>
      </c>
      <c r="D33" t="s">
        <v>51</v>
      </c>
      <c r="E33" t="s">
        <v>667</v>
      </c>
      <c r="F33" s="5">
        <v>43401</v>
      </c>
      <c r="G33" s="5">
        <v>43554</v>
      </c>
      <c r="H33" s="6">
        <v>0.39583333333333331</v>
      </c>
      <c r="I33">
        <v>320</v>
      </c>
      <c r="J33" t="s">
        <v>53</v>
      </c>
      <c r="K33" t="s">
        <v>25</v>
      </c>
      <c r="M33" t="s">
        <v>17</v>
      </c>
      <c r="N33" t="str">
        <f t="array" ref="N33:P38">assemble_cells(G1:I6)</f>
        <v>Opera_hasta</v>
      </c>
      <c r="O33" t="str">
        <v>Hora_Salida</v>
      </c>
      <c r="P33" t="str">
        <v>Aeronave</v>
      </c>
    </row>
    <row r="34" spans="1:26" x14ac:dyDescent="0.25">
      <c r="A34" t="s">
        <v>1436</v>
      </c>
      <c r="B34" t="s">
        <v>0</v>
      </c>
      <c r="C34" t="s">
        <v>50</v>
      </c>
      <c r="D34" t="s">
        <v>51</v>
      </c>
      <c r="E34" t="s">
        <v>84</v>
      </c>
      <c r="F34" s="5">
        <v>43408</v>
      </c>
      <c r="G34" s="5">
        <v>43551</v>
      </c>
      <c r="H34" s="6">
        <v>0.63888888888888895</v>
      </c>
      <c r="I34" t="s">
        <v>14</v>
      </c>
      <c r="J34" t="s">
        <v>55</v>
      </c>
      <c r="K34" t="s">
        <v>25</v>
      </c>
      <c r="M34" t="s">
        <v>17</v>
      </c>
      <c r="N34">
        <v>43548</v>
      </c>
      <c r="O34">
        <v>0.4236111111111111</v>
      </c>
      <c r="P34" t="str">
        <v>73H</v>
      </c>
    </row>
    <row r="35" spans="1:26" x14ac:dyDescent="0.25">
      <c r="A35" t="s">
        <v>1436</v>
      </c>
      <c r="B35" t="s">
        <v>0</v>
      </c>
      <c r="C35" t="s">
        <v>56</v>
      </c>
      <c r="D35" t="s">
        <v>57</v>
      </c>
      <c r="E35" t="s">
        <v>20</v>
      </c>
      <c r="F35" s="5">
        <v>43467</v>
      </c>
      <c r="G35" s="5">
        <v>43551</v>
      </c>
      <c r="H35" s="6">
        <v>0.47916666666666669</v>
      </c>
      <c r="I35" t="s">
        <v>14</v>
      </c>
      <c r="J35" t="s">
        <v>58</v>
      </c>
      <c r="K35" t="s">
        <v>38</v>
      </c>
      <c r="M35" t="s">
        <v>17</v>
      </c>
      <c r="N35">
        <v>43552</v>
      </c>
      <c r="O35">
        <v>0.44791666666666669</v>
      </c>
      <c r="P35" t="str">
        <v>73H</v>
      </c>
    </row>
    <row r="36" spans="1:26" x14ac:dyDescent="0.25">
      <c r="A36" t="s">
        <v>1436</v>
      </c>
      <c r="B36" t="s">
        <v>0</v>
      </c>
      <c r="C36" t="s">
        <v>56</v>
      </c>
      <c r="D36" t="s">
        <v>57</v>
      </c>
      <c r="E36" t="s">
        <v>18</v>
      </c>
      <c r="F36" s="5">
        <v>43478</v>
      </c>
      <c r="G36" s="5">
        <v>43548</v>
      </c>
      <c r="H36" s="6">
        <v>0.47916666666666669</v>
      </c>
      <c r="I36" t="s">
        <v>14</v>
      </c>
      <c r="J36" t="s">
        <v>58</v>
      </c>
      <c r="K36" t="s">
        <v>38</v>
      </c>
      <c r="M36" t="s">
        <v>17</v>
      </c>
      <c r="N36">
        <v>43553</v>
      </c>
      <c r="O36">
        <v>0.4861111111111111</v>
      </c>
      <c r="P36" t="str">
        <v>73H</v>
      </c>
    </row>
    <row r="37" spans="1:26" x14ac:dyDescent="0.25">
      <c r="A37" t="s">
        <v>1436</v>
      </c>
      <c r="B37" t="s">
        <v>0</v>
      </c>
      <c r="C37" t="s">
        <v>56</v>
      </c>
      <c r="D37" t="s">
        <v>57</v>
      </c>
      <c r="E37" t="s">
        <v>48</v>
      </c>
      <c r="F37" s="5">
        <v>43406</v>
      </c>
      <c r="G37" s="5">
        <v>43553</v>
      </c>
      <c r="H37" s="6">
        <v>0.54166666666666663</v>
      </c>
      <c r="I37" t="s">
        <v>14</v>
      </c>
      <c r="J37" t="s">
        <v>58</v>
      </c>
      <c r="K37" t="s">
        <v>38</v>
      </c>
      <c r="M37" t="s">
        <v>17</v>
      </c>
      <c r="N37">
        <v>43547</v>
      </c>
      <c r="O37">
        <v>0.5</v>
      </c>
      <c r="P37">
        <v>320</v>
      </c>
    </row>
    <row r="38" spans="1:26" x14ac:dyDescent="0.25">
      <c r="A38" t="s">
        <v>1436</v>
      </c>
      <c r="B38" t="s">
        <v>0</v>
      </c>
      <c r="C38" t="s">
        <v>56</v>
      </c>
      <c r="D38" t="s">
        <v>57</v>
      </c>
      <c r="E38" t="s">
        <v>13</v>
      </c>
      <c r="F38" s="5">
        <v>43405</v>
      </c>
      <c r="G38" s="5">
        <v>43552</v>
      </c>
      <c r="H38" s="6">
        <v>0.55902777777777779</v>
      </c>
      <c r="I38" t="s">
        <v>14</v>
      </c>
      <c r="J38" t="s">
        <v>60</v>
      </c>
      <c r="K38" t="s">
        <v>38</v>
      </c>
      <c r="M38" t="s">
        <v>17</v>
      </c>
      <c r="N38">
        <v>43550</v>
      </c>
      <c r="O38">
        <v>0.5</v>
      </c>
      <c r="P38">
        <v>320</v>
      </c>
    </row>
    <row r="39" spans="1:26" x14ac:dyDescent="0.25">
      <c r="A39" t="s">
        <v>1436</v>
      </c>
      <c r="B39" t="s">
        <v>0</v>
      </c>
      <c r="C39" t="s">
        <v>56</v>
      </c>
      <c r="D39" t="s">
        <v>57</v>
      </c>
      <c r="E39" t="s">
        <v>19</v>
      </c>
      <c r="F39" s="5">
        <v>43473</v>
      </c>
      <c r="G39" s="5">
        <v>43550</v>
      </c>
      <c r="H39" s="6">
        <v>0.5625</v>
      </c>
      <c r="I39" t="s">
        <v>14</v>
      </c>
      <c r="J39" t="s">
        <v>60</v>
      </c>
      <c r="K39" t="s">
        <v>38</v>
      </c>
      <c r="M39" t="s">
        <v>17</v>
      </c>
    </row>
    <row r="40" spans="1:26" x14ac:dyDescent="0.25">
      <c r="A40" t="s">
        <v>1436</v>
      </c>
      <c r="B40" t="s">
        <v>0</v>
      </c>
      <c r="C40" t="s">
        <v>56</v>
      </c>
      <c r="D40" t="s">
        <v>57</v>
      </c>
      <c r="E40" t="s">
        <v>18</v>
      </c>
      <c r="F40" s="5">
        <v>43415</v>
      </c>
      <c r="G40" s="5">
        <v>43548</v>
      </c>
      <c r="H40" s="6">
        <v>0.57291666666666663</v>
      </c>
      <c r="I40" t="s">
        <v>14</v>
      </c>
      <c r="J40" t="s">
        <v>60</v>
      </c>
      <c r="K40" t="s">
        <v>38</v>
      </c>
      <c r="M40" t="s">
        <v>17</v>
      </c>
      <c r="Z40" s="5">
        <v>43504</v>
      </c>
    </row>
    <row r="41" spans="1:26" x14ac:dyDescent="0.25">
      <c r="A41" t="s">
        <v>1436</v>
      </c>
      <c r="B41" t="s">
        <v>0</v>
      </c>
      <c r="C41" t="s">
        <v>56</v>
      </c>
      <c r="D41" t="s">
        <v>57</v>
      </c>
      <c r="E41" t="s">
        <v>13</v>
      </c>
      <c r="F41" s="5">
        <v>43510</v>
      </c>
      <c r="G41" s="5">
        <v>43552</v>
      </c>
      <c r="H41" s="6">
        <v>0.58680555555555558</v>
      </c>
      <c r="I41" t="s">
        <v>39</v>
      </c>
      <c r="J41" t="s">
        <v>62</v>
      </c>
      <c r="K41" t="s">
        <v>38</v>
      </c>
      <c r="M41" t="s">
        <v>17</v>
      </c>
      <c r="Z41" s="5">
        <v>43505</v>
      </c>
    </row>
    <row r="42" spans="1:26" x14ac:dyDescent="0.25">
      <c r="A42" t="s">
        <v>1436</v>
      </c>
      <c r="B42" t="s">
        <v>0</v>
      </c>
      <c r="C42" t="s">
        <v>56</v>
      </c>
      <c r="D42" t="s">
        <v>57</v>
      </c>
      <c r="E42" t="s">
        <v>18</v>
      </c>
      <c r="F42" s="5">
        <v>43513</v>
      </c>
      <c r="G42" s="5">
        <v>43548</v>
      </c>
      <c r="H42" s="6">
        <v>0.60416666666666663</v>
      </c>
      <c r="I42" t="s">
        <v>39</v>
      </c>
      <c r="J42" t="s">
        <v>1230</v>
      </c>
      <c r="K42" t="s">
        <v>38</v>
      </c>
      <c r="M42" t="s">
        <v>17</v>
      </c>
      <c r="O42" t="s">
        <v>12</v>
      </c>
      <c r="Q42" t="str">
        <f t="array" ref="Q42:X56">substitute_rows(D1:K15,D1,K1,O42:O46,O48)</f>
        <v>Codigo</v>
      </c>
      <c r="R42" t="str">
        <v>Dia_semana</v>
      </c>
      <c r="S42" t="str">
        <v>Opera_desde</v>
      </c>
      <c r="T42" t="str">
        <v>Opera_hasta</v>
      </c>
      <c r="U42" t="str">
        <v>Hora_Salida</v>
      </c>
      <c r="V42" t="str">
        <v>Aeronave</v>
      </c>
      <c r="W42" t="str">
        <v>Num_vuelo</v>
      </c>
      <c r="X42" t="str">
        <v>Pais</v>
      </c>
      <c r="Z42" s="5">
        <v>43506</v>
      </c>
    </row>
    <row r="43" spans="1:26" x14ac:dyDescent="0.25">
      <c r="A43" t="s">
        <v>1436</v>
      </c>
      <c r="B43" t="s">
        <v>0</v>
      </c>
      <c r="C43" t="s">
        <v>56</v>
      </c>
      <c r="D43" t="s">
        <v>57</v>
      </c>
      <c r="E43" t="s">
        <v>48</v>
      </c>
      <c r="F43" s="5">
        <v>43455</v>
      </c>
      <c r="G43" s="5">
        <v>43553</v>
      </c>
      <c r="H43" s="6">
        <v>0.61111111111111105</v>
      </c>
      <c r="I43" t="s">
        <v>14</v>
      </c>
      <c r="J43" t="s">
        <v>60</v>
      </c>
      <c r="K43" t="s">
        <v>38</v>
      </c>
      <c r="M43" t="s">
        <v>17</v>
      </c>
      <c r="O43" t="s">
        <v>138</v>
      </c>
      <c r="Q43" t="str">
        <v>AMS</v>
      </c>
      <c r="R43" t="str">
        <v xml:space="preserve">      D</v>
      </c>
      <c r="S43" t="str">
        <v>2018-11-04T00:00:00</v>
      </c>
      <c r="T43" t="str">
        <v>24/03/2019</v>
      </c>
      <c r="U43" t="str">
        <v>10:10:00</v>
      </c>
      <c r="V43" t="str">
        <v>73H</v>
      </c>
      <c r="W43" t="str">
        <v xml:space="preserve">  TRA5686</v>
      </c>
      <c r="X43" t="str">
        <v>CANARIAS</v>
      </c>
      <c r="Z43" s="5">
        <v>43500</v>
      </c>
    </row>
    <row r="44" spans="1:26" x14ac:dyDescent="0.25">
      <c r="A44" t="s">
        <v>1436</v>
      </c>
      <c r="B44" t="s">
        <v>0</v>
      </c>
      <c r="C44" t="s">
        <v>56</v>
      </c>
      <c r="D44" t="s">
        <v>57</v>
      </c>
      <c r="E44" t="s">
        <v>59</v>
      </c>
      <c r="F44" s="5">
        <v>43514</v>
      </c>
      <c r="G44" s="5">
        <v>43549</v>
      </c>
      <c r="H44" s="6">
        <v>0.62152777777777779</v>
      </c>
      <c r="I44" t="s">
        <v>39</v>
      </c>
      <c r="J44" t="s">
        <v>61</v>
      </c>
      <c r="K44" t="s">
        <v>38</v>
      </c>
      <c r="M44" t="s">
        <v>17</v>
      </c>
      <c r="O44" t="s">
        <v>600</v>
      </c>
      <c r="Q44" t="str">
        <v>AMS</v>
      </c>
      <c r="R44" t="str">
        <v xml:space="preserve"> M J   </v>
      </c>
      <c r="S44" t="str">
        <v>2018-11-01T00:00:00</v>
      </c>
      <c r="T44" t="str">
        <v>28/03/2019</v>
      </c>
      <c r="U44" t="str">
        <v>10:45:00</v>
      </c>
      <c r="V44" t="str">
        <v>73H</v>
      </c>
      <c r="W44" t="str">
        <v xml:space="preserve">  TRA5686</v>
      </c>
      <c r="X44" t="str">
        <v>CANARIAS</v>
      </c>
      <c r="Z44" s="5">
        <v>43501</v>
      </c>
    </row>
    <row r="45" spans="1:26" x14ac:dyDescent="0.25">
      <c r="A45" t="s">
        <v>1436</v>
      </c>
      <c r="B45" t="s">
        <v>0</v>
      </c>
      <c r="C45" t="s">
        <v>56</v>
      </c>
      <c r="D45" t="s">
        <v>57</v>
      </c>
      <c r="E45" t="s">
        <v>48</v>
      </c>
      <c r="F45" s="5">
        <v>43511</v>
      </c>
      <c r="G45" s="5">
        <v>43553</v>
      </c>
      <c r="H45" s="6">
        <v>0.63888888888888895</v>
      </c>
      <c r="I45">
        <v>320</v>
      </c>
      <c r="J45" t="s">
        <v>61</v>
      </c>
      <c r="K45" t="s">
        <v>38</v>
      </c>
      <c r="M45" t="s">
        <v>17</v>
      </c>
      <c r="O45" t="s">
        <v>293</v>
      </c>
      <c r="Q45" t="str">
        <v>AMS</v>
      </c>
      <c r="R45" t="str">
        <v xml:space="preserve">    V  </v>
      </c>
      <c r="S45" t="str">
        <v>2019-02-15T00:00:00</v>
      </c>
      <c r="T45" t="str">
        <v>29/03/2019</v>
      </c>
      <c r="U45" t="str">
        <v>11:40:00</v>
      </c>
      <c r="V45" t="str">
        <v>73H</v>
      </c>
      <c r="W45" t="str">
        <v xml:space="preserve">  TRA5686</v>
      </c>
      <c r="X45" t="str">
        <v>CANARIAS</v>
      </c>
      <c r="Z45" s="5">
        <v>43502</v>
      </c>
    </row>
    <row r="46" spans="1:26" x14ac:dyDescent="0.25">
      <c r="A46" t="s">
        <v>1436</v>
      </c>
      <c r="B46" t="s">
        <v>0</v>
      </c>
      <c r="C46" t="s">
        <v>56</v>
      </c>
      <c r="D46" t="s">
        <v>57</v>
      </c>
      <c r="E46" t="s">
        <v>22</v>
      </c>
      <c r="F46" s="5">
        <v>43477</v>
      </c>
      <c r="G46" s="5">
        <v>43554</v>
      </c>
      <c r="H46" s="6">
        <v>0.64583333333333337</v>
      </c>
      <c r="I46" t="s">
        <v>14</v>
      </c>
      <c r="J46" t="s">
        <v>60</v>
      </c>
      <c r="K46" t="s">
        <v>38</v>
      </c>
      <c r="M46" t="s">
        <v>17</v>
      </c>
      <c r="O46" t="s">
        <v>275</v>
      </c>
      <c r="Q46" t="str">
        <v>AMS</v>
      </c>
      <c r="R46" t="str">
        <v xml:space="preserve">     S </v>
      </c>
      <c r="S46" t="str">
        <v>2018-11-17T00:00:00</v>
      </c>
      <c r="T46" t="str">
        <v>23/03/2019</v>
      </c>
      <c r="U46" t="str">
        <v>12:00:00</v>
      </c>
      <c r="V46">
        <v>320</v>
      </c>
      <c r="W46" t="str">
        <v xml:space="preserve">  EZY7948</v>
      </c>
      <c r="X46" t="str">
        <v>CANARIAS</v>
      </c>
      <c r="Z46" s="5">
        <v>43503</v>
      </c>
    </row>
    <row r="47" spans="1:26" x14ac:dyDescent="0.25">
      <c r="A47" t="s">
        <v>1436</v>
      </c>
      <c r="B47" t="s">
        <v>0</v>
      </c>
      <c r="C47" t="s">
        <v>63</v>
      </c>
      <c r="D47" t="s">
        <v>64</v>
      </c>
      <c r="E47" t="s">
        <v>20</v>
      </c>
      <c r="F47" s="5">
        <v>43481</v>
      </c>
      <c r="G47" s="5">
        <v>43551</v>
      </c>
      <c r="H47" s="6">
        <v>0.2986111111111111</v>
      </c>
      <c r="I47" t="s">
        <v>14</v>
      </c>
      <c r="J47" t="s">
        <v>65</v>
      </c>
      <c r="K47" t="s">
        <v>66</v>
      </c>
      <c r="M47" t="s">
        <v>17</v>
      </c>
      <c r="Q47" t="str">
        <v>AMS</v>
      </c>
      <c r="R47" t="str">
        <v xml:space="preserve"> M     </v>
      </c>
      <c r="S47" t="str">
        <v>2019-01-01T00:00:00</v>
      </c>
      <c r="T47" t="str">
        <v>26/03/2019</v>
      </c>
      <c r="U47" t="str">
        <v>12:00:00</v>
      </c>
      <c r="V47">
        <v>320</v>
      </c>
      <c r="W47" t="str">
        <v xml:space="preserve">  EZY7948</v>
      </c>
      <c r="X47" t="str">
        <v>CANARIAS</v>
      </c>
    </row>
    <row r="48" spans="1:26" x14ac:dyDescent="0.25">
      <c r="A48" t="s">
        <v>1436</v>
      </c>
      <c r="B48" t="s">
        <v>0</v>
      </c>
      <c r="C48" t="s">
        <v>67</v>
      </c>
      <c r="D48" t="s">
        <v>68</v>
      </c>
      <c r="E48" t="s">
        <v>48</v>
      </c>
      <c r="F48" s="5">
        <v>43511</v>
      </c>
      <c r="G48" s="5">
        <v>43511</v>
      </c>
      <c r="H48" s="6">
        <v>0.72222222222222221</v>
      </c>
      <c r="I48">
        <v>319</v>
      </c>
      <c r="J48" t="s">
        <v>69</v>
      </c>
      <c r="K48" t="s">
        <v>45</v>
      </c>
      <c r="M48" t="s">
        <v>17</v>
      </c>
      <c r="O48" t="s">
        <v>1954</v>
      </c>
      <c r="Q48" t="str">
        <v>AMS</v>
      </c>
      <c r="R48" t="str">
        <v xml:space="preserve">      D</v>
      </c>
      <c r="S48" t="str">
        <v>2019-02-17T00:00:00</v>
      </c>
      <c r="T48" t="str">
        <v>24/03/2019</v>
      </c>
      <c r="U48" t="str">
        <v>18:45:00</v>
      </c>
      <c r="V48" t="str">
        <v>73H</v>
      </c>
      <c r="W48" t="str">
        <v xml:space="preserve">  TRA5232</v>
      </c>
      <c r="X48" t="str">
        <v>CANARIAS</v>
      </c>
    </row>
    <row r="49" spans="1:26" x14ac:dyDescent="0.25">
      <c r="A49" t="s">
        <v>1436</v>
      </c>
      <c r="B49" t="s">
        <v>0</v>
      </c>
      <c r="C49" t="s">
        <v>70</v>
      </c>
      <c r="D49" t="s">
        <v>71</v>
      </c>
      <c r="E49" t="s">
        <v>22</v>
      </c>
      <c r="F49" s="5">
        <v>43407</v>
      </c>
      <c r="G49" s="5">
        <v>43554</v>
      </c>
      <c r="H49" s="6">
        <v>0.48958333333333331</v>
      </c>
      <c r="I49">
        <v>320</v>
      </c>
      <c r="J49" t="s">
        <v>73</v>
      </c>
      <c r="K49" t="s">
        <v>38</v>
      </c>
      <c r="M49" t="s">
        <v>17</v>
      </c>
      <c r="Q49" t="str">
        <v>AMS</v>
      </c>
      <c r="R49" t="str">
        <v xml:space="preserve">      D</v>
      </c>
      <c r="S49" t="str">
        <v>2019-02-17T00:00:00</v>
      </c>
      <c r="T49" t="str">
        <v>03/03/2019</v>
      </c>
      <c r="U49" t="str">
        <v>18:50:00</v>
      </c>
      <c r="V49" t="str">
        <v>73H</v>
      </c>
      <c r="W49" t="str">
        <v xml:space="preserve">  TFL540</v>
      </c>
      <c r="X49" t="str">
        <v>CANARIAS</v>
      </c>
      <c r="Z49" t="s">
        <v>1955</v>
      </c>
    </row>
    <row r="50" spans="1:26" x14ac:dyDescent="0.25">
      <c r="A50" t="s">
        <v>1436</v>
      </c>
      <c r="B50" t="s">
        <v>0</v>
      </c>
      <c r="C50" t="s">
        <v>70</v>
      </c>
      <c r="D50" t="s">
        <v>71</v>
      </c>
      <c r="E50" t="s">
        <v>19</v>
      </c>
      <c r="F50" s="5">
        <v>43466</v>
      </c>
      <c r="G50" s="5">
        <v>43550</v>
      </c>
      <c r="H50" s="6">
        <v>0.51041666666666663</v>
      </c>
      <c r="I50">
        <v>320</v>
      </c>
      <c r="J50" t="s">
        <v>73</v>
      </c>
      <c r="K50" t="s">
        <v>38</v>
      </c>
      <c r="M50" t="s">
        <v>17</v>
      </c>
      <c r="Q50" t="str">
        <v>AMS</v>
      </c>
      <c r="R50" t="str">
        <v xml:space="preserve">     S </v>
      </c>
      <c r="S50" t="str">
        <v>2019-01-19T00:00:00</v>
      </c>
      <c r="T50" t="str">
        <v>30/03/2019</v>
      </c>
      <c r="U50" t="str">
        <v>19:35:00</v>
      </c>
      <c r="V50" t="str">
        <v>73H</v>
      </c>
      <c r="W50" t="str">
        <v xml:space="preserve">  TRA5684</v>
      </c>
      <c r="X50" t="str">
        <v>CANARIAS</v>
      </c>
    </row>
    <row r="51" spans="1:26" x14ac:dyDescent="0.25">
      <c r="A51" t="s">
        <v>1436</v>
      </c>
      <c r="B51" t="s">
        <v>0</v>
      </c>
      <c r="C51" t="s">
        <v>70</v>
      </c>
      <c r="D51" t="s">
        <v>71</v>
      </c>
      <c r="E51" t="s">
        <v>18</v>
      </c>
      <c r="F51" s="5">
        <v>43401</v>
      </c>
      <c r="G51" s="5">
        <v>43548</v>
      </c>
      <c r="H51" s="6">
        <v>0.51388888888888895</v>
      </c>
      <c r="I51" t="s">
        <v>14</v>
      </c>
      <c r="J51" t="s">
        <v>74</v>
      </c>
      <c r="K51" t="s">
        <v>38</v>
      </c>
      <c r="M51" t="s">
        <v>17</v>
      </c>
      <c r="Q51" t="str">
        <v>AMS</v>
      </c>
      <c r="R51" t="str">
        <v xml:space="preserve">   J   </v>
      </c>
      <c r="S51" t="str">
        <v>2019-02-14T00:00:00</v>
      </c>
      <c r="T51" t="str">
        <v>28/03/2019</v>
      </c>
      <c r="U51" t="str">
        <v>20:50:00</v>
      </c>
      <c r="V51" t="str">
        <v>73H</v>
      </c>
      <c r="W51" t="str">
        <v xml:space="preserve">  TFL532</v>
      </c>
      <c r="X51" t="str">
        <v>CANARIAS</v>
      </c>
    </row>
    <row r="52" spans="1:26" x14ac:dyDescent="0.25">
      <c r="A52" t="s">
        <v>1436</v>
      </c>
      <c r="B52" t="s">
        <v>0</v>
      </c>
      <c r="C52" t="s">
        <v>70</v>
      </c>
      <c r="D52" t="s">
        <v>71</v>
      </c>
      <c r="E52" t="s">
        <v>13</v>
      </c>
      <c r="F52" s="5">
        <v>43405</v>
      </c>
      <c r="G52" s="5">
        <v>43552</v>
      </c>
      <c r="H52" s="6">
        <v>0.59027777777777779</v>
      </c>
      <c r="I52" t="s">
        <v>39</v>
      </c>
      <c r="J52" t="s">
        <v>75</v>
      </c>
      <c r="K52" t="s">
        <v>38</v>
      </c>
      <c r="M52" t="s">
        <v>17</v>
      </c>
      <c r="Q52" t="str">
        <v>OVD</v>
      </c>
      <c r="R52" t="str">
        <v xml:space="preserve">     S </v>
      </c>
      <c r="S52" t="str">
        <v>2018-11-03T00:00:00</v>
      </c>
      <c r="T52" t="str">
        <v>30/03/2019</v>
      </c>
      <c r="U52" t="str">
        <v>17:30:00</v>
      </c>
      <c r="V52">
        <v>320</v>
      </c>
      <c r="W52" t="str">
        <v xml:space="preserve">  VLG3138</v>
      </c>
      <c r="X52" t="str">
        <v>ESPAÑA</v>
      </c>
    </row>
    <row r="53" spans="1:26" x14ac:dyDescent="0.25">
      <c r="A53" t="s">
        <v>1436</v>
      </c>
      <c r="B53" t="s">
        <v>0</v>
      </c>
      <c r="C53" t="s">
        <v>70</v>
      </c>
      <c r="D53" t="s">
        <v>71</v>
      </c>
      <c r="E53" t="s">
        <v>18</v>
      </c>
      <c r="F53" s="5">
        <v>43457</v>
      </c>
      <c r="G53" s="5">
        <v>43548</v>
      </c>
      <c r="H53" s="6">
        <v>0.65972222222222221</v>
      </c>
      <c r="I53" t="s">
        <v>39</v>
      </c>
      <c r="J53" t="s">
        <v>1231</v>
      </c>
      <c r="K53" t="s">
        <v>38</v>
      </c>
      <c r="M53" t="s">
        <v>17</v>
      </c>
      <c r="Q53" t="str">
        <v>BCN</v>
      </c>
      <c r="R53" t="str">
        <v xml:space="preserve">     S </v>
      </c>
      <c r="S53" t="str">
        <v>2018-12-22T00:00:00</v>
      </c>
      <c r="T53" t="str">
        <v>30/03/2019</v>
      </c>
      <c r="U53" t="str">
        <v>13:40:00</v>
      </c>
      <c r="V53">
        <v>320</v>
      </c>
      <c r="W53" t="str">
        <v xml:space="preserve">  VLG2473</v>
      </c>
      <c r="X53" t="str">
        <v>ESPAÑA</v>
      </c>
    </row>
    <row r="54" spans="1:26" x14ac:dyDescent="0.25">
      <c r="A54" t="s">
        <v>1436</v>
      </c>
      <c r="B54" t="s">
        <v>0</v>
      </c>
      <c r="C54" t="s">
        <v>70</v>
      </c>
      <c r="D54" t="s">
        <v>71</v>
      </c>
      <c r="E54" t="s">
        <v>48</v>
      </c>
      <c r="F54" s="5">
        <v>43406</v>
      </c>
      <c r="G54" s="5">
        <v>43553</v>
      </c>
      <c r="H54" s="6">
        <v>0.75</v>
      </c>
      <c r="I54" t="s">
        <v>14</v>
      </c>
      <c r="J54" t="s">
        <v>74</v>
      </c>
      <c r="K54" t="s">
        <v>38</v>
      </c>
      <c r="M54" t="s">
        <v>17</v>
      </c>
      <c r="Q54" t="str">
        <v>BCN</v>
      </c>
      <c r="R54" t="str">
        <v>LMX V D</v>
      </c>
      <c r="S54" t="str">
        <v>2018-10-28T00:00:00</v>
      </c>
      <c r="T54" t="str">
        <v>29/03/2019</v>
      </c>
      <c r="U54" t="str">
        <v>15:35:00</v>
      </c>
      <c r="V54">
        <v>321</v>
      </c>
      <c r="W54" t="str">
        <v xml:space="preserve">  VLG2473</v>
      </c>
      <c r="X54" t="str">
        <v>ESPAÑA</v>
      </c>
    </row>
    <row r="55" spans="1:26" x14ac:dyDescent="0.25">
      <c r="A55" t="s">
        <v>1436</v>
      </c>
      <c r="B55" t="s">
        <v>0</v>
      </c>
      <c r="C55" t="s">
        <v>70</v>
      </c>
      <c r="D55" t="s">
        <v>71</v>
      </c>
      <c r="E55" t="s">
        <v>59</v>
      </c>
      <c r="F55" s="5">
        <v>43472</v>
      </c>
      <c r="G55" s="5">
        <v>43549</v>
      </c>
      <c r="H55" s="6">
        <v>0.75</v>
      </c>
      <c r="I55" t="s">
        <v>14</v>
      </c>
      <c r="J55" t="s">
        <v>74</v>
      </c>
      <c r="K55" t="s">
        <v>38</v>
      </c>
      <c r="M55" t="s">
        <v>17</v>
      </c>
      <c r="Q55" t="str">
        <v>BCN</v>
      </c>
      <c r="R55" t="str">
        <v xml:space="preserve">   J   </v>
      </c>
      <c r="S55" t="str">
        <v>2018-12-20T00:00:00</v>
      </c>
      <c r="T55" t="str">
        <v>28/03/2019</v>
      </c>
      <c r="U55" t="str">
        <v>16:20:00</v>
      </c>
      <c r="V55">
        <v>321</v>
      </c>
      <c r="W55" t="str">
        <v xml:space="preserve">  VLG2473</v>
      </c>
      <c r="X55" t="str">
        <v>ESPAÑA</v>
      </c>
    </row>
    <row r="56" spans="1:26" x14ac:dyDescent="0.25">
      <c r="A56" t="s">
        <v>1436</v>
      </c>
      <c r="B56" t="s">
        <v>0</v>
      </c>
      <c r="C56" t="s">
        <v>76</v>
      </c>
      <c r="D56" t="s">
        <v>77</v>
      </c>
      <c r="E56" t="s">
        <v>20</v>
      </c>
      <c r="F56" s="5">
        <v>43509</v>
      </c>
      <c r="G56" s="5">
        <v>43516</v>
      </c>
      <c r="H56" s="6">
        <v>0.44444444444444442</v>
      </c>
      <c r="I56" t="s">
        <v>698</v>
      </c>
      <c r="J56" t="s">
        <v>1446</v>
      </c>
      <c r="K56" t="s">
        <v>79</v>
      </c>
      <c r="L56" t="s">
        <v>80</v>
      </c>
      <c r="M56" t="s">
        <v>17</v>
      </c>
      <c r="Q56" t="str">
        <v>BSL</v>
      </c>
      <c r="R56" t="str">
        <v xml:space="preserve">  X  S </v>
      </c>
      <c r="S56" t="str">
        <v>2018-10-31T00:00:00</v>
      </c>
      <c r="T56" t="str">
        <v>30/03/2019</v>
      </c>
      <c r="U56" t="str">
        <v>17:25:00</v>
      </c>
      <c r="V56">
        <v>320</v>
      </c>
      <c r="W56" t="str">
        <v xml:space="preserve">  EZS1250</v>
      </c>
      <c r="X56" t="str">
        <v>SUIZA</v>
      </c>
    </row>
    <row r="57" spans="1:26" x14ac:dyDescent="0.25">
      <c r="A57" t="s">
        <v>1436</v>
      </c>
      <c r="B57" t="s">
        <v>0</v>
      </c>
      <c r="C57" t="s">
        <v>76</v>
      </c>
      <c r="D57" t="s">
        <v>77</v>
      </c>
      <c r="E57" t="s">
        <v>22</v>
      </c>
      <c r="F57" s="5">
        <v>43512</v>
      </c>
      <c r="G57" s="5">
        <v>43512</v>
      </c>
      <c r="H57" s="6">
        <v>0.68055555555555547</v>
      </c>
      <c r="I57" t="s">
        <v>14</v>
      </c>
      <c r="J57" t="s">
        <v>1552</v>
      </c>
      <c r="K57" t="s">
        <v>79</v>
      </c>
      <c r="L57" t="s">
        <v>138</v>
      </c>
      <c r="M57" t="s">
        <v>17</v>
      </c>
    </row>
    <row r="58" spans="1:26" x14ac:dyDescent="0.25">
      <c r="A58" t="s">
        <v>1436</v>
      </c>
      <c r="B58" t="s">
        <v>0</v>
      </c>
      <c r="C58" t="s">
        <v>76</v>
      </c>
      <c r="D58" t="s">
        <v>77</v>
      </c>
      <c r="E58" t="s">
        <v>667</v>
      </c>
      <c r="F58" s="5">
        <v>43401</v>
      </c>
      <c r="G58" s="5">
        <v>43554</v>
      </c>
      <c r="H58" s="6">
        <v>0.75</v>
      </c>
      <c r="I58">
        <v>320</v>
      </c>
      <c r="J58" t="s">
        <v>78</v>
      </c>
      <c r="K58" t="s">
        <v>79</v>
      </c>
      <c r="M58" t="s">
        <v>17</v>
      </c>
      <c r="N58" t="str">
        <f t="array" ref="N58:Y679">get_flights(A1:M2636,Z40:Z46,O45)</f>
        <v/>
      </c>
      <c r="O58" t="str">
        <v>Destino</v>
      </c>
      <c r="P58" t="str">
        <v>Codigo</v>
      </c>
      <c r="Q58" t="str">
        <v>Hora_Salida</v>
      </c>
      <c r="R58" t="str">
        <v>Aeronave</v>
      </c>
      <c r="S58" t="str">
        <v>Num_vuelo</v>
      </c>
      <c r="T58" t="str">
        <v>Pais</v>
      </c>
      <c r="U58" t="str">
        <v>Escala</v>
      </c>
      <c r="V58" t="str">
        <v>Origen</v>
      </c>
      <c r="W58" t="str">
        <v>Day</v>
      </c>
      <c r="X58" t="str">
        <v>asientos</v>
      </c>
      <c r="Y58" t="str">
        <v>modelo</v>
      </c>
    </row>
    <row r="59" spans="1:26" x14ac:dyDescent="0.25">
      <c r="A59" t="s">
        <v>1436</v>
      </c>
      <c r="B59" t="s">
        <v>0</v>
      </c>
      <c r="C59" t="s">
        <v>82</v>
      </c>
      <c r="D59" t="s">
        <v>83</v>
      </c>
      <c r="E59" t="s">
        <v>84</v>
      </c>
      <c r="F59" s="5">
        <v>43401</v>
      </c>
      <c r="G59" s="5">
        <v>43551</v>
      </c>
      <c r="H59" s="6">
        <v>0.73611111111111116</v>
      </c>
      <c r="I59" t="s">
        <v>14</v>
      </c>
      <c r="J59" t="s">
        <v>85</v>
      </c>
      <c r="K59" t="s">
        <v>79</v>
      </c>
      <c r="M59" t="s">
        <v>17</v>
      </c>
      <c r="N59" t="str">
        <v>Destino</v>
      </c>
      <c r="O59" t="str">
        <v>ALICANTE-ELCHE</v>
      </c>
      <c r="P59" t="str">
        <v>ALC</v>
      </c>
      <c r="Q59" t="str">
        <v>14:55:00</v>
      </c>
      <c r="R59" t="str">
        <v>73H</v>
      </c>
      <c r="S59" t="str">
        <v xml:space="preserve">  AEA4125</v>
      </c>
      <c r="T59" t="str">
        <v>ESPAÑA</v>
      </c>
      <c r="U59" t="str">
        <v/>
      </c>
      <c r="V59" t="str">
        <v>TFN</v>
      </c>
      <c r="W59" t="str">
        <v>04/02/2019</v>
      </c>
      <c r="X59">
        <v>189</v>
      </c>
      <c r="Y59" t="str">
        <v>Boeing 737-800 pax</v>
      </c>
    </row>
    <row r="60" spans="1:26" x14ac:dyDescent="0.25">
      <c r="A60" t="s">
        <v>1436</v>
      </c>
      <c r="B60" t="s">
        <v>0</v>
      </c>
      <c r="C60" t="s">
        <v>986</v>
      </c>
      <c r="D60" t="s">
        <v>987</v>
      </c>
      <c r="E60" t="s">
        <v>22</v>
      </c>
      <c r="F60" s="5">
        <v>43477</v>
      </c>
      <c r="G60" s="5">
        <v>43533</v>
      </c>
      <c r="H60" s="6">
        <v>0.82291666666666663</v>
      </c>
      <c r="I60">
        <v>319</v>
      </c>
      <c r="J60" t="s">
        <v>1822</v>
      </c>
      <c r="K60" t="s">
        <v>221</v>
      </c>
      <c r="M60" t="s">
        <v>17</v>
      </c>
      <c r="N60" t="str">
        <v>Destino</v>
      </c>
      <c r="O60" t="str">
        <v>ASTURIAS</v>
      </c>
      <c r="P60" t="str">
        <v>OVD</v>
      </c>
      <c r="Q60" t="str">
        <v>12:50:00</v>
      </c>
      <c r="R60" t="str">
        <v>73H</v>
      </c>
      <c r="S60" t="str">
        <v xml:space="preserve">  AEA7221</v>
      </c>
      <c r="T60" t="str">
        <v>ESPAÑA</v>
      </c>
      <c r="U60" t="str">
        <v/>
      </c>
      <c r="V60" t="str">
        <v>TFN</v>
      </c>
      <c r="W60" t="str">
        <v>07/02/2019</v>
      </c>
      <c r="X60">
        <v>189</v>
      </c>
      <c r="Y60" t="str">
        <v>Boeing 737-800 pax</v>
      </c>
    </row>
    <row r="61" spans="1:26" x14ac:dyDescent="0.25">
      <c r="A61" t="s">
        <v>1436</v>
      </c>
      <c r="B61" t="s">
        <v>0</v>
      </c>
      <c r="C61" t="s">
        <v>1232</v>
      </c>
      <c r="D61" t="s">
        <v>128</v>
      </c>
      <c r="E61" t="s">
        <v>22</v>
      </c>
      <c r="F61" s="5">
        <v>43456</v>
      </c>
      <c r="G61" s="5">
        <v>43547</v>
      </c>
      <c r="H61" s="6">
        <v>0.31944444444444448</v>
      </c>
      <c r="I61">
        <v>738</v>
      </c>
      <c r="J61" t="s">
        <v>1823</v>
      </c>
      <c r="K61" t="s">
        <v>129</v>
      </c>
      <c r="L61" t="s">
        <v>267</v>
      </c>
      <c r="M61" t="s">
        <v>17</v>
      </c>
      <c r="N61" t="str">
        <v>Destino</v>
      </c>
      <c r="O61" t="str">
        <v>BARCELONA-EL PRAT</v>
      </c>
      <c r="P61" t="str">
        <v>BCN</v>
      </c>
      <c r="Q61" t="str">
        <v>09:30:00</v>
      </c>
      <c r="R61" t="str">
        <v>73H</v>
      </c>
      <c r="S61" t="str">
        <v xml:space="preserve">  RYR3064</v>
      </c>
      <c r="T61" t="str">
        <v>ESPAÑA</v>
      </c>
      <c r="U61" t="str">
        <v/>
      </c>
      <c r="V61" t="str">
        <v>TFN</v>
      </c>
      <c r="W61" t="str">
        <v>10/02/2019</v>
      </c>
      <c r="X61">
        <v>189</v>
      </c>
      <c r="Y61" t="str">
        <v>Boeing 737-800 pax</v>
      </c>
    </row>
    <row r="62" spans="1:26" x14ac:dyDescent="0.25">
      <c r="A62" t="s">
        <v>1436</v>
      </c>
      <c r="B62" t="s">
        <v>0</v>
      </c>
      <c r="C62" t="s">
        <v>1232</v>
      </c>
      <c r="D62" t="s">
        <v>128</v>
      </c>
      <c r="E62" t="s">
        <v>22</v>
      </c>
      <c r="F62" s="5">
        <v>43414</v>
      </c>
      <c r="G62" s="5">
        <v>43526</v>
      </c>
      <c r="H62" s="6">
        <v>0.54513888888888895</v>
      </c>
      <c r="I62">
        <v>738</v>
      </c>
      <c r="J62" t="s">
        <v>1824</v>
      </c>
      <c r="K62" t="s">
        <v>129</v>
      </c>
      <c r="M62" t="s">
        <v>17</v>
      </c>
      <c r="N62" t="str">
        <v>Destino</v>
      </c>
      <c r="O62" t="str">
        <v>BARCELONA-EL PRAT</v>
      </c>
      <c r="P62" t="str">
        <v>BCN</v>
      </c>
      <c r="Q62" t="str">
        <v>09:30:00</v>
      </c>
      <c r="R62" t="str">
        <v>73H</v>
      </c>
      <c r="S62" t="str">
        <v xml:space="preserve">  RYR3064</v>
      </c>
      <c r="T62" t="str">
        <v>ESPAÑA</v>
      </c>
      <c r="U62" t="str">
        <v/>
      </c>
      <c r="V62" t="str">
        <v>TFN</v>
      </c>
      <c r="W62" t="str">
        <v>09/02/2019</v>
      </c>
      <c r="X62">
        <v>189</v>
      </c>
      <c r="Y62" t="str">
        <v>Boeing 737-800 pax</v>
      </c>
    </row>
    <row r="63" spans="1:26" x14ac:dyDescent="0.25">
      <c r="A63" t="s">
        <v>1436</v>
      </c>
      <c r="B63" t="s">
        <v>0</v>
      </c>
      <c r="C63" t="s">
        <v>88</v>
      </c>
      <c r="D63" t="s">
        <v>89</v>
      </c>
      <c r="E63" t="s">
        <v>19</v>
      </c>
      <c r="F63" s="5">
        <v>43445</v>
      </c>
      <c r="G63" s="5">
        <v>43550</v>
      </c>
      <c r="H63" s="6">
        <v>0.68055555555555547</v>
      </c>
      <c r="I63" t="s">
        <v>14</v>
      </c>
      <c r="J63" t="s">
        <v>1447</v>
      </c>
      <c r="K63" t="s">
        <v>45</v>
      </c>
      <c r="M63" t="s">
        <v>17</v>
      </c>
      <c r="N63" t="str">
        <v>Destino</v>
      </c>
      <c r="O63" t="str">
        <v>BARCELONA-EL PRAT</v>
      </c>
      <c r="P63" t="str">
        <v>BCN</v>
      </c>
      <c r="Q63" t="str">
        <v>09:30:00</v>
      </c>
      <c r="R63" t="str">
        <v>73H</v>
      </c>
      <c r="S63" t="str">
        <v xml:space="preserve">  RYR3064</v>
      </c>
      <c r="T63" t="str">
        <v>ESPAÑA</v>
      </c>
      <c r="U63" t="str">
        <v/>
      </c>
      <c r="V63" t="str">
        <v>TFN</v>
      </c>
      <c r="W63" t="str">
        <v>07/02/2019</v>
      </c>
      <c r="X63">
        <v>189</v>
      </c>
      <c r="Y63" t="str">
        <v>Boeing 737-800 pax</v>
      </c>
    </row>
    <row r="64" spans="1:26" x14ac:dyDescent="0.25">
      <c r="A64" t="s">
        <v>1436</v>
      </c>
      <c r="B64" t="s">
        <v>0</v>
      </c>
      <c r="C64" t="s">
        <v>88</v>
      </c>
      <c r="D64" t="s">
        <v>89</v>
      </c>
      <c r="E64" t="s">
        <v>18</v>
      </c>
      <c r="F64" s="5">
        <v>43408</v>
      </c>
      <c r="G64" s="5">
        <v>43548</v>
      </c>
      <c r="H64" s="6">
        <v>0.69791666666666663</v>
      </c>
      <c r="I64">
        <v>319</v>
      </c>
      <c r="J64" t="s">
        <v>1447</v>
      </c>
      <c r="K64" t="s">
        <v>45</v>
      </c>
      <c r="M64" t="s">
        <v>17</v>
      </c>
      <c r="N64" t="str">
        <v>Destino</v>
      </c>
      <c r="O64" t="str">
        <v>BARCELONA-EL PRAT</v>
      </c>
      <c r="P64" t="str">
        <v>BCN</v>
      </c>
      <c r="Q64" t="str">
        <v>09:30:00</v>
      </c>
      <c r="R64" t="str">
        <v>73H</v>
      </c>
      <c r="S64" t="str">
        <v xml:space="preserve">  RYR3064</v>
      </c>
      <c r="T64" t="str">
        <v>ESPAÑA</v>
      </c>
      <c r="U64" t="str">
        <v/>
      </c>
      <c r="V64" t="str">
        <v>TFN</v>
      </c>
      <c r="W64" t="str">
        <v>04/02/2019</v>
      </c>
      <c r="X64">
        <v>189</v>
      </c>
      <c r="Y64" t="str">
        <v>Boeing 737-800 pax</v>
      </c>
    </row>
    <row r="65" spans="1:25" x14ac:dyDescent="0.25">
      <c r="A65" t="s">
        <v>1436</v>
      </c>
      <c r="B65" t="s">
        <v>0</v>
      </c>
      <c r="C65" t="s">
        <v>90</v>
      </c>
      <c r="D65" t="s">
        <v>91</v>
      </c>
      <c r="E65" t="s">
        <v>19</v>
      </c>
      <c r="F65" s="5">
        <v>43480</v>
      </c>
      <c r="G65" s="5">
        <v>43550</v>
      </c>
      <c r="H65" s="6">
        <v>0.5</v>
      </c>
      <c r="I65" t="s">
        <v>14</v>
      </c>
      <c r="J65" t="s">
        <v>92</v>
      </c>
      <c r="K65" t="s">
        <v>93</v>
      </c>
      <c r="M65" t="s">
        <v>17</v>
      </c>
      <c r="N65" t="str">
        <v>Destino</v>
      </c>
      <c r="O65" t="str">
        <v>BARCELONA-EL PRAT</v>
      </c>
      <c r="P65" t="str">
        <v>BCN</v>
      </c>
      <c r="Q65" t="str">
        <v>09:30:00</v>
      </c>
      <c r="R65" t="str">
        <v>73H</v>
      </c>
      <c r="S65" t="str">
        <v xml:space="preserve">  RYR3064</v>
      </c>
      <c r="T65" t="str">
        <v>ESPAÑA</v>
      </c>
      <c r="U65" t="str">
        <v/>
      </c>
      <c r="V65" t="str">
        <v>TFN</v>
      </c>
      <c r="W65" t="str">
        <v>06/02/2019</v>
      </c>
      <c r="X65">
        <v>189</v>
      </c>
      <c r="Y65" t="str">
        <v>Boeing 737-800 pax</v>
      </c>
    </row>
    <row r="66" spans="1:25" x14ac:dyDescent="0.25">
      <c r="A66" t="s">
        <v>1436</v>
      </c>
      <c r="B66" t="s">
        <v>0</v>
      </c>
      <c r="C66" t="s">
        <v>90</v>
      </c>
      <c r="D66" t="s">
        <v>91</v>
      </c>
      <c r="E66" t="s">
        <v>54</v>
      </c>
      <c r="F66" s="5">
        <v>43460</v>
      </c>
      <c r="G66" s="5">
        <v>43551</v>
      </c>
      <c r="H66" s="6">
        <v>0.57638888888888895</v>
      </c>
      <c r="I66">
        <v>320</v>
      </c>
      <c r="J66" t="s">
        <v>94</v>
      </c>
      <c r="K66" t="s">
        <v>93</v>
      </c>
      <c r="M66" t="s">
        <v>17</v>
      </c>
      <c r="N66" t="str">
        <v>Destino</v>
      </c>
      <c r="O66" t="str">
        <v>BARCELONA-EL PRAT</v>
      </c>
      <c r="P66" t="str">
        <v>BCN</v>
      </c>
      <c r="Q66" t="str">
        <v>09:30:00</v>
      </c>
      <c r="R66" t="str">
        <v>73H</v>
      </c>
      <c r="S66" t="str">
        <v xml:space="preserve">  RYR3064</v>
      </c>
      <c r="T66" t="str">
        <v>ESPAÑA</v>
      </c>
      <c r="U66" t="str">
        <v/>
      </c>
      <c r="V66" t="str">
        <v>TFN</v>
      </c>
      <c r="W66" t="str">
        <v>05/02/2019</v>
      </c>
      <c r="X66">
        <v>189</v>
      </c>
      <c r="Y66" t="str">
        <v>Boeing 737-800 pax</v>
      </c>
    </row>
    <row r="67" spans="1:25" x14ac:dyDescent="0.25">
      <c r="A67" t="s">
        <v>1436</v>
      </c>
      <c r="B67" t="s">
        <v>0</v>
      </c>
      <c r="C67" t="s">
        <v>90</v>
      </c>
      <c r="D67" t="s">
        <v>91</v>
      </c>
      <c r="E67" t="s">
        <v>22</v>
      </c>
      <c r="F67" s="5">
        <v>43449</v>
      </c>
      <c r="G67" s="5">
        <v>43519</v>
      </c>
      <c r="H67" s="6">
        <v>0.59027777777777779</v>
      </c>
      <c r="I67" t="s">
        <v>14</v>
      </c>
      <c r="J67" t="s">
        <v>92</v>
      </c>
      <c r="K67" t="s">
        <v>93</v>
      </c>
      <c r="M67" t="s">
        <v>17</v>
      </c>
      <c r="N67" t="str">
        <v>Destino</v>
      </c>
      <c r="O67" t="str">
        <v>BARCELONA-EL PRAT</v>
      </c>
      <c r="P67" t="str">
        <v>BCN</v>
      </c>
      <c r="Q67" t="str">
        <v>10:50:00</v>
      </c>
      <c r="R67" t="str">
        <v>73H</v>
      </c>
      <c r="S67" t="str">
        <v xml:space="preserve">  RYR3064</v>
      </c>
      <c r="T67" t="str">
        <v>ESPAÑA</v>
      </c>
      <c r="U67" t="str">
        <v/>
      </c>
      <c r="V67" t="str">
        <v>TFN</v>
      </c>
      <c r="W67" t="str">
        <v>08/02/2019</v>
      </c>
      <c r="X67">
        <v>189</v>
      </c>
      <c r="Y67" t="str">
        <v>Boeing 737-800 pax</v>
      </c>
    </row>
    <row r="68" spans="1:25" x14ac:dyDescent="0.25">
      <c r="A68" t="s">
        <v>1436</v>
      </c>
      <c r="B68" t="s">
        <v>0</v>
      </c>
      <c r="C68" t="s">
        <v>90</v>
      </c>
      <c r="D68" t="s">
        <v>91</v>
      </c>
      <c r="E68" t="s">
        <v>22</v>
      </c>
      <c r="F68" s="5">
        <v>43407</v>
      </c>
      <c r="G68" s="5">
        <v>43554</v>
      </c>
      <c r="H68" s="6">
        <v>0.75</v>
      </c>
      <c r="I68">
        <v>320</v>
      </c>
      <c r="J68" t="s">
        <v>94</v>
      </c>
      <c r="K68" t="s">
        <v>93</v>
      </c>
      <c r="M68" t="s">
        <v>17</v>
      </c>
      <c r="N68" t="str">
        <v>Destino</v>
      </c>
      <c r="O68" t="str">
        <v>BARCELONA-EL PRAT</v>
      </c>
      <c r="P68" t="str">
        <v>BCN</v>
      </c>
      <c r="Q68" t="str">
        <v>11:10:00</v>
      </c>
      <c r="R68" t="str">
        <v>73H</v>
      </c>
      <c r="S68" t="str">
        <v xml:space="preserve">  IBK5757</v>
      </c>
      <c r="T68" t="str">
        <v>ESPAÑA</v>
      </c>
      <c r="U68" t="str">
        <v/>
      </c>
      <c r="V68" t="str">
        <v>TFN</v>
      </c>
      <c r="W68" t="str">
        <v>04/02/2019</v>
      </c>
      <c r="X68">
        <v>189</v>
      </c>
      <c r="Y68" t="str">
        <v>Boeing 737-800 pax</v>
      </c>
    </row>
    <row r="69" spans="1:25" x14ac:dyDescent="0.25">
      <c r="A69" t="s">
        <v>1436</v>
      </c>
      <c r="B69" t="s">
        <v>0</v>
      </c>
      <c r="C69" t="s">
        <v>90</v>
      </c>
      <c r="D69" t="s">
        <v>91</v>
      </c>
      <c r="E69" t="s">
        <v>13</v>
      </c>
      <c r="F69" s="5">
        <v>43461</v>
      </c>
      <c r="G69" s="5">
        <v>43552</v>
      </c>
      <c r="H69" s="6">
        <v>0.75</v>
      </c>
      <c r="I69">
        <v>320</v>
      </c>
      <c r="J69" t="s">
        <v>94</v>
      </c>
      <c r="K69" t="s">
        <v>93</v>
      </c>
      <c r="M69" t="s">
        <v>17</v>
      </c>
      <c r="N69" t="str">
        <v>Destino</v>
      </c>
      <c r="O69" t="str">
        <v>BARCELONA-EL PRAT</v>
      </c>
      <c r="P69" t="str">
        <v>BCN</v>
      </c>
      <c r="Q69" t="str">
        <v>11:10:00</v>
      </c>
      <c r="R69" t="str">
        <v>73H</v>
      </c>
      <c r="S69" t="str">
        <v xml:space="preserve">  IBK5757</v>
      </c>
      <c r="T69" t="str">
        <v>ESPAÑA</v>
      </c>
      <c r="U69" t="str">
        <v/>
      </c>
      <c r="V69" t="str">
        <v>TFN</v>
      </c>
      <c r="W69" t="str">
        <v>08/02/2019</v>
      </c>
      <c r="X69">
        <v>189</v>
      </c>
      <c r="Y69" t="str">
        <v>Boeing 737-800 pax</v>
      </c>
    </row>
    <row r="70" spans="1:25" x14ac:dyDescent="0.25">
      <c r="A70" t="s">
        <v>1436</v>
      </c>
      <c r="B70" t="s">
        <v>0</v>
      </c>
      <c r="C70" t="s">
        <v>346</v>
      </c>
      <c r="D70" t="s">
        <v>347</v>
      </c>
      <c r="E70" t="s">
        <v>48</v>
      </c>
      <c r="F70" s="5">
        <v>43511</v>
      </c>
      <c r="G70" s="5">
        <v>43511</v>
      </c>
      <c r="H70" s="6">
        <v>0.69791666666666663</v>
      </c>
      <c r="I70" t="s">
        <v>81</v>
      </c>
      <c r="J70" t="s">
        <v>1448</v>
      </c>
      <c r="K70" t="s">
        <v>45</v>
      </c>
      <c r="M70" t="s">
        <v>17</v>
      </c>
      <c r="N70" t="str">
        <v>Destino</v>
      </c>
      <c r="O70" t="str">
        <v>BARCELONA-EL PRAT</v>
      </c>
      <c r="P70" t="str">
        <v>BCN</v>
      </c>
      <c r="Q70" t="str">
        <v>11:10:00</v>
      </c>
      <c r="R70" t="str">
        <v>73H</v>
      </c>
      <c r="S70" t="str">
        <v xml:space="preserve">  IBK5757</v>
      </c>
      <c r="T70" t="str">
        <v>ESPAÑA</v>
      </c>
      <c r="U70" t="str">
        <v/>
      </c>
      <c r="V70" t="str">
        <v>TFN</v>
      </c>
      <c r="W70" t="str">
        <v>07/02/2019</v>
      </c>
      <c r="X70">
        <v>189</v>
      </c>
      <c r="Y70" t="str">
        <v>Boeing 737-800 pax</v>
      </c>
    </row>
    <row r="71" spans="1:25" x14ac:dyDescent="0.25">
      <c r="A71" t="s">
        <v>1436</v>
      </c>
      <c r="B71" t="s">
        <v>0</v>
      </c>
      <c r="C71" t="s">
        <v>96</v>
      </c>
      <c r="D71" t="s">
        <v>97</v>
      </c>
      <c r="E71" t="s">
        <v>22</v>
      </c>
      <c r="F71" s="5">
        <v>43407</v>
      </c>
      <c r="G71" s="5">
        <v>43554</v>
      </c>
      <c r="H71" s="6">
        <v>0.46527777777777773</v>
      </c>
      <c r="I71" t="s">
        <v>14</v>
      </c>
      <c r="J71" t="s">
        <v>98</v>
      </c>
      <c r="K71" t="s">
        <v>93</v>
      </c>
      <c r="M71" t="s">
        <v>17</v>
      </c>
      <c r="N71" t="str">
        <v>Destino</v>
      </c>
      <c r="O71" t="str">
        <v>BARCELONA-EL PRAT</v>
      </c>
      <c r="P71" t="str">
        <v>BCN</v>
      </c>
      <c r="Q71" t="str">
        <v>11:10:00</v>
      </c>
      <c r="R71" t="str">
        <v>73H</v>
      </c>
      <c r="S71" t="str">
        <v xml:space="preserve">  IBK5757</v>
      </c>
      <c r="T71" t="str">
        <v>ESPAÑA</v>
      </c>
      <c r="U71" t="str">
        <v/>
      </c>
      <c r="V71" t="str">
        <v>TFN</v>
      </c>
      <c r="W71" t="str">
        <v>09/02/2019</v>
      </c>
      <c r="X71">
        <v>189</v>
      </c>
      <c r="Y71" t="str">
        <v>Boeing 737-800 pax</v>
      </c>
    </row>
    <row r="72" spans="1:25" x14ac:dyDescent="0.25">
      <c r="A72" t="s">
        <v>1436</v>
      </c>
      <c r="B72" t="s">
        <v>0</v>
      </c>
      <c r="C72" t="s">
        <v>96</v>
      </c>
      <c r="D72" t="s">
        <v>97</v>
      </c>
      <c r="E72" t="s">
        <v>19</v>
      </c>
      <c r="F72" s="5">
        <v>43473</v>
      </c>
      <c r="G72" s="5">
        <v>43550</v>
      </c>
      <c r="H72" s="6">
        <v>0.46527777777777773</v>
      </c>
      <c r="I72" t="s">
        <v>14</v>
      </c>
      <c r="J72" t="s">
        <v>98</v>
      </c>
      <c r="K72" t="s">
        <v>93</v>
      </c>
      <c r="M72" t="s">
        <v>17</v>
      </c>
      <c r="N72" t="str">
        <v>Destino</v>
      </c>
      <c r="O72" t="str">
        <v>BARCELONA-EL PRAT</v>
      </c>
      <c r="P72" t="str">
        <v>BCN</v>
      </c>
      <c r="Q72" t="str">
        <v>11:30:00</v>
      </c>
      <c r="R72" t="str">
        <v>73H</v>
      </c>
      <c r="S72" t="str">
        <v xml:space="preserve">  IBK5757</v>
      </c>
      <c r="T72" t="str">
        <v>ESPAÑA</v>
      </c>
      <c r="U72" t="str">
        <v/>
      </c>
      <c r="V72" t="str">
        <v>TFN</v>
      </c>
      <c r="W72" t="str">
        <v>10/02/2019</v>
      </c>
      <c r="X72">
        <v>189</v>
      </c>
      <c r="Y72" t="str">
        <v>Boeing 737-800 pax</v>
      </c>
    </row>
    <row r="73" spans="1:25" x14ac:dyDescent="0.25">
      <c r="A73" t="s">
        <v>1436</v>
      </c>
      <c r="B73" t="s">
        <v>0</v>
      </c>
      <c r="C73" t="s">
        <v>96</v>
      </c>
      <c r="D73" t="s">
        <v>97</v>
      </c>
      <c r="E73" t="s">
        <v>13</v>
      </c>
      <c r="F73" s="5">
        <v>43405</v>
      </c>
      <c r="G73" s="5">
        <v>43552</v>
      </c>
      <c r="H73" s="6">
        <v>0.47916666666666669</v>
      </c>
      <c r="I73" t="s">
        <v>14</v>
      </c>
      <c r="J73" t="s">
        <v>98</v>
      </c>
      <c r="K73" t="s">
        <v>93</v>
      </c>
      <c r="M73" t="s">
        <v>17</v>
      </c>
      <c r="N73" t="str">
        <v>Destino</v>
      </c>
      <c r="O73" t="str">
        <v>BILBAO</v>
      </c>
      <c r="P73" t="str">
        <v>BIO</v>
      </c>
      <c r="Q73" t="str">
        <v>07:10:00</v>
      </c>
      <c r="R73" t="str">
        <v>73H</v>
      </c>
      <c r="S73" t="str">
        <v xml:space="preserve">  AEA7007</v>
      </c>
      <c r="T73" t="str">
        <v>ESPAÑA</v>
      </c>
      <c r="U73" t="str">
        <v/>
      </c>
      <c r="V73" t="str">
        <v>TFN</v>
      </c>
      <c r="W73" t="str">
        <v>04/02/2019</v>
      </c>
      <c r="X73">
        <v>189</v>
      </c>
      <c r="Y73" t="str">
        <v>Boeing 737-800 pax</v>
      </c>
    </row>
    <row r="74" spans="1:25" x14ac:dyDescent="0.25">
      <c r="A74" t="s">
        <v>1436</v>
      </c>
      <c r="B74" t="s">
        <v>0</v>
      </c>
      <c r="C74" t="s">
        <v>96</v>
      </c>
      <c r="D74" t="s">
        <v>97</v>
      </c>
      <c r="E74" t="s">
        <v>20</v>
      </c>
      <c r="F74" s="5">
        <v>43467</v>
      </c>
      <c r="G74" s="5">
        <v>43551</v>
      </c>
      <c r="H74" s="6">
        <v>0.48958333333333331</v>
      </c>
      <c r="I74" t="s">
        <v>14</v>
      </c>
      <c r="J74" t="s">
        <v>98</v>
      </c>
      <c r="K74" t="s">
        <v>93</v>
      </c>
      <c r="M74" t="s">
        <v>17</v>
      </c>
      <c r="N74" t="str">
        <v>Destino</v>
      </c>
      <c r="O74" t="str">
        <v>BILBAO</v>
      </c>
      <c r="P74" t="str">
        <v>BIO</v>
      </c>
      <c r="Q74" t="str">
        <v>07:35:00</v>
      </c>
      <c r="R74" t="str">
        <v>73H</v>
      </c>
      <c r="S74" t="str">
        <v xml:space="preserve">  AEA7007</v>
      </c>
      <c r="T74" t="str">
        <v>ESPAÑA</v>
      </c>
      <c r="U74" t="str">
        <v/>
      </c>
      <c r="V74" t="str">
        <v>TFN</v>
      </c>
      <c r="W74" t="str">
        <v>06/02/2019</v>
      </c>
      <c r="X74">
        <v>189</v>
      </c>
      <c r="Y74" t="str">
        <v>Boeing 737-800 pax</v>
      </c>
    </row>
    <row r="75" spans="1:25" x14ac:dyDescent="0.25">
      <c r="A75" t="s">
        <v>1436</v>
      </c>
      <c r="B75" t="s">
        <v>0</v>
      </c>
      <c r="C75" t="s">
        <v>96</v>
      </c>
      <c r="D75" t="s">
        <v>97</v>
      </c>
      <c r="E75" t="s">
        <v>37</v>
      </c>
      <c r="F75" s="5">
        <v>43402</v>
      </c>
      <c r="G75" s="5">
        <v>43553</v>
      </c>
      <c r="H75" s="6">
        <v>0.50347222222222221</v>
      </c>
      <c r="I75" t="s">
        <v>14</v>
      </c>
      <c r="J75" t="s">
        <v>98</v>
      </c>
      <c r="K75" t="s">
        <v>93</v>
      </c>
      <c r="M75" t="s">
        <v>17</v>
      </c>
      <c r="N75" t="str">
        <v>Destino</v>
      </c>
      <c r="O75" t="str">
        <v>BILBAO</v>
      </c>
      <c r="P75" t="str">
        <v>BIO</v>
      </c>
      <c r="Q75" t="str">
        <v>07:35:00</v>
      </c>
      <c r="R75" t="str">
        <v>73H</v>
      </c>
      <c r="S75" t="str">
        <v xml:space="preserve">  AEA7007</v>
      </c>
      <c r="T75" t="str">
        <v>ESPAÑA</v>
      </c>
      <c r="U75" t="str">
        <v/>
      </c>
      <c r="V75" t="str">
        <v>TFN</v>
      </c>
      <c r="W75" t="str">
        <v>10/02/2019</v>
      </c>
      <c r="X75">
        <v>189</v>
      </c>
      <c r="Y75" t="str">
        <v>Boeing 737-800 pax</v>
      </c>
    </row>
    <row r="76" spans="1:25" x14ac:dyDescent="0.25">
      <c r="A76" t="s">
        <v>1436</v>
      </c>
      <c r="B76" t="s">
        <v>0</v>
      </c>
      <c r="C76" t="s">
        <v>96</v>
      </c>
      <c r="D76" t="s">
        <v>97</v>
      </c>
      <c r="E76" t="s">
        <v>13</v>
      </c>
      <c r="F76" s="5">
        <v>43503</v>
      </c>
      <c r="G76" s="5">
        <v>43517</v>
      </c>
      <c r="H76" s="6">
        <v>0.51041666666666663</v>
      </c>
      <c r="I76">
        <v>320</v>
      </c>
      <c r="J76" t="s">
        <v>99</v>
      </c>
      <c r="K76" t="s">
        <v>93</v>
      </c>
      <c r="M76" t="s">
        <v>17</v>
      </c>
      <c r="N76" t="str">
        <v>Destino</v>
      </c>
      <c r="O76" t="str">
        <v>GRAN CANARIA</v>
      </c>
      <c r="P76" t="str">
        <v>LPA</v>
      </c>
      <c r="Q76" t="str">
        <v>21:30:00</v>
      </c>
      <c r="R76" t="str">
        <v>73H</v>
      </c>
      <c r="S76" t="str">
        <v xml:space="preserve">  AEA9410</v>
      </c>
      <c r="T76" t="str">
        <v>ESPAÑA</v>
      </c>
      <c r="U76" t="str">
        <v/>
      </c>
      <c r="V76" t="str">
        <v>TFN</v>
      </c>
      <c r="W76" t="str">
        <v>07/02/2019</v>
      </c>
      <c r="X76">
        <v>189</v>
      </c>
      <c r="Y76" t="str">
        <v>Boeing 737-800 pax</v>
      </c>
    </row>
    <row r="77" spans="1:25" x14ac:dyDescent="0.25">
      <c r="A77" t="s">
        <v>1436</v>
      </c>
      <c r="B77" t="s">
        <v>0</v>
      </c>
      <c r="C77" t="s">
        <v>96</v>
      </c>
      <c r="D77" t="s">
        <v>97</v>
      </c>
      <c r="E77" t="s">
        <v>72</v>
      </c>
      <c r="F77" s="5">
        <v>43505</v>
      </c>
      <c r="G77" s="5">
        <v>43554</v>
      </c>
      <c r="H77" s="6">
        <v>0.51041666666666663</v>
      </c>
      <c r="I77">
        <v>320</v>
      </c>
      <c r="J77" t="s">
        <v>99</v>
      </c>
      <c r="K77" t="s">
        <v>93</v>
      </c>
      <c r="M77" t="s">
        <v>17</v>
      </c>
      <c r="N77" t="str">
        <v>Destino</v>
      </c>
      <c r="O77" t="str">
        <v>MADRID-BARAJAS ADOLFO SUÁREZ</v>
      </c>
      <c r="P77" t="str">
        <v>MAD</v>
      </c>
      <c r="Q77" t="str">
        <v>07:15:00</v>
      </c>
      <c r="R77" t="str">
        <v>73H</v>
      </c>
      <c r="S77" t="str">
        <v xml:space="preserve">  AEA9045</v>
      </c>
      <c r="T77" t="str">
        <v>ESPAÑA</v>
      </c>
      <c r="U77" t="str">
        <v/>
      </c>
      <c r="V77" t="str">
        <v>TFN</v>
      </c>
      <c r="W77" t="str">
        <v>06/02/2019</v>
      </c>
      <c r="X77">
        <v>189</v>
      </c>
      <c r="Y77" t="str">
        <v>Boeing 737-800 pax</v>
      </c>
    </row>
    <row r="78" spans="1:25" x14ac:dyDescent="0.25">
      <c r="A78" t="s">
        <v>1436</v>
      </c>
      <c r="B78" t="s">
        <v>0</v>
      </c>
      <c r="C78" t="s">
        <v>96</v>
      </c>
      <c r="D78" t="s">
        <v>97</v>
      </c>
      <c r="E78" t="s">
        <v>20</v>
      </c>
      <c r="F78" s="5">
        <v>43404</v>
      </c>
      <c r="G78" s="5">
        <v>43551</v>
      </c>
      <c r="H78" s="6">
        <v>0.74652777777777779</v>
      </c>
      <c r="I78">
        <v>320</v>
      </c>
      <c r="J78" t="s">
        <v>100</v>
      </c>
      <c r="K78" t="s">
        <v>93</v>
      </c>
      <c r="M78" t="s">
        <v>17</v>
      </c>
      <c r="N78" t="str">
        <v>Destino</v>
      </c>
      <c r="O78" t="str">
        <v>MADRID-BARAJAS ADOLFO SUÁREZ</v>
      </c>
      <c r="P78" t="str">
        <v>MAD</v>
      </c>
      <c r="Q78" t="str">
        <v>07:15:00</v>
      </c>
      <c r="R78" t="str">
        <v>73H</v>
      </c>
      <c r="S78" t="str">
        <v xml:space="preserve">  AEA9045</v>
      </c>
      <c r="T78" t="str">
        <v>ESPAÑA</v>
      </c>
      <c r="U78" t="str">
        <v/>
      </c>
      <c r="V78" t="str">
        <v>TFN</v>
      </c>
      <c r="W78" t="str">
        <v>05/02/2019</v>
      </c>
      <c r="X78">
        <v>189</v>
      </c>
      <c r="Y78" t="str">
        <v>Boeing 737-800 pax</v>
      </c>
    </row>
    <row r="79" spans="1:25" x14ac:dyDescent="0.25">
      <c r="A79" t="s">
        <v>1436</v>
      </c>
      <c r="B79" t="s">
        <v>0</v>
      </c>
      <c r="C79" t="s">
        <v>96</v>
      </c>
      <c r="D79" t="s">
        <v>97</v>
      </c>
      <c r="E79" t="s">
        <v>13</v>
      </c>
      <c r="F79" s="5">
        <v>43447</v>
      </c>
      <c r="G79" s="5">
        <v>43552</v>
      </c>
      <c r="H79" s="6">
        <v>0.74652777777777779</v>
      </c>
      <c r="I79">
        <v>320</v>
      </c>
      <c r="J79" t="s">
        <v>100</v>
      </c>
      <c r="K79" t="s">
        <v>93</v>
      </c>
      <c r="M79" t="s">
        <v>17</v>
      </c>
      <c r="N79" t="str">
        <v>Destino</v>
      </c>
      <c r="O79" t="str">
        <v>MADRID-BARAJAS ADOLFO SUÁREZ</v>
      </c>
      <c r="P79" t="str">
        <v>MAD</v>
      </c>
      <c r="Q79" t="str">
        <v>07:15:00</v>
      </c>
      <c r="R79" t="str">
        <v>73H</v>
      </c>
      <c r="S79" t="str">
        <v xml:space="preserve">  AEA9045</v>
      </c>
      <c r="T79" t="str">
        <v>ESPAÑA</v>
      </c>
      <c r="U79" t="str">
        <v/>
      </c>
      <c r="V79" t="str">
        <v>TFN</v>
      </c>
      <c r="W79" t="str">
        <v>04/02/2019</v>
      </c>
      <c r="X79">
        <v>189</v>
      </c>
      <c r="Y79" t="str">
        <v>Boeing 737-800 pax</v>
      </c>
    </row>
    <row r="80" spans="1:25" x14ac:dyDescent="0.25">
      <c r="A80" t="s">
        <v>1436</v>
      </c>
      <c r="B80" t="s">
        <v>0</v>
      </c>
      <c r="C80" t="s">
        <v>96</v>
      </c>
      <c r="D80" t="s">
        <v>97</v>
      </c>
      <c r="E80" t="s">
        <v>22</v>
      </c>
      <c r="F80" s="5">
        <v>43449</v>
      </c>
      <c r="G80" s="5">
        <v>43512</v>
      </c>
      <c r="H80" s="6">
        <v>0.74652777777777779</v>
      </c>
      <c r="I80">
        <v>320</v>
      </c>
      <c r="J80" t="s">
        <v>100</v>
      </c>
      <c r="K80" t="s">
        <v>93</v>
      </c>
      <c r="M80" t="s">
        <v>17</v>
      </c>
      <c r="N80" t="str">
        <v>Destino</v>
      </c>
      <c r="O80" t="str">
        <v>MADRID-BARAJAS ADOLFO SUÁREZ</v>
      </c>
      <c r="P80" t="str">
        <v>MAD</v>
      </c>
      <c r="Q80" t="str">
        <v>07:15:00</v>
      </c>
      <c r="R80" t="str">
        <v>73H</v>
      </c>
      <c r="S80" t="str">
        <v xml:space="preserve">  AEA9045</v>
      </c>
      <c r="T80" t="str">
        <v>ESPAÑA</v>
      </c>
      <c r="U80" t="str">
        <v/>
      </c>
      <c r="V80" t="str">
        <v>TFN</v>
      </c>
      <c r="W80" t="str">
        <v>08/02/2019</v>
      </c>
      <c r="X80">
        <v>189</v>
      </c>
      <c r="Y80" t="str">
        <v>Boeing 737-800 pax</v>
      </c>
    </row>
    <row r="81" spans="1:25" x14ac:dyDescent="0.25">
      <c r="A81" t="s">
        <v>1436</v>
      </c>
      <c r="B81" t="s">
        <v>0</v>
      </c>
      <c r="C81" t="s">
        <v>96</v>
      </c>
      <c r="D81" t="s">
        <v>97</v>
      </c>
      <c r="E81" t="s">
        <v>146</v>
      </c>
      <c r="F81" s="5">
        <v>43465</v>
      </c>
      <c r="G81" s="5">
        <v>43550</v>
      </c>
      <c r="H81" s="6">
        <v>0.74652777777777779</v>
      </c>
      <c r="I81">
        <v>320</v>
      </c>
      <c r="J81" t="s">
        <v>100</v>
      </c>
      <c r="K81" t="s">
        <v>93</v>
      </c>
      <c r="M81" t="s">
        <v>17</v>
      </c>
      <c r="N81" t="str">
        <v>Destino</v>
      </c>
      <c r="O81" t="str">
        <v>MADRID-BARAJAS ADOLFO SUÁREZ</v>
      </c>
      <c r="P81" t="str">
        <v>MAD</v>
      </c>
      <c r="Q81" t="str">
        <v>07:15:00</v>
      </c>
      <c r="R81" t="str">
        <v>73H</v>
      </c>
      <c r="S81" t="str">
        <v xml:space="preserve">  AEA9045</v>
      </c>
      <c r="T81" t="str">
        <v>ESPAÑA</v>
      </c>
      <c r="U81" t="str">
        <v/>
      </c>
      <c r="V81" t="str">
        <v>TFN</v>
      </c>
      <c r="W81" t="str">
        <v>07/02/2019</v>
      </c>
      <c r="X81">
        <v>189</v>
      </c>
      <c r="Y81" t="str">
        <v>Boeing 737-800 pax</v>
      </c>
    </row>
    <row r="82" spans="1:25" x14ac:dyDescent="0.25">
      <c r="A82" t="s">
        <v>1436</v>
      </c>
      <c r="B82" t="s">
        <v>0</v>
      </c>
      <c r="C82" t="s">
        <v>96</v>
      </c>
      <c r="D82" t="s">
        <v>97</v>
      </c>
      <c r="E82" t="s">
        <v>18</v>
      </c>
      <c r="F82" s="5">
        <v>43506</v>
      </c>
      <c r="G82" s="5">
        <v>43548</v>
      </c>
      <c r="H82" s="6">
        <v>0.74652777777777779</v>
      </c>
      <c r="I82">
        <v>320</v>
      </c>
      <c r="J82" t="s">
        <v>100</v>
      </c>
      <c r="K82" t="s">
        <v>93</v>
      </c>
      <c r="M82" t="s">
        <v>17</v>
      </c>
      <c r="N82" t="str">
        <v>Destino</v>
      </c>
      <c r="O82" t="str">
        <v>MADRID-BARAJAS ADOLFO SUÁREZ</v>
      </c>
      <c r="P82" t="str">
        <v>MAD</v>
      </c>
      <c r="Q82" t="str">
        <v>07:15:00</v>
      </c>
      <c r="R82" t="str">
        <v>73H</v>
      </c>
      <c r="S82" t="str">
        <v xml:space="preserve">  AEA9045</v>
      </c>
      <c r="T82" t="str">
        <v>ESPAÑA</v>
      </c>
      <c r="U82" t="str">
        <v/>
      </c>
      <c r="V82" t="str">
        <v>TFN</v>
      </c>
      <c r="W82" t="str">
        <v>10/02/2019</v>
      </c>
      <c r="X82">
        <v>189</v>
      </c>
      <c r="Y82" t="str">
        <v>Boeing 737-800 pax</v>
      </c>
    </row>
    <row r="83" spans="1:25" x14ac:dyDescent="0.25">
      <c r="A83" t="s">
        <v>1436</v>
      </c>
      <c r="B83" t="s">
        <v>0</v>
      </c>
      <c r="C83" t="s">
        <v>96</v>
      </c>
      <c r="D83" t="s">
        <v>97</v>
      </c>
      <c r="E83" t="s">
        <v>48</v>
      </c>
      <c r="F83" s="5">
        <v>43462</v>
      </c>
      <c r="G83" s="5">
        <v>43511</v>
      </c>
      <c r="H83" s="6">
        <v>0.76388888888888884</v>
      </c>
      <c r="I83">
        <v>321</v>
      </c>
      <c r="J83" t="s">
        <v>100</v>
      </c>
      <c r="K83" t="s">
        <v>93</v>
      </c>
      <c r="M83" t="s">
        <v>17</v>
      </c>
      <c r="N83" t="str">
        <v>Destino</v>
      </c>
      <c r="O83" t="str">
        <v>MADRID-BARAJAS ADOLFO SUÁREZ</v>
      </c>
      <c r="P83" t="str">
        <v>MAD</v>
      </c>
      <c r="Q83" t="str">
        <v>07:15:00</v>
      </c>
      <c r="R83" t="str">
        <v>73H</v>
      </c>
      <c r="S83" t="str">
        <v xml:space="preserve">  AEA9045</v>
      </c>
      <c r="T83" t="str">
        <v>ESPAÑA</v>
      </c>
      <c r="U83" t="str">
        <v/>
      </c>
      <c r="V83" t="str">
        <v>TFN</v>
      </c>
      <c r="W83" t="str">
        <v>09/02/2019</v>
      </c>
      <c r="X83">
        <v>189</v>
      </c>
      <c r="Y83" t="str">
        <v>Boeing 737-800 pax</v>
      </c>
    </row>
    <row r="84" spans="1:25" x14ac:dyDescent="0.25">
      <c r="A84" t="s">
        <v>1436</v>
      </c>
      <c r="B84" t="s">
        <v>0</v>
      </c>
      <c r="C84" t="s">
        <v>96</v>
      </c>
      <c r="D84" t="s">
        <v>97</v>
      </c>
      <c r="E84" t="s">
        <v>18</v>
      </c>
      <c r="F84" s="5">
        <v>43401</v>
      </c>
      <c r="G84" s="5">
        <v>43548</v>
      </c>
      <c r="H84" s="6">
        <v>0.78125</v>
      </c>
      <c r="I84" t="s">
        <v>14</v>
      </c>
      <c r="J84" t="s">
        <v>98</v>
      </c>
      <c r="K84" t="s">
        <v>93</v>
      </c>
      <c r="M84" t="s">
        <v>17</v>
      </c>
      <c r="N84" t="str">
        <v>Destino</v>
      </c>
      <c r="O84" t="str">
        <v>MADRID-BARAJAS ADOLFO SUÁREZ</v>
      </c>
      <c r="P84" t="str">
        <v>MAD</v>
      </c>
      <c r="Q84" t="str">
        <v>09:15:00</v>
      </c>
      <c r="R84" t="str">
        <v>73H</v>
      </c>
      <c r="S84" t="str">
        <v xml:space="preserve">  RYR5279</v>
      </c>
      <c r="T84" t="str">
        <v>ESPAÑA</v>
      </c>
      <c r="U84" t="str">
        <v/>
      </c>
      <c r="V84" t="str">
        <v>TFN</v>
      </c>
      <c r="W84" t="str">
        <v>04/02/2019</v>
      </c>
      <c r="X84">
        <v>189</v>
      </c>
      <c r="Y84" t="str">
        <v>Boeing 737-800 pax</v>
      </c>
    </row>
    <row r="85" spans="1:25" x14ac:dyDescent="0.25">
      <c r="A85" t="s">
        <v>1436</v>
      </c>
      <c r="B85" t="s">
        <v>0</v>
      </c>
      <c r="C85" t="s">
        <v>96</v>
      </c>
      <c r="D85" t="s">
        <v>97</v>
      </c>
      <c r="E85" t="s">
        <v>22</v>
      </c>
      <c r="F85" s="5">
        <v>43407</v>
      </c>
      <c r="G85" s="5">
        <v>43554</v>
      </c>
      <c r="H85" s="6">
        <v>0.78472222222222221</v>
      </c>
      <c r="I85" t="s">
        <v>14</v>
      </c>
      <c r="J85" t="s">
        <v>1449</v>
      </c>
      <c r="K85" t="s">
        <v>93</v>
      </c>
      <c r="M85" t="s">
        <v>17</v>
      </c>
      <c r="N85" t="str">
        <v>Destino</v>
      </c>
      <c r="O85" t="str">
        <v>MADRID-BARAJAS ADOLFO SUÁREZ</v>
      </c>
      <c r="P85" t="str">
        <v>MAD</v>
      </c>
      <c r="Q85" t="str">
        <v>09:15:00</v>
      </c>
      <c r="R85" t="str">
        <v>73H</v>
      </c>
      <c r="S85" t="str">
        <v xml:space="preserve">  RYR5279</v>
      </c>
      <c r="T85" t="str">
        <v>ESPAÑA</v>
      </c>
      <c r="U85" t="str">
        <v/>
      </c>
      <c r="V85" t="str">
        <v>TFN</v>
      </c>
      <c r="W85" t="str">
        <v>08/02/2019</v>
      </c>
      <c r="X85">
        <v>189</v>
      </c>
      <c r="Y85" t="str">
        <v>Boeing 737-800 pax</v>
      </c>
    </row>
    <row r="86" spans="1:25" x14ac:dyDescent="0.25">
      <c r="A86" t="s">
        <v>1436</v>
      </c>
      <c r="B86" t="s">
        <v>0</v>
      </c>
      <c r="C86" t="s">
        <v>102</v>
      </c>
      <c r="D86" t="s">
        <v>103</v>
      </c>
      <c r="E86" t="s">
        <v>19</v>
      </c>
      <c r="F86" s="5">
        <v>43466</v>
      </c>
      <c r="G86" s="5">
        <v>43550</v>
      </c>
      <c r="H86" s="6">
        <v>0.4236111111111111</v>
      </c>
      <c r="I86" t="s">
        <v>14</v>
      </c>
      <c r="J86" t="s">
        <v>1450</v>
      </c>
      <c r="K86" t="s">
        <v>45</v>
      </c>
      <c r="M86" t="s">
        <v>17</v>
      </c>
      <c r="N86" t="str">
        <v>Destino</v>
      </c>
      <c r="O86" t="str">
        <v>MADRID-BARAJAS ADOLFO SUÁREZ</v>
      </c>
      <c r="P86" t="str">
        <v>MAD</v>
      </c>
      <c r="Q86" t="str">
        <v>09:15:00</v>
      </c>
      <c r="R86" t="str">
        <v>73H</v>
      </c>
      <c r="S86" t="str">
        <v xml:space="preserve">  RYR5279</v>
      </c>
      <c r="T86" t="str">
        <v>ESPAÑA</v>
      </c>
      <c r="U86" t="str">
        <v/>
      </c>
      <c r="V86" t="str">
        <v>TFN</v>
      </c>
      <c r="W86" t="str">
        <v>07/02/2019</v>
      </c>
      <c r="X86">
        <v>189</v>
      </c>
      <c r="Y86" t="str">
        <v>Boeing 737-800 pax</v>
      </c>
    </row>
    <row r="87" spans="1:25" x14ac:dyDescent="0.25">
      <c r="A87" t="s">
        <v>1436</v>
      </c>
      <c r="B87" t="s">
        <v>0</v>
      </c>
      <c r="C87" t="s">
        <v>102</v>
      </c>
      <c r="D87" t="s">
        <v>103</v>
      </c>
      <c r="E87" t="s">
        <v>18</v>
      </c>
      <c r="F87" s="5">
        <v>43450</v>
      </c>
      <c r="G87" s="5">
        <v>43548</v>
      </c>
      <c r="H87" s="6">
        <v>0.44791666666666669</v>
      </c>
      <c r="I87">
        <v>320</v>
      </c>
      <c r="J87" t="s">
        <v>105</v>
      </c>
      <c r="K87" t="s">
        <v>45</v>
      </c>
      <c r="M87" t="s">
        <v>17</v>
      </c>
      <c r="N87" t="str">
        <v>Destino</v>
      </c>
      <c r="O87" t="str">
        <v>MADRID-BARAJAS ADOLFO SUÁREZ</v>
      </c>
      <c r="P87" t="str">
        <v>MAD</v>
      </c>
      <c r="Q87" t="str">
        <v>09:15:00</v>
      </c>
      <c r="R87" t="str">
        <v>73H</v>
      </c>
      <c r="S87" t="str">
        <v xml:space="preserve">  RYR5279</v>
      </c>
      <c r="T87" t="str">
        <v>ESPAÑA</v>
      </c>
      <c r="U87" t="str">
        <v/>
      </c>
      <c r="V87" t="str">
        <v>TFN</v>
      </c>
      <c r="W87" t="str">
        <v>10/02/2019</v>
      </c>
      <c r="X87">
        <v>189</v>
      </c>
      <c r="Y87" t="str">
        <v>Boeing 737-800 pax</v>
      </c>
    </row>
    <row r="88" spans="1:25" x14ac:dyDescent="0.25">
      <c r="A88" t="s">
        <v>1436</v>
      </c>
      <c r="B88" t="s">
        <v>0</v>
      </c>
      <c r="C88" t="s">
        <v>102</v>
      </c>
      <c r="D88" t="s">
        <v>103</v>
      </c>
      <c r="E88" t="s">
        <v>158</v>
      </c>
      <c r="F88" s="5">
        <v>43404</v>
      </c>
      <c r="G88" s="5">
        <v>43554</v>
      </c>
      <c r="H88" s="6">
        <v>0.63194444444444442</v>
      </c>
      <c r="I88" t="s">
        <v>352</v>
      </c>
      <c r="J88" t="s">
        <v>1451</v>
      </c>
      <c r="K88" t="s">
        <v>45</v>
      </c>
      <c r="M88" t="s">
        <v>17</v>
      </c>
      <c r="N88" t="str">
        <v>Destino</v>
      </c>
      <c r="O88" t="str">
        <v>MADRID-BARAJAS ADOLFO SUÁREZ</v>
      </c>
      <c r="P88" t="str">
        <v>MAD</v>
      </c>
      <c r="Q88" t="str">
        <v>09:15:00</v>
      </c>
      <c r="R88" t="str">
        <v>73H</v>
      </c>
      <c r="S88" t="str">
        <v xml:space="preserve">  RYR5279</v>
      </c>
      <c r="T88" t="str">
        <v>ESPAÑA</v>
      </c>
      <c r="U88" t="str">
        <v/>
      </c>
      <c r="V88" t="str">
        <v>TFN</v>
      </c>
      <c r="W88" t="str">
        <v>09/02/2019</v>
      </c>
      <c r="X88">
        <v>189</v>
      </c>
      <c r="Y88" t="str">
        <v>Boeing 737-800 pax</v>
      </c>
    </row>
    <row r="89" spans="1:25" x14ac:dyDescent="0.25">
      <c r="A89" t="s">
        <v>1436</v>
      </c>
      <c r="B89" t="s">
        <v>0</v>
      </c>
      <c r="C89" t="s">
        <v>102</v>
      </c>
      <c r="D89" t="s">
        <v>103</v>
      </c>
      <c r="E89" t="s">
        <v>18</v>
      </c>
      <c r="F89" s="5">
        <v>43506</v>
      </c>
      <c r="G89" s="5">
        <v>43513</v>
      </c>
      <c r="H89" s="6">
        <v>0.65277777777777779</v>
      </c>
      <c r="I89" t="s">
        <v>106</v>
      </c>
      <c r="J89" t="s">
        <v>1914</v>
      </c>
      <c r="K89" t="s">
        <v>45</v>
      </c>
      <c r="L89" t="s">
        <v>503</v>
      </c>
      <c r="M89" t="s">
        <v>17</v>
      </c>
      <c r="N89" t="str">
        <v>Destino</v>
      </c>
      <c r="O89" t="str">
        <v>MADRID-BARAJAS ADOLFO SUÁREZ</v>
      </c>
      <c r="P89" t="str">
        <v>MAD</v>
      </c>
      <c r="Q89" t="str">
        <v>09:15:00</v>
      </c>
      <c r="R89" t="str">
        <v>73H</v>
      </c>
      <c r="S89" t="str">
        <v xml:space="preserve">  RYR5279</v>
      </c>
      <c r="T89" t="str">
        <v>ESPAÑA</v>
      </c>
      <c r="U89" t="str">
        <v/>
      </c>
      <c r="V89" t="str">
        <v>TFN</v>
      </c>
      <c r="W89" t="str">
        <v>06/02/2019</v>
      </c>
      <c r="X89">
        <v>189</v>
      </c>
      <c r="Y89" t="str">
        <v>Boeing 737-800 pax</v>
      </c>
    </row>
    <row r="90" spans="1:25" x14ac:dyDescent="0.25">
      <c r="A90" t="s">
        <v>1436</v>
      </c>
      <c r="B90" t="s">
        <v>0</v>
      </c>
      <c r="C90" t="s">
        <v>102</v>
      </c>
      <c r="D90" t="s">
        <v>103</v>
      </c>
      <c r="E90" t="s">
        <v>13</v>
      </c>
      <c r="F90" s="5">
        <v>43405</v>
      </c>
      <c r="G90" s="5">
        <v>43552</v>
      </c>
      <c r="H90" s="6">
        <v>0.70138888888888884</v>
      </c>
      <c r="I90" t="s">
        <v>352</v>
      </c>
      <c r="J90" t="s">
        <v>1451</v>
      </c>
      <c r="K90" t="s">
        <v>45</v>
      </c>
      <c r="M90" t="s">
        <v>17</v>
      </c>
      <c r="N90" t="str">
        <v>Destino</v>
      </c>
      <c r="O90" t="str">
        <v>MADRID-BARAJAS ADOLFO SUÁREZ</v>
      </c>
      <c r="P90" t="str">
        <v>MAD</v>
      </c>
      <c r="Q90" t="str">
        <v>09:15:00</v>
      </c>
      <c r="R90" t="str">
        <v>73H</v>
      </c>
      <c r="S90" t="str">
        <v xml:space="preserve">  RYR5279</v>
      </c>
      <c r="T90" t="str">
        <v>ESPAÑA</v>
      </c>
      <c r="U90" t="str">
        <v/>
      </c>
      <c r="V90" t="str">
        <v>TFN</v>
      </c>
      <c r="W90" t="str">
        <v>05/02/2019</v>
      </c>
      <c r="X90">
        <v>189</v>
      </c>
      <c r="Y90" t="str">
        <v>Boeing 737-800 pax</v>
      </c>
    </row>
    <row r="91" spans="1:25" x14ac:dyDescent="0.25">
      <c r="A91" t="s">
        <v>1436</v>
      </c>
      <c r="B91" t="s">
        <v>0</v>
      </c>
      <c r="C91" t="s">
        <v>102</v>
      </c>
      <c r="D91" t="s">
        <v>103</v>
      </c>
      <c r="E91" t="s">
        <v>22</v>
      </c>
      <c r="F91" s="5">
        <v>43407</v>
      </c>
      <c r="G91" s="5">
        <v>43554</v>
      </c>
      <c r="H91" s="6">
        <v>0.70486111111111116</v>
      </c>
      <c r="I91" t="s">
        <v>14</v>
      </c>
      <c r="J91" t="s">
        <v>1450</v>
      </c>
      <c r="K91" t="s">
        <v>45</v>
      </c>
      <c r="M91" t="s">
        <v>17</v>
      </c>
      <c r="N91" t="str">
        <v>Destino</v>
      </c>
      <c r="O91" t="str">
        <v>MADRID-BARAJAS ADOLFO SUÁREZ</v>
      </c>
      <c r="P91" t="str">
        <v>MAD</v>
      </c>
      <c r="Q91" t="str">
        <v>11:35:00</v>
      </c>
      <c r="R91" t="str">
        <v>73H</v>
      </c>
      <c r="S91" t="str">
        <v xml:space="preserve">  IBK6307</v>
      </c>
      <c r="T91" t="str">
        <v>ESPAÑA</v>
      </c>
      <c r="U91" t="str">
        <v/>
      </c>
      <c r="V91" t="str">
        <v>TFN</v>
      </c>
      <c r="W91" t="str">
        <v>06/02/2019</v>
      </c>
      <c r="X91">
        <v>189</v>
      </c>
      <c r="Y91" t="str">
        <v>Boeing 737-800 pax</v>
      </c>
    </row>
    <row r="92" spans="1:25" x14ac:dyDescent="0.25">
      <c r="A92" t="s">
        <v>1436</v>
      </c>
      <c r="B92" t="s">
        <v>0</v>
      </c>
      <c r="C92" t="s">
        <v>102</v>
      </c>
      <c r="D92" t="s">
        <v>103</v>
      </c>
      <c r="E92" t="s">
        <v>48</v>
      </c>
      <c r="F92" s="5">
        <v>43504</v>
      </c>
      <c r="G92" s="5">
        <v>43518</v>
      </c>
      <c r="H92" s="6">
        <v>0.72222222222222221</v>
      </c>
      <c r="I92">
        <v>320</v>
      </c>
      <c r="J92" t="s">
        <v>105</v>
      </c>
      <c r="K92" t="s">
        <v>45</v>
      </c>
      <c r="M92" t="s">
        <v>17</v>
      </c>
      <c r="N92" t="str">
        <v>Destino</v>
      </c>
      <c r="O92" t="str">
        <v>MADRID-BARAJAS ADOLFO SUÁREZ</v>
      </c>
      <c r="P92" t="str">
        <v>MAD</v>
      </c>
      <c r="Q92" t="str">
        <v>11:35:00</v>
      </c>
      <c r="R92" t="str">
        <v>73H</v>
      </c>
      <c r="S92" t="str">
        <v xml:space="preserve">  IBK6307</v>
      </c>
      <c r="T92" t="str">
        <v>ESPAÑA</v>
      </c>
      <c r="U92" t="str">
        <v/>
      </c>
      <c r="V92" t="str">
        <v>TFN</v>
      </c>
      <c r="W92" t="str">
        <v>04/02/2019</v>
      </c>
      <c r="X92">
        <v>189</v>
      </c>
      <c r="Y92" t="str">
        <v>Boeing 737-800 pax</v>
      </c>
    </row>
    <row r="93" spans="1:25" x14ac:dyDescent="0.25">
      <c r="A93" t="s">
        <v>1436</v>
      </c>
      <c r="B93" t="s">
        <v>0</v>
      </c>
      <c r="C93" t="s">
        <v>107</v>
      </c>
      <c r="D93" t="s">
        <v>108</v>
      </c>
      <c r="E93" t="s">
        <v>22</v>
      </c>
      <c r="F93" s="5">
        <v>43407</v>
      </c>
      <c r="G93" s="5">
        <v>43554</v>
      </c>
      <c r="H93" s="6">
        <v>0.46180555555555558</v>
      </c>
      <c r="I93" t="s">
        <v>14</v>
      </c>
      <c r="J93" t="s">
        <v>110</v>
      </c>
      <c r="K93" t="s">
        <v>38</v>
      </c>
      <c r="M93" t="s">
        <v>17</v>
      </c>
      <c r="N93" t="str">
        <v>Destino</v>
      </c>
      <c r="O93" t="str">
        <v>MADRID-BARAJAS ADOLFO SUÁREZ</v>
      </c>
      <c r="P93" t="str">
        <v>MAD</v>
      </c>
      <c r="Q93" t="str">
        <v>11:35:00</v>
      </c>
      <c r="R93" t="str">
        <v>73H</v>
      </c>
      <c r="S93" t="str">
        <v xml:space="preserve">  IBK6307</v>
      </c>
      <c r="T93" t="str">
        <v>ESPAÑA</v>
      </c>
      <c r="U93" t="str">
        <v/>
      </c>
      <c r="V93" t="str">
        <v>TFN</v>
      </c>
      <c r="W93" t="str">
        <v>08/02/2019</v>
      </c>
      <c r="X93">
        <v>189</v>
      </c>
      <c r="Y93" t="str">
        <v>Boeing 737-800 pax</v>
      </c>
    </row>
    <row r="94" spans="1:25" x14ac:dyDescent="0.25">
      <c r="A94" t="s">
        <v>1436</v>
      </c>
      <c r="B94" t="s">
        <v>0</v>
      </c>
      <c r="C94" t="s">
        <v>107</v>
      </c>
      <c r="D94" t="s">
        <v>108</v>
      </c>
      <c r="E94" t="s">
        <v>13</v>
      </c>
      <c r="F94" s="5">
        <v>43405</v>
      </c>
      <c r="G94" s="5">
        <v>43552</v>
      </c>
      <c r="H94" s="6">
        <v>0.46875</v>
      </c>
      <c r="I94" t="s">
        <v>14</v>
      </c>
      <c r="J94" t="s">
        <v>110</v>
      </c>
      <c r="K94" t="s">
        <v>38</v>
      </c>
      <c r="M94" t="s">
        <v>17</v>
      </c>
      <c r="N94" t="str">
        <v>Destino</v>
      </c>
      <c r="O94" t="str">
        <v>MADRID-BARAJAS ADOLFO SUÁREZ</v>
      </c>
      <c r="P94" t="str">
        <v>MAD</v>
      </c>
      <c r="Q94" t="str">
        <v>11:35:00</v>
      </c>
      <c r="R94" t="str">
        <v>73H</v>
      </c>
      <c r="S94" t="str">
        <v xml:space="preserve">  IBK6307</v>
      </c>
      <c r="T94" t="str">
        <v>ESPAÑA</v>
      </c>
      <c r="U94" t="str">
        <v/>
      </c>
      <c r="V94" t="str">
        <v>TFN</v>
      </c>
      <c r="W94" t="str">
        <v>07/02/2019</v>
      </c>
      <c r="X94">
        <v>189</v>
      </c>
      <c r="Y94" t="str">
        <v>Boeing 737-800 pax</v>
      </c>
    </row>
    <row r="95" spans="1:25" x14ac:dyDescent="0.25">
      <c r="A95" t="s">
        <v>1436</v>
      </c>
      <c r="B95" t="s">
        <v>0</v>
      </c>
      <c r="C95" t="s">
        <v>107</v>
      </c>
      <c r="D95" t="s">
        <v>108</v>
      </c>
      <c r="E95" t="s">
        <v>19</v>
      </c>
      <c r="F95" s="5">
        <v>43466</v>
      </c>
      <c r="G95" s="5">
        <v>43550</v>
      </c>
      <c r="H95" s="6">
        <v>0.4861111111111111</v>
      </c>
      <c r="I95" t="s">
        <v>14</v>
      </c>
      <c r="J95" t="s">
        <v>110</v>
      </c>
      <c r="K95" t="s">
        <v>38</v>
      </c>
      <c r="M95" t="s">
        <v>17</v>
      </c>
      <c r="N95" t="str">
        <v>Destino</v>
      </c>
      <c r="O95" t="str">
        <v>MADRID-BARAJAS ADOLFO SUÁREZ</v>
      </c>
      <c r="P95" t="str">
        <v>MAD</v>
      </c>
      <c r="Q95" t="str">
        <v>11:35:00</v>
      </c>
      <c r="R95" t="str">
        <v>73H</v>
      </c>
      <c r="S95" t="str">
        <v xml:space="preserve">  IBK6307</v>
      </c>
      <c r="T95" t="str">
        <v>ESPAÑA</v>
      </c>
      <c r="U95" t="str">
        <v/>
      </c>
      <c r="V95" t="str">
        <v>TFN</v>
      </c>
      <c r="W95" t="str">
        <v>05/02/2019</v>
      </c>
      <c r="X95">
        <v>189</v>
      </c>
      <c r="Y95" t="str">
        <v>Boeing 737-800 pax</v>
      </c>
    </row>
    <row r="96" spans="1:25" x14ac:dyDescent="0.25">
      <c r="A96" t="s">
        <v>1436</v>
      </c>
      <c r="B96" t="s">
        <v>0</v>
      </c>
      <c r="C96" t="s">
        <v>107</v>
      </c>
      <c r="D96" t="s">
        <v>108</v>
      </c>
      <c r="E96" t="s">
        <v>59</v>
      </c>
      <c r="F96" s="5">
        <v>43472</v>
      </c>
      <c r="G96" s="5">
        <v>43549</v>
      </c>
      <c r="H96" s="6">
        <v>0.52777777777777779</v>
      </c>
      <c r="I96" t="s">
        <v>14</v>
      </c>
      <c r="J96" t="s">
        <v>110</v>
      </c>
      <c r="K96" t="s">
        <v>38</v>
      </c>
      <c r="M96" t="s">
        <v>17</v>
      </c>
      <c r="N96" t="str">
        <v>Destino</v>
      </c>
      <c r="O96" t="str">
        <v>MADRID-BARAJAS ADOLFO SUÁREZ</v>
      </c>
      <c r="P96" t="str">
        <v>MAD</v>
      </c>
      <c r="Q96" t="str">
        <v>12:00:00</v>
      </c>
      <c r="R96" t="str">
        <v>73H</v>
      </c>
      <c r="S96" t="str">
        <v xml:space="preserve">  IBK6307</v>
      </c>
      <c r="T96" t="str">
        <v>ESPAÑA</v>
      </c>
      <c r="U96" t="str">
        <v/>
      </c>
      <c r="V96" t="str">
        <v>TFN</v>
      </c>
      <c r="W96" t="str">
        <v>10/02/2019</v>
      </c>
      <c r="X96">
        <v>189</v>
      </c>
      <c r="Y96" t="str">
        <v>Boeing 737-800 pax</v>
      </c>
    </row>
    <row r="97" spans="1:25" x14ac:dyDescent="0.25">
      <c r="A97" t="s">
        <v>1436</v>
      </c>
      <c r="B97" t="s">
        <v>0</v>
      </c>
      <c r="C97" t="s">
        <v>107</v>
      </c>
      <c r="D97" t="s">
        <v>108</v>
      </c>
      <c r="E97" t="s">
        <v>13</v>
      </c>
      <c r="F97" s="5">
        <v>43405</v>
      </c>
      <c r="G97" s="5">
        <v>43552</v>
      </c>
      <c r="H97" s="6">
        <v>0.54513888888888895</v>
      </c>
      <c r="I97" t="s">
        <v>14</v>
      </c>
      <c r="J97" t="s">
        <v>112</v>
      </c>
      <c r="K97" t="s">
        <v>38</v>
      </c>
      <c r="M97" t="s">
        <v>17</v>
      </c>
      <c r="N97" t="str">
        <v>Destino</v>
      </c>
      <c r="O97" t="str">
        <v>MADRID-BARAJAS ADOLFO SUÁREZ</v>
      </c>
      <c r="P97" t="str">
        <v>MAD</v>
      </c>
      <c r="Q97" t="str">
        <v>14:40:00</v>
      </c>
      <c r="R97" t="str">
        <v>73H</v>
      </c>
      <c r="S97" t="str">
        <v xml:space="preserve">  AEA9049</v>
      </c>
      <c r="T97" t="str">
        <v>ESPAÑA</v>
      </c>
      <c r="U97" t="str">
        <v/>
      </c>
      <c r="V97" t="str">
        <v>TFN</v>
      </c>
      <c r="W97" t="str">
        <v>05/02/2019</v>
      </c>
      <c r="X97">
        <v>189</v>
      </c>
      <c r="Y97" t="str">
        <v>Boeing 737-800 pax</v>
      </c>
    </row>
    <row r="98" spans="1:25" x14ac:dyDescent="0.25">
      <c r="A98" t="s">
        <v>1436</v>
      </c>
      <c r="B98" t="s">
        <v>0</v>
      </c>
      <c r="C98" t="s">
        <v>107</v>
      </c>
      <c r="D98" t="s">
        <v>108</v>
      </c>
      <c r="E98" t="s">
        <v>13</v>
      </c>
      <c r="F98" s="5">
        <v>43405</v>
      </c>
      <c r="G98" s="5">
        <v>43552</v>
      </c>
      <c r="H98" s="6">
        <v>0.56944444444444442</v>
      </c>
      <c r="I98" t="s">
        <v>39</v>
      </c>
      <c r="J98" t="s">
        <v>114</v>
      </c>
      <c r="K98" t="s">
        <v>38</v>
      </c>
      <c r="M98" t="s">
        <v>17</v>
      </c>
      <c r="N98" t="str">
        <v>Destino</v>
      </c>
      <c r="O98" t="str">
        <v>MADRID-BARAJAS ADOLFO SUÁREZ</v>
      </c>
      <c r="P98" t="str">
        <v>MAD</v>
      </c>
      <c r="Q98" t="str">
        <v>14:40:00</v>
      </c>
      <c r="R98" t="str">
        <v>73H</v>
      </c>
      <c r="S98" t="str">
        <v xml:space="preserve">  AEA9049</v>
      </c>
      <c r="T98" t="str">
        <v>ESPAÑA</v>
      </c>
      <c r="U98" t="str">
        <v/>
      </c>
      <c r="V98" t="str">
        <v>TFN</v>
      </c>
      <c r="W98" t="str">
        <v>07/02/2019</v>
      </c>
      <c r="X98">
        <v>189</v>
      </c>
      <c r="Y98" t="str">
        <v>Boeing 737-800 pax</v>
      </c>
    </row>
    <row r="99" spans="1:25" x14ac:dyDescent="0.25">
      <c r="A99" t="s">
        <v>1436</v>
      </c>
      <c r="B99" t="s">
        <v>0</v>
      </c>
      <c r="C99" t="s">
        <v>107</v>
      </c>
      <c r="D99" t="s">
        <v>108</v>
      </c>
      <c r="E99" t="s">
        <v>59</v>
      </c>
      <c r="F99" s="5">
        <v>43514</v>
      </c>
      <c r="G99" s="5">
        <v>43549</v>
      </c>
      <c r="H99" s="6">
        <v>0.61458333333333337</v>
      </c>
      <c r="I99" t="s">
        <v>39</v>
      </c>
      <c r="J99" t="s">
        <v>1825</v>
      </c>
      <c r="K99" t="s">
        <v>38</v>
      </c>
      <c r="M99" t="s">
        <v>17</v>
      </c>
      <c r="N99" t="str">
        <v>Destino</v>
      </c>
      <c r="O99" t="str">
        <v>MADRID-BARAJAS ADOLFO SUÁREZ</v>
      </c>
      <c r="P99" t="str">
        <v>MAD</v>
      </c>
      <c r="Q99" t="str">
        <v>14:40:00</v>
      </c>
      <c r="R99" t="str">
        <v>73H</v>
      </c>
      <c r="S99" t="str">
        <v xml:space="preserve">  AEA9049</v>
      </c>
      <c r="T99" t="str">
        <v>ESPAÑA</v>
      </c>
      <c r="U99" t="str">
        <v/>
      </c>
      <c r="V99" t="str">
        <v>TFN</v>
      </c>
      <c r="W99" t="str">
        <v>08/02/2019</v>
      </c>
      <c r="X99">
        <v>189</v>
      </c>
      <c r="Y99" t="str">
        <v>Boeing 737-800 pax</v>
      </c>
    </row>
    <row r="100" spans="1:25" x14ac:dyDescent="0.25">
      <c r="A100" t="s">
        <v>1436</v>
      </c>
      <c r="B100" t="s">
        <v>0</v>
      </c>
      <c r="C100" t="s">
        <v>107</v>
      </c>
      <c r="D100" t="s">
        <v>108</v>
      </c>
      <c r="E100" t="s">
        <v>18</v>
      </c>
      <c r="F100" s="5">
        <v>43408</v>
      </c>
      <c r="G100" s="5">
        <v>43548</v>
      </c>
      <c r="H100" s="6">
        <v>0.61805555555555558</v>
      </c>
      <c r="I100" t="s">
        <v>39</v>
      </c>
      <c r="J100" t="s">
        <v>113</v>
      </c>
      <c r="K100" t="s">
        <v>38</v>
      </c>
      <c r="M100" t="s">
        <v>17</v>
      </c>
      <c r="N100" t="str">
        <v>Destino</v>
      </c>
      <c r="O100" t="str">
        <v>MADRID-BARAJAS ADOLFO SUÁREZ</v>
      </c>
      <c r="P100" t="str">
        <v>MAD</v>
      </c>
      <c r="Q100" t="str">
        <v>14:40:00</v>
      </c>
      <c r="R100" t="str">
        <v>73H</v>
      </c>
      <c r="S100" t="str">
        <v xml:space="preserve">  AEA9049</v>
      </c>
      <c r="T100" t="str">
        <v>ESPAÑA</v>
      </c>
      <c r="U100" t="str">
        <v/>
      </c>
      <c r="V100" t="str">
        <v>TFN</v>
      </c>
      <c r="W100" t="str">
        <v>10/02/2019</v>
      </c>
      <c r="X100">
        <v>189</v>
      </c>
      <c r="Y100" t="str">
        <v>Boeing 737-800 pax</v>
      </c>
    </row>
    <row r="101" spans="1:25" x14ac:dyDescent="0.25">
      <c r="A101" t="s">
        <v>1436</v>
      </c>
      <c r="B101" t="s">
        <v>0</v>
      </c>
      <c r="C101" t="s">
        <v>107</v>
      </c>
      <c r="D101" t="s">
        <v>108</v>
      </c>
      <c r="E101" t="s">
        <v>52</v>
      </c>
      <c r="F101" s="5">
        <v>43408</v>
      </c>
      <c r="G101" s="5">
        <v>43554</v>
      </c>
      <c r="H101" s="6">
        <v>0.64583333333333337</v>
      </c>
      <c r="I101" t="s">
        <v>14</v>
      </c>
      <c r="J101" t="s">
        <v>112</v>
      </c>
      <c r="K101" t="s">
        <v>38</v>
      </c>
      <c r="M101" t="s">
        <v>17</v>
      </c>
      <c r="N101" t="str">
        <v>Destino</v>
      </c>
      <c r="O101" t="str">
        <v>MADRID-BARAJAS ADOLFO SUÁREZ</v>
      </c>
      <c r="P101" t="str">
        <v>MAD</v>
      </c>
      <c r="Q101" t="str">
        <v>14:40:00</v>
      </c>
      <c r="R101" t="str">
        <v>73H</v>
      </c>
      <c r="S101" t="str">
        <v xml:space="preserve">  AEA9049</v>
      </c>
      <c r="T101" t="str">
        <v>ESPAÑA</v>
      </c>
      <c r="U101" t="str">
        <v/>
      </c>
      <c r="V101" t="str">
        <v>TFN</v>
      </c>
      <c r="W101" t="str">
        <v>09/02/2019</v>
      </c>
      <c r="X101">
        <v>189</v>
      </c>
      <c r="Y101" t="str">
        <v>Boeing 737-800 pax</v>
      </c>
    </row>
    <row r="102" spans="1:25" x14ac:dyDescent="0.25">
      <c r="A102" t="s">
        <v>1436</v>
      </c>
      <c r="B102" t="s">
        <v>0</v>
      </c>
      <c r="C102" t="s">
        <v>115</v>
      </c>
      <c r="D102" t="s">
        <v>116</v>
      </c>
      <c r="E102" t="s">
        <v>18</v>
      </c>
      <c r="F102" s="5">
        <v>43499</v>
      </c>
      <c r="G102" s="5">
        <v>43520</v>
      </c>
      <c r="H102" s="6">
        <v>0.2951388888888889</v>
      </c>
      <c r="I102" t="s">
        <v>14</v>
      </c>
      <c r="J102" t="s">
        <v>117</v>
      </c>
      <c r="K102" t="s">
        <v>38</v>
      </c>
      <c r="M102" t="s">
        <v>17</v>
      </c>
      <c r="N102" t="str">
        <v>Destino</v>
      </c>
      <c r="O102" t="str">
        <v>MADRID-BARAJAS ADOLFO SUÁREZ</v>
      </c>
      <c r="P102" t="str">
        <v>MAD</v>
      </c>
      <c r="Q102" t="str">
        <v>14:40:00</v>
      </c>
      <c r="R102" t="str">
        <v>73H</v>
      </c>
      <c r="S102" t="str">
        <v xml:space="preserve">  AEA9049</v>
      </c>
      <c r="T102" t="str">
        <v>ESPAÑA</v>
      </c>
      <c r="U102" t="str">
        <v/>
      </c>
      <c r="V102" t="str">
        <v>TFN</v>
      </c>
      <c r="W102" t="str">
        <v>06/02/2019</v>
      </c>
      <c r="X102">
        <v>189</v>
      </c>
      <c r="Y102" t="str">
        <v>Boeing 737-800 pax</v>
      </c>
    </row>
    <row r="103" spans="1:25" x14ac:dyDescent="0.25">
      <c r="A103" t="s">
        <v>1436</v>
      </c>
      <c r="B103" t="s">
        <v>0</v>
      </c>
      <c r="C103" t="s">
        <v>115</v>
      </c>
      <c r="D103" t="s">
        <v>116</v>
      </c>
      <c r="E103" t="s">
        <v>13</v>
      </c>
      <c r="F103" s="5">
        <v>43405</v>
      </c>
      <c r="G103" s="5">
        <v>43552</v>
      </c>
      <c r="H103" s="6">
        <v>0.50347222222222221</v>
      </c>
      <c r="I103" t="s">
        <v>14</v>
      </c>
      <c r="J103" t="s">
        <v>117</v>
      </c>
      <c r="K103" t="s">
        <v>38</v>
      </c>
      <c r="M103" t="s">
        <v>17</v>
      </c>
      <c r="N103" t="str">
        <v>Destino</v>
      </c>
      <c r="O103" t="str">
        <v>MADRID-BARAJAS ADOLFO SUÁREZ</v>
      </c>
      <c r="P103" t="str">
        <v>MAD</v>
      </c>
      <c r="Q103" t="str">
        <v>14:40:00</v>
      </c>
      <c r="R103" t="str">
        <v>73H</v>
      </c>
      <c r="S103" t="str">
        <v xml:space="preserve">  AEA9049</v>
      </c>
      <c r="T103" t="str">
        <v>ESPAÑA</v>
      </c>
      <c r="U103" t="str">
        <v/>
      </c>
      <c r="V103" t="str">
        <v>TFN</v>
      </c>
      <c r="W103" t="str">
        <v>04/02/2019</v>
      </c>
      <c r="X103">
        <v>189</v>
      </c>
      <c r="Y103" t="str">
        <v>Boeing 737-800 pax</v>
      </c>
    </row>
    <row r="104" spans="1:25" x14ac:dyDescent="0.25">
      <c r="A104" t="s">
        <v>1436</v>
      </c>
      <c r="B104" t="s">
        <v>0</v>
      </c>
      <c r="C104" t="s">
        <v>115</v>
      </c>
      <c r="D104" t="s">
        <v>116</v>
      </c>
      <c r="E104" t="s">
        <v>52</v>
      </c>
      <c r="F104" s="5">
        <v>43401</v>
      </c>
      <c r="G104" s="5">
        <v>43548</v>
      </c>
      <c r="H104" s="6">
        <v>0.60416666666666663</v>
      </c>
      <c r="I104" t="s">
        <v>14</v>
      </c>
      <c r="J104" t="s">
        <v>118</v>
      </c>
      <c r="K104" t="s">
        <v>38</v>
      </c>
      <c r="M104" t="s">
        <v>17</v>
      </c>
      <c r="N104" t="str">
        <v>Destino</v>
      </c>
      <c r="O104" t="str">
        <v>MADRID-BARAJAS ADOLFO SUÁREZ</v>
      </c>
      <c r="P104" t="str">
        <v>MAD</v>
      </c>
      <c r="Q104" t="str">
        <v>18:55:00</v>
      </c>
      <c r="R104" t="str">
        <v>73H</v>
      </c>
      <c r="S104" t="str">
        <v xml:space="preserve">  IBK6309</v>
      </c>
      <c r="T104" t="str">
        <v>ESPAÑA</v>
      </c>
      <c r="U104" t="str">
        <v/>
      </c>
      <c r="V104" t="str">
        <v>TFN</v>
      </c>
      <c r="W104" t="str">
        <v>08/02/2019</v>
      </c>
      <c r="X104">
        <v>189</v>
      </c>
      <c r="Y104" t="str">
        <v>Boeing 737-800 pax</v>
      </c>
    </row>
    <row r="105" spans="1:25" x14ac:dyDescent="0.25">
      <c r="A105" t="s">
        <v>1436</v>
      </c>
      <c r="B105" t="s">
        <v>0</v>
      </c>
      <c r="C105" t="s">
        <v>115</v>
      </c>
      <c r="D105" t="s">
        <v>116</v>
      </c>
      <c r="E105" t="s">
        <v>13</v>
      </c>
      <c r="F105" s="5">
        <v>43405</v>
      </c>
      <c r="G105" s="5">
        <v>43552</v>
      </c>
      <c r="H105" s="6">
        <v>0.61458333333333337</v>
      </c>
      <c r="I105" t="s">
        <v>14</v>
      </c>
      <c r="J105" t="s">
        <v>118</v>
      </c>
      <c r="K105" t="s">
        <v>38</v>
      </c>
      <c r="M105" t="s">
        <v>17</v>
      </c>
      <c r="N105" t="str">
        <v>Destino</v>
      </c>
      <c r="O105" t="str">
        <v>MADRID-BARAJAS ADOLFO SUÁREZ</v>
      </c>
      <c r="P105" t="str">
        <v>MAD</v>
      </c>
      <c r="Q105" t="str">
        <v>18:55:00</v>
      </c>
      <c r="R105" t="str">
        <v>73H</v>
      </c>
      <c r="S105" t="str">
        <v xml:space="preserve">  IBK6309</v>
      </c>
      <c r="T105" t="str">
        <v>ESPAÑA</v>
      </c>
      <c r="U105" t="str">
        <v/>
      </c>
      <c r="V105" t="str">
        <v>TFN</v>
      </c>
      <c r="W105" t="str">
        <v>04/02/2019</v>
      </c>
      <c r="X105">
        <v>189</v>
      </c>
      <c r="Y105" t="str">
        <v>Boeing 737-800 pax</v>
      </c>
    </row>
    <row r="106" spans="1:25" x14ac:dyDescent="0.25">
      <c r="A106" t="s">
        <v>1436</v>
      </c>
      <c r="B106" t="s">
        <v>0</v>
      </c>
      <c r="C106" t="s">
        <v>119</v>
      </c>
      <c r="D106" t="s">
        <v>120</v>
      </c>
      <c r="E106" t="s">
        <v>72</v>
      </c>
      <c r="F106" s="5">
        <v>43407</v>
      </c>
      <c r="G106" s="5">
        <v>43554</v>
      </c>
      <c r="H106" s="6">
        <v>0.45833333333333331</v>
      </c>
      <c r="I106" t="s">
        <v>14</v>
      </c>
      <c r="J106" t="s">
        <v>121</v>
      </c>
      <c r="K106" t="s">
        <v>16</v>
      </c>
      <c r="M106" t="s">
        <v>17</v>
      </c>
      <c r="N106" t="str">
        <v>Destino</v>
      </c>
      <c r="O106" t="str">
        <v>MADRID-BARAJAS ADOLFO SUÁREZ</v>
      </c>
      <c r="P106" t="str">
        <v>MAD</v>
      </c>
      <c r="Q106" t="str">
        <v>20:20:00</v>
      </c>
      <c r="R106" t="str">
        <v>73H</v>
      </c>
      <c r="S106" t="str">
        <v xml:space="preserve">  IBK6311</v>
      </c>
      <c r="T106" t="str">
        <v>ESPAÑA</v>
      </c>
      <c r="U106" t="str">
        <v/>
      </c>
      <c r="V106" t="str">
        <v>TFN</v>
      </c>
      <c r="W106" t="str">
        <v>09/02/2019</v>
      </c>
      <c r="X106">
        <v>189</v>
      </c>
      <c r="Y106" t="str">
        <v>Boeing 737-800 pax</v>
      </c>
    </row>
    <row r="107" spans="1:25" x14ac:dyDescent="0.25">
      <c r="A107" t="s">
        <v>1436</v>
      </c>
      <c r="B107" t="s">
        <v>0</v>
      </c>
      <c r="C107" t="s">
        <v>119</v>
      </c>
      <c r="D107" t="s">
        <v>120</v>
      </c>
      <c r="E107" t="s">
        <v>18</v>
      </c>
      <c r="F107" s="5">
        <v>43422</v>
      </c>
      <c r="G107" s="5">
        <v>43548</v>
      </c>
      <c r="H107" s="6">
        <v>0.57986111111111105</v>
      </c>
      <c r="I107" t="s">
        <v>14</v>
      </c>
      <c r="J107" t="s">
        <v>122</v>
      </c>
      <c r="K107" t="s">
        <v>16</v>
      </c>
      <c r="M107" t="s">
        <v>17</v>
      </c>
      <c r="N107" t="str">
        <v>Destino</v>
      </c>
      <c r="O107" t="str">
        <v>MADRID-BARAJAS ADOLFO SUÁREZ</v>
      </c>
      <c r="P107" t="str">
        <v>MAD</v>
      </c>
      <c r="Q107" t="str">
        <v>20:20:00</v>
      </c>
      <c r="R107" t="str">
        <v>73H</v>
      </c>
      <c r="S107" t="str">
        <v xml:space="preserve">  IBK6311</v>
      </c>
      <c r="T107" t="str">
        <v>ESPAÑA</v>
      </c>
      <c r="U107" t="str">
        <v/>
      </c>
      <c r="V107" t="str">
        <v>TFN</v>
      </c>
      <c r="W107" t="str">
        <v>07/02/2019</v>
      </c>
      <c r="X107">
        <v>189</v>
      </c>
      <c r="Y107" t="str">
        <v>Boeing 737-800 pax</v>
      </c>
    </row>
    <row r="108" spans="1:25" x14ac:dyDescent="0.25">
      <c r="A108" t="s">
        <v>1436</v>
      </c>
      <c r="B108" t="s">
        <v>0</v>
      </c>
      <c r="C108" t="s">
        <v>549</v>
      </c>
      <c r="D108" t="s">
        <v>550</v>
      </c>
      <c r="E108" t="s">
        <v>22</v>
      </c>
      <c r="F108" s="5">
        <v>43407</v>
      </c>
      <c r="G108" s="5">
        <v>43554</v>
      </c>
      <c r="H108" s="6">
        <v>0.77083333333333337</v>
      </c>
      <c r="I108" t="s">
        <v>14</v>
      </c>
      <c r="J108" t="s">
        <v>1452</v>
      </c>
      <c r="K108" t="s">
        <v>45</v>
      </c>
      <c r="M108" t="s">
        <v>17</v>
      </c>
      <c r="N108" t="str">
        <v>Destino</v>
      </c>
      <c r="O108" t="str">
        <v>MADRID-BARAJAS ADOLFO SUÁREZ</v>
      </c>
      <c r="P108" t="str">
        <v>MAD</v>
      </c>
      <c r="Q108" t="str">
        <v>20:55:00</v>
      </c>
      <c r="R108" t="str">
        <v>73H</v>
      </c>
      <c r="S108" t="str">
        <v xml:space="preserve">  IBK6311</v>
      </c>
      <c r="T108" t="str">
        <v>ESPAÑA</v>
      </c>
      <c r="U108" t="str">
        <v/>
      </c>
      <c r="V108" t="str">
        <v>TFN</v>
      </c>
      <c r="W108" t="str">
        <v>10/02/2019</v>
      </c>
      <c r="X108">
        <v>189</v>
      </c>
      <c r="Y108" t="str">
        <v>Boeing 737-800 pax</v>
      </c>
    </row>
    <row r="109" spans="1:25" x14ac:dyDescent="0.25">
      <c r="A109" t="s">
        <v>1436</v>
      </c>
      <c r="B109" t="s">
        <v>0</v>
      </c>
      <c r="C109" t="s">
        <v>123</v>
      </c>
      <c r="D109" t="s">
        <v>124</v>
      </c>
      <c r="E109" t="s">
        <v>18</v>
      </c>
      <c r="F109" s="5">
        <v>43408</v>
      </c>
      <c r="G109" s="5">
        <v>43548</v>
      </c>
      <c r="H109" s="6">
        <v>0.3888888888888889</v>
      </c>
      <c r="I109" t="s">
        <v>106</v>
      </c>
      <c r="J109" t="s">
        <v>127</v>
      </c>
      <c r="K109" t="s">
        <v>45</v>
      </c>
      <c r="M109" t="s">
        <v>17</v>
      </c>
      <c r="N109" t="str">
        <v>Destino</v>
      </c>
      <c r="O109" t="str">
        <v>MALAGA-COSTA DEL SOL</v>
      </c>
      <c r="P109" t="str">
        <v>AGP</v>
      </c>
      <c r="Q109" t="str">
        <v>19:45:00</v>
      </c>
      <c r="R109" t="str">
        <v>73H</v>
      </c>
      <c r="S109" t="str">
        <v xml:space="preserve">  AEA5403</v>
      </c>
      <c r="T109" t="str">
        <v>ESPAÑA</v>
      </c>
      <c r="U109" t="str">
        <v/>
      </c>
      <c r="V109" t="str">
        <v>TFN</v>
      </c>
      <c r="W109" t="str">
        <v>04/02/2019</v>
      </c>
      <c r="X109">
        <v>189</v>
      </c>
      <c r="Y109" t="str">
        <v>Boeing 737-800 pax</v>
      </c>
    </row>
    <row r="110" spans="1:25" x14ac:dyDescent="0.25">
      <c r="A110" t="s">
        <v>1436</v>
      </c>
      <c r="B110" t="s">
        <v>0</v>
      </c>
      <c r="C110" t="s">
        <v>123</v>
      </c>
      <c r="D110" t="s">
        <v>124</v>
      </c>
      <c r="E110" t="s">
        <v>18</v>
      </c>
      <c r="F110" s="5">
        <v>43401</v>
      </c>
      <c r="G110" s="5">
        <v>43548</v>
      </c>
      <c r="H110" s="6">
        <v>0.46180555555555558</v>
      </c>
      <c r="I110" t="s">
        <v>14</v>
      </c>
      <c r="J110" t="s">
        <v>125</v>
      </c>
      <c r="K110" t="s">
        <v>45</v>
      </c>
      <c r="M110" t="s">
        <v>17</v>
      </c>
      <c r="N110" t="str">
        <v>Destino</v>
      </c>
      <c r="O110" t="str">
        <v>MALAGA-COSTA DEL SOL</v>
      </c>
      <c r="P110" t="str">
        <v>AGP</v>
      </c>
      <c r="Q110" t="str">
        <v>21:10:00</v>
      </c>
      <c r="R110" t="str">
        <v>73H</v>
      </c>
      <c r="S110" t="str">
        <v xml:space="preserve">  AEA5403</v>
      </c>
      <c r="T110" t="str">
        <v>ESPAÑA</v>
      </c>
      <c r="U110" t="str">
        <v/>
      </c>
      <c r="V110" t="str">
        <v>TFN</v>
      </c>
      <c r="W110" t="str">
        <v>08/02/2019</v>
      </c>
      <c r="X110">
        <v>189</v>
      </c>
      <c r="Y110" t="str">
        <v>Boeing 737-800 pax</v>
      </c>
    </row>
    <row r="111" spans="1:25" x14ac:dyDescent="0.25">
      <c r="A111" t="s">
        <v>1436</v>
      </c>
      <c r="B111" t="s">
        <v>0</v>
      </c>
      <c r="C111" t="s">
        <v>123</v>
      </c>
      <c r="D111" t="s">
        <v>124</v>
      </c>
      <c r="E111" t="s">
        <v>20</v>
      </c>
      <c r="F111" s="5">
        <v>43467</v>
      </c>
      <c r="G111" s="5">
        <v>43551</v>
      </c>
      <c r="H111" s="6">
        <v>0.46875</v>
      </c>
      <c r="I111" t="s">
        <v>14</v>
      </c>
      <c r="J111" t="s">
        <v>125</v>
      </c>
      <c r="K111" t="s">
        <v>45</v>
      </c>
      <c r="M111" t="s">
        <v>17</v>
      </c>
      <c r="N111" t="str">
        <v>Destino</v>
      </c>
      <c r="O111" t="str">
        <v>SANTIAGO</v>
      </c>
      <c r="P111" t="str">
        <v>SCQ</v>
      </c>
      <c r="Q111" t="str">
        <v>08:05:00</v>
      </c>
      <c r="R111" t="str">
        <v>73H</v>
      </c>
      <c r="S111" t="str">
        <v xml:space="preserve">  AEA7143</v>
      </c>
      <c r="T111" t="str">
        <v>ESPAÑA</v>
      </c>
      <c r="U111" t="str">
        <v/>
      </c>
      <c r="V111" t="str">
        <v>TFN</v>
      </c>
      <c r="W111" t="str">
        <v>05/02/2019</v>
      </c>
      <c r="X111">
        <v>189</v>
      </c>
      <c r="Y111" t="str">
        <v>Boeing 737-800 pax</v>
      </c>
    </row>
    <row r="112" spans="1:25" x14ac:dyDescent="0.25">
      <c r="A112" t="s">
        <v>1436</v>
      </c>
      <c r="B112" t="s">
        <v>0</v>
      </c>
      <c r="C112" t="s">
        <v>123</v>
      </c>
      <c r="D112" t="s">
        <v>124</v>
      </c>
      <c r="E112" t="s">
        <v>48</v>
      </c>
      <c r="F112" s="5">
        <v>43511</v>
      </c>
      <c r="G112" s="5">
        <v>43553</v>
      </c>
      <c r="H112" s="6">
        <v>0.55555555555555558</v>
      </c>
      <c r="I112" t="s">
        <v>104</v>
      </c>
      <c r="J112" t="s">
        <v>126</v>
      </c>
      <c r="K112" t="s">
        <v>45</v>
      </c>
      <c r="M112" t="s">
        <v>17</v>
      </c>
      <c r="N112" t="str">
        <v>Destino</v>
      </c>
      <c r="O112" t="str">
        <v>SEVILLA</v>
      </c>
      <c r="P112" t="str">
        <v>SVQ</v>
      </c>
      <c r="Q112" t="str">
        <v>16:00:00</v>
      </c>
      <c r="R112" t="str">
        <v>73H</v>
      </c>
      <c r="S112" t="str">
        <v xml:space="preserve">  AEA5103</v>
      </c>
      <c r="T112" t="str">
        <v>ESPAÑA</v>
      </c>
      <c r="U112" t="str">
        <v/>
      </c>
      <c r="V112" t="str">
        <v>TFN</v>
      </c>
      <c r="W112" t="str">
        <v>04/02/2019</v>
      </c>
      <c r="X112">
        <v>189</v>
      </c>
      <c r="Y112" t="str">
        <v>Boeing 737-800 pax</v>
      </c>
    </row>
    <row r="113" spans="1:25" x14ac:dyDescent="0.25">
      <c r="A113" t="s">
        <v>1436</v>
      </c>
      <c r="B113" t="s">
        <v>0</v>
      </c>
      <c r="C113" t="s">
        <v>123</v>
      </c>
      <c r="D113" t="s">
        <v>124</v>
      </c>
      <c r="E113" t="s">
        <v>19</v>
      </c>
      <c r="F113" s="5">
        <v>43508</v>
      </c>
      <c r="G113" s="5">
        <v>43522</v>
      </c>
      <c r="H113" s="6">
        <v>0.65625</v>
      </c>
      <c r="I113" t="s">
        <v>39</v>
      </c>
      <c r="J113" t="s">
        <v>126</v>
      </c>
      <c r="K113" t="s">
        <v>45</v>
      </c>
      <c r="M113" t="s">
        <v>17</v>
      </c>
      <c r="N113" t="str">
        <v>Destino</v>
      </c>
      <c r="O113" t="str">
        <v>SEVILLA</v>
      </c>
      <c r="P113" t="str">
        <v>SVQ</v>
      </c>
      <c r="Q113" t="str">
        <v>16:05:00</v>
      </c>
      <c r="R113" t="str">
        <v>73H</v>
      </c>
      <c r="S113" t="str">
        <v xml:space="preserve">  AEA5103</v>
      </c>
      <c r="T113" t="str">
        <v>ESPAÑA</v>
      </c>
      <c r="U113" t="str">
        <v/>
      </c>
      <c r="V113" t="str">
        <v>TFN</v>
      </c>
      <c r="W113" t="str">
        <v>08/02/2019</v>
      </c>
      <c r="X113">
        <v>189</v>
      </c>
      <c r="Y113" t="str">
        <v>Boeing 737-800 pax</v>
      </c>
    </row>
    <row r="114" spans="1:25" x14ac:dyDescent="0.25">
      <c r="A114" t="s">
        <v>1436</v>
      </c>
      <c r="B114" t="s">
        <v>0</v>
      </c>
      <c r="C114" t="s">
        <v>123</v>
      </c>
      <c r="D114" t="s">
        <v>124</v>
      </c>
      <c r="E114" t="s">
        <v>20</v>
      </c>
      <c r="F114" s="5">
        <v>43509</v>
      </c>
      <c r="G114" s="5">
        <v>43530</v>
      </c>
      <c r="H114" s="6">
        <v>0.72916666666666663</v>
      </c>
      <c r="I114" t="s">
        <v>106</v>
      </c>
      <c r="J114" t="s">
        <v>1915</v>
      </c>
      <c r="K114" t="s">
        <v>45</v>
      </c>
      <c r="M114" t="s">
        <v>17</v>
      </c>
      <c r="N114" t="str">
        <v>Destino</v>
      </c>
      <c r="O114" t="str">
        <v>ASTURIAS</v>
      </c>
      <c r="P114" t="str">
        <v>OVD</v>
      </c>
      <c r="Q114" t="str">
        <v>09:20:00</v>
      </c>
      <c r="R114" t="str">
        <v>320</v>
      </c>
      <c r="S114" t="str">
        <v xml:space="preserve">  IBE3612</v>
      </c>
      <c r="T114" t="str">
        <v>ESPAÑA</v>
      </c>
      <c r="U114" t="str">
        <v/>
      </c>
      <c r="V114" t="str">
        <v>TFN</v>
      </c>
      <c r="W114" t="str">
        <v>07/02/2019</v>
      </c>
      <c r="X114">
        <v>180</v>
      </c>
      <c r="Y114" t="str">
        <v>Airbus A320-100/200</v>
      </c>
    </row>
    <row r="115" spans="1:25" x14ac:dyDescent="0.25">
      <c r="A115" t="s">
        <v>1436</v>
      </c>
      <c r="B115" t="s">
        <v>0</v>
      </c>
      <c r="C115" t="s">
        <v>130</v>
      </c>
      <c r="D115" t="s">
        <v>131</v>
      </c>
      <c r="E115" t="s">
        <v>650</v>
      </c>
      <c r="F115" s="5">
        <v>43404</v>
      </c>
      <c r="G115" s="5">
        <v>43551</v>
      </c>
      <c r="H115" s="6">
        <v>0.63194444444444442</v>
      </c>
      <c r="I115" t="s">
        <v>14</v>
      </c>
      <c r="J115" t="s">
        <v>133</v>
      </c>
      <c r="K115" t="s">
        <v>38</v>
      </c>
      <c r="M115" t="s">
        <v>17</v>
      </c>
      <c r="N115" t="str">
        <v>Destino</v>
      </c>
      <c r="O115" t="str">
        <v>ASTURIAS</v>
      </c>
      <c r="P115" t="str">
        <v>OVD</v>
      </c>
      <c r="Q115" t="str">
        <v>09:25:00</v>
      </c>
      <c r="R115" t="str">
        <v>320</v>
      </c>
      <c r="S115" t="str">
        <v xml:space="preserve">  IBE3612</v>
      </c>
      <c r="T115" t="str">
        <v>ESPAÑA</v>
      </c>
      <c r="U115" t="str">
        <v/>
      </c>
      <c r="V115" t="str">
        <v>TFN</v>
      </c>
      <c r="W115" t="str">
        <v>09/02/2019</v>
      </c>
      <c r="X115">
        <v>180</v>
      </c>
      <c r="Y115" t="str">
        <v>Airbus A320-100/200</v>
      </c>
    </row>
    <row r="116" spans="1:25" x14ac:dyDescent="0.25">
      <c r="A116" t="s">
        <v>1436</v>
      </c>
      <c r="B116" t="s">
        <v>0</v>
      </c>
      <c r="C116" t="s">
        <v>130</v>
      </c>
      <c r="D116" t="s">
        <v>131</v>
      </c>
      <c r="E116" t="s">
        <v>18</v>
      </c>
      <c r="F116" s="5">
        <v>43513</v>
      </c>
      <c r="G116" s="5">
        <v>43513</v>
      </c>
      <c r="H116" s="6">
        <v>0.64583333333333337</v>
      </c>
      <c r="I116" t="s">
        <v>39</v>
      </c>
      <c r="J116" t="s">
        <v>1234</v>
      </c>
      <c r="K116" t="s">
        <v>38</v>
      </c>
      <c r="M116" t="s">
        <v>17</v>
      </c>
      <c r="N116" t="str">
        <v>Destino</v>
      </c>
      <c r="O116" t="str">
        <v>ASTURIAS</v>
      </c>
      <c r="P116" t="str">
        <v>OVD</v>
      </c>
      <c r="Q116" t="str">
        <v>09:25:00</v>
      </c>
      <c r="R116" t="str">
        <v>320</v>
      </c>
      <c r="S116" t="str">
        <v xml:space="preserve">  IBE3612</v>
      </c>
      <c r="T116" t="str">
        <v>ESPAÑA</v>
      </c>
      <c r="U116" t="str">
        <v/>
      </c>
      <c r="V116" t="str">
        <v>TFN</v>
      </c>
      <c r="W116" t="str">
        <v>05/02/2019</v>
      </c>
      <c r="X116">
        <v>180</v>
      </c>
      <c r="Y116" t="str">
        <v>Airbus A320-100/200</v>
      </c>
    </row>
    <row r="117" spans="1:25" x14ac:dyDescent="0.25">
      <c r="A117" t="s">
        <v>1436</v>
      </c>
      <c r="B117" t="s">
        <v>0</v>
      </c>
      <c r="C117" t="s">
        <v>130</v>
      </c>
      <c r="D117" t="s">
        <v>131</v>
      </c>
      <c r="E117" t="s">
        <v>13</v>
      </c>
      <c r="F117" s="5">
        <v>43405</v>
      </c>
      <c r="G117" s="5">
        <v>43552</v>
      </c>
      <c r="H117" s="6">
        <v>0.65972222222222221</v>
      </c>
      <c r="I117" t="s">
        <v>39</v>
      </c>
      <c r="J117" t="s">
        <v>1453</v>
      </c>
      <c r="K117" t="s">
        <v>38</v>
      </c>
      <c r="M117" t="s">
        <v>17</v>
      </c>
      <c r="N117" t="str">
        <v>Destino</v>
      </c>
      <c r="O117" t="str">
        <v>BARCELONA-EL PRAT</v>
      </c>
      <c r="P117" t="str">
        <v>BCN</v>
      </c>
      <c r="Q117" t="str">
        <v>20:25:00</v>
      </c>
      <c r="R117" t="str">
        <v>320</v>
      </c>
      <c r="S117" t="str">
        <v xml:space="preserve">  VLG3209</v>
      </c>
      <c r="T117" t="str">
        <v>ESPAÑA</v>
      </c>
      <c r="U117" t="str">
        <v/>
      </c>
      <c r="V117" t="str">
        <v>TFN</v>
      </c>
      <c r="W117" t="str">
        <v>08/02/2019</v>
      </c>
      <c r="X117">
        <v>180</v>
      </c>
      <c r="Y117" t="str">
        <v>Airbus A320-100/200</v>
      </c>
    </row>
    <row r="118" spans="1:25" x14ac:dyDescent="0.25">
      <c r="A118" t="s">
        <v>1436</v>
      </c>
      <c r="B118" t="s">
        <v>0</v>
      </c>
      <c r="C118" t="s">
        <v>134</v>
      </c>
      <c r="D118" t="s">
        <v>135</v>
      </c>
      <c r="E118" t="s">
        <v>48</v>
      </c>
      <c r="F118" s="5">
        <v>43406</v>
      </c>
      <c r="G118" s="5">
        <v>43553</v>
      </c>
      <c r="H118" s="6">
        <v>0.79861111111111116</v>
      </c>
      <c r="I118" t="s">
        <v>14</v>
      </c>
      <c r="J118" t="s">
        <v>136</v>
      </c>
      <c r="K118" t="s">
        <v>38</v>
      </c>
      <c r="M118" t="s">
        <v>17</v>
      </c>
      <c r="N118" t="str">
        <v>Destino</v>
      </c>
      <c r="O118" t="str">
        <v>BARCELONA-EL PRAT</v>
      </c>
      <c r="P118" t="str">
        <v>BCN</v>
      </c>
      <c r="Q118" t="str">
        <v>20:25:00</v>
      </c>
      <c r="R118" t="str">
        <v>320</v>
      </c>
      <c r="S118" t="str">
        <v xml:space="preserve">  VLG3209</v>
      </c>
      <c r="T118" t="str">
        <v>ESPAÑA</v>
      </c>
      <c r="U118" t="str">
        <v/>
      </c>
      <c r="V118" t="str">
        <v>TFN</v>
      </c>
      <c r="W118" t="str">
        <v>10/02/2019</v>
      </c>
      <c r="X118">
        <v>180</v>
      </c>
      <c r="Y118" t="str">
        <v>Airbus A320-100/200</v>
      </c>
    </row>
    <row r="119" spans="1:25" x14ac:dyDescent="0.25">
      <c r="A119" t="s">
        <v>1436</v>
      </c>
      <c r="B119" t="s">
        <v>0</v>
      </c>
      <c r="C119" t="s">
        <v>134</v>
      </c>
      <c r="D119" t="s">
        <v>135</v>
      </c>
      <c r="E119" t="s">
        <v>59</v>
      </c>
      <c r="F119" s="5">
        <v>43472</v>
      </c>
      <c r="G119" s="5">
        <v>43549</v>
      </c>
      <c r="H119" s="6">
        <v>0.79861111111111116</v>
      </c>
      <c r="I119" t="s">
        <v>14</v>
      </c>
      <c r="J119" t="s">
        <v>136</v>
      </c>
      <c r="K119" t="s">
        <v>38</v>
      </c>
      <c r="M119" t="s">
        <v>17</v>
      </c>
      <c r="N119" t="str">
        <v>Destino</v>
      </c>
      <c r="O119" t="str">
        <v>BARCELONA-EL PRAT</v>
      </c>
      <c r="P119" t="str">
        <v>BCN</v>
      </c>
      <c r="Q119" t="str">
        <v>20:25:00</v>
      </c>
      <c r="R119" t="str">
        <v>320</v>
      </c>
      <c r="S119" t="str">
        <v xml:space="preserve">  VLG3209</v>
      </c>
      <c r="T119" t="str">
        <v>ESPAÑA</v>
      </c>
      <c r="U119" t="str">
        <v/>
      </c>
      <c r="V119" t="str">
        <v>TFN</v>
      </c>
      <c r="W119" t="str">
        <v>04/02/2019</v>
      </c>
      <c r="X119">
        <v>180</v>
      </c>
      <c r="Y119" t="str">
        <v>Airbus A320-100/200</v>
      </c>
    </row>
    <row r="120" spans="1:25" x14ac:dyDescent="0.25">
      <c r="A120" t="s">
        <v>1436</v>
      </c>
      <c r="B120" t="s">
        <v>0</v>
      </c>
      <c r="C120" t="s">
        <v>137</v>
      </c>
      <c r="D120" t="s">
        <v>138</v>
      </c>
      <c r="E120" t="s">
        <v>897</v>
      </c>
      <c r="F120" s="5">
        <v>43402</v>
      </c>
      <c r="G120" s="5">
        <v>43553</v>
      </c>
      <c r="H120" s="6">
        <v>0.29166666666666669</v>
      </c>
      <c r="I120" t="s">
        <v>139</v>
      </c>
      <c r="J120" t="s">
        <v>140</v>
      </c>
      <c r="K120" t="s">
        <v>25</v>
      </c>
      <c r="M120" t="s">
        <v>17</v>
      </c>
      <c r="N120" t="str">
        <v>Destino</v>
      </c>
      <c r="O120" t="str">
        <v>BILBAO</v>
      </c>
      <c r="P120" t="str">
        <v>BIO</v>
      </c>
      <c r="Q120" t="str">
        <v>09:35:00</v>
      </c>
      <c r="R120" t="str">
        <v>320</v>
      </c>
      <c r="S120" t="str">
        <v xml:space="preserve">  VLG3261</v>
      </c>
      <c r="T120" t="str">
        <v>ESPAÑA</v>
      </c>
      <c r="U120" t="str">
        <v/>
      </c>
      <c r="V120" t="str">
        <v>TFN</v>
      </c>
      <c r="W120" t="str">
        <v>09/02/2019</v>
      </c>
      <c r="X120">
        <v>180</v>
      </c>
      <c r="Y120" t="str">
        <v>Airbus A320-100/200</v>
      </c>
    </row>
    <row r="121" spans="1:25" x14ac:dyDescent="0.25">
      <c r="A121" t="s">
        <v>1436</v>
      </c>
      <c r="B121" t="s">
        <v>0</v>
      </c>
      <c r="C121" t="s">
        <v>137</v>
      </c>
      <c r="D121" t="s">
        <v>138</v>
      </c>
      <c r="E121" t="s">
        <v>19</v>
      </c>
      <c r="F121" s="5">
        <v>43480</v>
      </c>
      <c r="G121" s="5">
        <v>43550</v>
      </c>
      <c r="H121" s="6">
        <v>0.29166666666666669</v>
      </c>
      <c r="I121" t="s">
        <v>139</v>
      </c>
      <c r="J121" t="s">
        <v>140</v>
      </c>
      <c r="K121" t="s">
        <v>25</v>
      </c>
      <c r="M121" t="s">
        <v>17</v>
      </c>
      <c r="N121" t="str">
        <v>Destino</v>
      </c>
      <c r="O121" t="str">
        <v>BILBAO</v>
      </c>
      <c r="P121" t="str">
        <v>BIO</v>
      </c>
      <c r="Q121" t="str">
        <v>09:35:00</v>
      </c>
      <c r="R121" t="str">
        <v>320</v>
      </c>
      <c r="S121" t="str">
        <v xml:space="preserve">  VLG3261</v>
      </c>
      <c r="T121" t="str">
        <v>ESPAÑA</v>
      </c>
      <c r="U121" t="str">
        <v/>
      </c>
      <c r="V121" t="str">
        <v>TFN</v>
      </c>
      <c r="W121" t="str">
        <v>04/02/2019</v>
      </c>
      <c r="X121">
        <v>180</v>
      </c>
      <c r="Y121" t="str">
        <v>Airbus A320-100/200</v>
      </c>
    </row>
    <row r="122" spans="1:25" x14ac:dyDescent="0.25">
      <c r="A122" t="s">
        <v>1436</v>
      </c>
      <c r="B122" t="s">
        <v>0</v>
      </c>
      <c r="C122" t="s">
        <v>137</v>
      </c>
      <c r="D122" t="s">
        <v>138</v>
      </c>
      <c r="E122" t="s">
        <v>659</v>
      </c>
      <c r="F122" s="5">
        <v>43402</v>
      </c>
      <c r="G122" s="5">
        <v>43554</v>
      </c>
      <c r="H122" s="6">
        <v>0.34375</v>
      </c>
      <c r="I122" t="s">
        <v>141</v>
      </c>
      <c r="J122" t="s">
        <v>142</v>
      </c>
      <c r="K122" t="s">
        <v>25</v>
      </c>
      <c r="M122" t="s">
        <v>17</v>
      </c>
      <c r="N122" t="str">
        <v>Destino</v>
      </c>
      <c r="O122" t="str">
        <v>BILBAO</v>
      </c>
      <c r="P122" t="str">
        <v>BIO</v>
      </c>
      <c r="Q122" t="str">
        <v>09:35:00</v>
      </c>
      <c r="R122" t="str">
        <v>320</v>
      </c>
      <c r="S122" t="str">
        <v xml:space="preserve">  VLG3261</v>
      </c>
      <c r="T122" t="str">
        <v>ESPAÑA</v>
      </c>
      <c r="U122" t="str">
        <v/>
      </c>
      <c r="V122" t="str">
        <v>TFN</v>
      </c>
      <c r="W122" t="str">
        <v>08/02/2019</v>
      </c>
      <c r="X122">
        <v>180</v>
      </c>
      <c r="Y122" t="str">
        <v>Airbus A320-100/200</v>
      </c>
    </row>
    <row r="123" spans="1:25" x14ac:dyDescent="0.25">
      <c r="A123" t="s">
        <v>1436</v>
      </c>
      <c r="B123" t="s">
        <v>0</v>
      </c>
      <c r="C123" t="s">
        <v>137</v>
      </c>
      <c r="D123" t="s">
        <v>138</v>
      </c>
      <c r="E123" t="s">
        <v>673</v>
      </c>
      <c r="F123" s="5">
        <v>43454</v>
      </c>
      <c r="G123" s="5">
        <v>43553</v>
      </c>
      <c r="H123" s="6">
        <v>0.34375</v>
      </c>
      <c r="I123" t="s">
        <v>141</v>
      </c>
      <c r="J123" t="s">
        <v>142</v>
      </c>
      <c r="K123" t="s">
        <v>25</v>
      </c>
      <c r="M123" t="s">
        <v>17</v>
      </c>
      <c r="N123" t="str">
        <v>Destino</v>
      </c>
      <c r="O123" t="str">
        <v>BILBAO</v>
      </c>
      <c r="P123" t="str">
        <v>BIO</v>
      </c>
      <c r="Q123" t="str">
        <v>10:20:00</v>
      </c>
      <c r="R123" t="str">
        <v>320</v>
      </c>
      <c r="S123" t="str">
        <v xml:space="preserve">  VLG3261</v>
      </c>
      <c r="T123" t="str">
        <v>ESPAÑA</v>
      </c>
      <c r="U123" t="str">
        <v/>
      </c>
      <c r="V123" t="str">
        <v>TFN</v>
      </c>
      <c r="W123" t="str">
        <v>06/02/2019</v>
      </c>
      <c r="X123">
        <v>180</v>
      </c>
      <c r="Y123" t="str">
        <v>Airbus A320-100/200</v>
      </c>
    </row>
    <row r="124" spans="1:25" x14ac:dyDescent="0.25">
      <c r="A124" t="s">
        <v>1436</v>
      </c>
      <c r="B124" t="s">
        <v>0</v>
      </c>
      <c r="C124" t="s">
        <v>137</v>
      </c>
      <c r="D124" t="s">
        <v>138</v>
      </c>
      <c r="E124" t="s">
        <v>18</v>
      </c>
      <c r="F124" s="5">
        <v>43478</v>
      </c>
      <c r="G124" s="5">
        <v>43548</v>
      </c>
      <c r="H124" s="6">
        <v>0.34375</v>
      </c>
      <c r="I124" t="s">
        <v>141</v>
      </c>
      <c r="J124" t="s">
        <v>142</v>
      </c>
      <c r="K124" t="s">
        <v>25</v>
      </c>
      <c r="M124" t="s">
        <v>17</v>
      </c>
      <c r="N124" t="str">
        <v>Destino</v>
      </c>
      <c r="O124" t="str">
        <v>BILBAO</v>
      </c>
      <c r="P124" t="str">
        <v>BIO</v>
      </c>
      <c r="Q124" t="str">
        <v>18:10:00</v>
      </c>
      <c r="R124" t="str">
        <v>320</v>
      </c>
      <c r="S124" t="str">
        <v xml:space="preserve">  VLG3261</v>
      </c>
      <c r="T124" t="str">
        <v>ESPAÑA</v>
      </c>
      <c r="U124" t="str">
        <v/>
      </c>
      <c r="V124" t="str">
        <v>TFN</v>
      </c>
      <c r="W124" t="str">
        <v>10/02/2019</v>
      </c>
      <c r="X124">
        <v>180</v>
      </c>
      <c r="Y124" t="str">
        <v>Airbus A320-100/200</v>
      </c>
    </row>
    <row r="125" spans="1:25" x14ac:dyDescent="0.25">
      <c r="A125" t="s">
        <v>1436</v>
      </c>
      <c r="B125" t="s">
        <v>0</v>
      </c>
      <c r="C125" t="s">
        <v>137</v>
      </c>
      <c r="D125" t="s">
        <v>138</v>
      </c>
      <c r="E125" t="s">
        <v>19</v>
      </c>
      <c r="F125" s="5">
        <v>43487</v>
      </c>
      <c r="G125" s="5">
        <v>43522</v>
      </c>
      <c r="H125" s="6">
        <v>0.34375</v>
      </c>
      <c r="I125" t="s">
        <v>141</v>
      </c>
      <c r="J125" t="s">
        <v>142</v>
      </c>
      <c r="K125" t="s">
        <v>25</v>
      </c>
      <c r="M125" t="s">
        <v>17</v>
      </c>
      <c r="N125" t="str">
        <v>Destino</v>
      </c>
      <c r="O125" t="str">
        <v>BILBAO</v>
      </c>
      <c r="P125" t="str">
        <v>BIO</v>
      </c>
      <c r="Q125" t="str">
        <v>18:45:00</v>
      </c>
      <c r="R125" t="str">
        <v>320</v>
      </c>
      <c r="S125" t="str">
        <v xml:space="preserve">  VLG3261</v>
      </c>
      <c r="T125" t="str">
        <v>ESPAÑA</v>
      </c>
      <c r="U125" t="str">
        <v/>
      </c>
      <c r="V125" t="str">
        <v>TFN</v>
      </c>
      <c r="W125" t="str">
        <v>07/02/2019</v>
      </c>
      <c r="X125">
        <v>180</v>
      </c>
      <c r="Y125" t="str">
        <v>Airbus A320-100/200</v>
      </c>
    </row>
    <row r="126" spans="1:25" x14ac:dyDescent="0.25">
      <c r="A126" t="s">
        <v>1436</v>
      </c>
      <c r="B126" t="s">
        <v>0</v>
      </c>
      <c r="C126" t="s">
        <v>137</v>
      </c>
      <c r="D126" t="s">
        <v>138</v>
      </c>
      <c r="E126" t="s">
        <v>144</v>
      </c>
      <c r="F126" s="5">
        <v>43401</v>
      </c>
      <c r="G126" s="5">
        <v>43554</v>
      </c>
      <c r="H126" s="6">
        <v>0.3611111111111111</v>
      </c>
      <c r="I126" t="s">
        <v>139</v>
      </c>
      <c r="J126" t="s">
        <v>145</v>
      </c>
      <c r="K126" t="s">
        <v>25</v>
      </c>
      <c r="M126" t="s">
        <v>17</v>
      </c>
      <c r="N126" t="str">
        <v>Destino</v>
      </c>
      <c r="O126" t="str">
        <v>MADRID-BARAJAS ADOLFO SUÁREZ</v>
      </c>
      <c r="P126" t="str">
        <v>MAD</v>
      </c>
      <c r="Q126" t="str">
        <v>07:00:00</v>
      </c>
      <c r="R126" t="str">
        <v>320</v>
      </c>
      <c r="S126" t="str">
        <v xml:space="preserve">  IBE3945</v>
      </c>
      <c r="T126" t="str">
        <v>ESPAÑA</v>
      </c>
      <c r="U126" t="str">
        <v/>
      </c>
      <c r="V126" t="str">
        <v>TFN</v>
      </c>
      <c r="W126" t="str">
        <v>06/02/2019</v>
      </c>
      <c r="X126">
        <v>180</v>
      </c>
      <c r="Y126" t="str">
        <v>Airbus A320-100/200</v>
      </c>
    </row>
    <row r="127" spans="1:25" x14ac:dyDescent="0.25">
      <c r="A127" t="s">
        <v>1436</v>
      </c>
      <c r="B127" t="s">
        <v>0</v>
      </c>
      <c r="C127" t="s">
        <v>137</v>
      </c>
      <c r="D127" t="s">
        <v>138</v>
      </c>
      <c r="E127" t="s">
        <v>20</v>
      </c>
      <c r="F127" s="5">
        <v>43404</v>
      </c>
      <c r="G127" s="5">
        <v>43551</v>
      </c>
      <c r="H127" s="6">
        <v>0.36458333333333331</v>
      </c>
      <c r="I127" t="s">
        <v>139</v>
      </c>
      <c r="J127" t="s">
        <v>147</v>
      </c>
      <c r="K127" t="s">
        <v>25</v>
      </c>
      <c r="M127" t="s">
        <v>17</v>
      </c>
      <c r="N127" t="str">
        <v>Destino</v>
      </c>
      <c r="O127" t="str">
        <v>MADRID-BARAJAS ADOLFO SUÁREZ</v>
      </c>
      <c r="P127" t="str">
        <v>MAD</v>
      </c>
      <c r="Q127" t="str">
        <v>07:00:00</v>
      </c>
      <c r="R127" t="str">
        <v>320</v>
      </c>
      <c r="S127" t="str">
        <v xml:space="preserve">  IBE3945</v>
      </c>
      <c r="T127" t="str">
        <v>ESPAÑA</v>
      </c>
      <c r="U127" t="str">
        <v/>
      </c>
      <c r="V127" t="str">
        <v>TFN</v>
      </c>
      <c r="W127" t="str">
        <v>05/02/2019</v>
      </c>
      <c r="X127">
        <v>180</v>
      </c>
      <c r="Y127" t="str">
        <v>Airbus A320-100/200</v>
      </c>
    </row>
    <row r="128" spans="1:25" x14ac:dyDescent="0.25">
      <c r="A128" t="s">
        <v>1436</v>
      </c>
      <c r="B128" t="s">
        <v>0</v>
      </c>
      <c r="C128" t="s">
        <v>137</v>
      </c>
      <c r="D128" t="s">
        <v>138</v>
      </c>
      <c r="E128" t="s">
        <v>146</v>
      </c>
      <c r="F128" s="5">
        <v>43472</v>
      </c>
      <c r="G128" s="5">
        <v>43522</v>
      </c>
      <c r="H128" s="6">
        <v>0.36458333333333331</v>
      </c>
      <c r="I128" t="s">
        <v>139</v>
      </c>
      <c r="J128" t="s">
        <v>147</v>
      </c>
      <c r="K128" t="s">
        <v>25</v>
      </c>
      <c r="M128" t="s">
        <v>17</v>
      </c>
      <c r="N128" t="str">
        <v>Destino</v>
      </c>
      <c r="O128" t="str">
        <v>MADRID-BARAJAS ADOLFO SUÁREZ</v>
      </c>
      <c r="P128" t="str">
        <v>MAD</v>
      </c>
      <c r="Q128" t="str">
        <v>07:00:00</v>
      </c>
      <c r="R128" t="str">
        <v>320</v>
      </c>
      <c r="S128" t="str">
        <v xml:space="preserve">  IBE3945</v>
      </c>
      <c r="T128" t="str">
        <v>ESPAÑA</v>
      </c>
      <c r="U128" t="str">
        <v/>
      </c>
      <c r="V128" t="str">
        <v>TFN</v>
      </c>
      <c r="W128" t="str">
        <v>04/02/2019</v>
      </c>
      <c r="X128">
        <v>180</v>
      </c>
      <c r="Y128" t="str">
        <v>Airbus A320-100/200</v>
      </c>
    </row>
    <row r="129" spans="1:25" x14ac:dyDescent="0.25">
      <c r="A129" t="s">
        <v>1436</v>
      </c>
      <c r="B129" t="s">
        <v>0</v>
      </c>
      <c r="C129" t="s">
        <v>137</v>
      </c>
      <c r="D129" t="s">
        <v>138</v>
      </c>
      <c r="E129" t="s">
        <v>805</v>
      </c>
      <c r="F129" s="5">
        <v>43404</v>
      </c>
      <c r="G129" s="5">
        <v>43553</v>
      </c>
      <c r="H129" s="6">
        <v>0.39583333333333331</v>
      </c>
      <c r="I129" t="s">
        <v>139</v>
      </c>
      <c r="J129" t="s">
        <v>148</v>
      </c>
      <c r="K129" t="s">
        <v>25</v>
      </c>
      <c r="M129" t="s">
        <v>17</v>
      </c>
      <c r="N129" t="str">
        <v>Destino</v>
      </c>
      <c r="O129" t="str">
        <v>MADRID-BARAJAS ADOLFO SUÁREZ</v>
      </c>
      <c r="P129" t="str">
        <v>MAD</v>
      </c>
      <c r="Q129" t="str">
        <v>07:00:00</v>
      </c>
      <c r="R129" t="str">
        <v>320</v>
      </c>
      <c r="S129" t="str">
        <v xml:space="preserve">  IBE3945</v>
      </c>
      <c r="T129" t="str">
        <v>ESPAÑA</v>
      </c>
      <c r="U129" t="str">
        <v/>
      </c>
      <c r="V129" t="str">
        <v>TFN</v>
      </c>
      <c r="W129" t="str">
        <v>08/02/2019</v>
      </c>
      <c r="X129">
        <v>180</v>
      </c>
      <c r="Y129" t="str">
        <v>Airbus A320-100/200</v>
      </c>
    </row>
    <row r="130" spans="1:25" x14ac:dyDescent="0.25">
      <c r="A130" t="s">
        <v>1436</v>
      </c>
      <c r="B130" t="s">
        <v>0</v>
      </c>
      <c r="C130" t="s">
        <v>137</v>
      </c>
      <c r="D130" t="s">
        <v>138</v>
      </c>
      <c r="E130" t="s">
        <v>755</v>
      </c>
      <c r="F130" s="5">
        <v>43472</v>
      </c>
      <c r="G130" s="5">
        <v>43554</v>
      </c>
      <c r="H130" s="6">
        <v>0.39583333333333331</v>
      </c>
      <c r="I130" t="s">
        <v>139</v>
      </c>
      <c r="J130" t="s">
        <v>148</v>
      </c>
      <c r="K130" t="s">
        <v>25</v>
      </c>
      <c r="M130" t="s">
        <v>17</v>
      </c>
      <c r="N130" t="str">
        <v>Destino</v>
      </c>
      <c r="O130" t="str">
        <v>MADRID-BARAJAS ADOLFO SUÁREZ</v>
      </c>
      <c r="P130" t="str">
        <v>MAD</v>
      </c>
      <c r="Q130" t="str">
        <v>07:00:00</v>
      </c>
      <c r="R130" t="str">
        <v>320</v>
      </c>
      <c r="S130" t="str">
        <v xml:space="preserve">  IBE3945</v>
      </c>
      <c r="T130" t="str">
        <v>ESPAÑA</v>
      </c>
      <c r="U130" t="str">
        <v/>
      </c>
      <c r="V130" t="str">
        <v>TFN</v>
      </c>
      <c r="W130" t="str">
        <v>07/02/2019</v>
      </c>
      <c r="X130">
        <v>180</v>
      </c>
      <c r="Y130" t="str">
        <v>Airbus A320-100/200</v>
      </c>
    </row>
    <row r="131" spans="1:25" x14ac:dyDescent="0.25">
      <c r="A131" t="s">
        <v>1436</v>
      </c>
      <c r="B131" t="s">
        <v>0</v>
      </c>
      <c r="C131" t="s">
        <v>137</v>
      </c>
      <c r="D131" t="s">
        <v>138</v>
      </c>
      <c r="E131" t="s">
        <v>22</v>
      </c>
      <c r="F131" s="5">
        <v>43477</v>
      </c>
      <c r="G131" s="5">
        <v>43519</v>
      </c>
      <c r="H131" s="6">
        <v>0.41666666666666669</v>
      </c>
      <c r="I131" t="s">
        <v>139</v>
      </c>
      <c r="J131" t="s">
        <v>149</v>
      </c>
      <c r="K131" t="s">
        <v>25</v>
      </c>
      <c r="M131" t="s">
        <v>17</v>
      </c>
      <c r="N131" t="str">
        <v>Destino</v>
      </c>
      <c r="O131" t="str">
        <v>MADRID-BARAJAS ADOLFO SUÁREZ</v>
      </c>
      <c r="P131" t="str">
        <v>MAD</v>
      </c>
      <c r="Q131" t="str">
        <v>07:00:00</v>
      </c>
      <c r="R131" t="str">
        <v>320</v>
      </c>
      <c r="S131" t="str">
        <v xml:space="preserve">  IBE3945</v>
      </c>
      <c r="T131" t="str">
        <v>ESPAÑA</v>
      </c>
      <c r="U131" t="str">
        <v/>
      </c>
      <c r="V131" t="str">
        <v>TFN</v>
      </c>
      <c r="W131" t="str">
        <v>10/02/2019</v>
      </c>
      <c r="X131">
        <v>180</v>
      </c>
      <c r="Y131" t="str">
        <v>Airbus A320-100/200</v>
      </c>
    </row>
    <row r="132" spans="1:25" x14ac:dyDescent="0.25">
      <c r="A132" t="s">
        <v>1436</v>
      </c>
      <c r="B132" t="s">
        <v>0</v>
      </c>
      <c r="C132" t="s">
        <v>137</v>
      </c>
      <c r="D132" t="s">
        <v>138</v>
      </c>
      <c r="E132" t="s">
        <v>805</v>
      </c>
      <c r="F132" s="5">
        <v>43404</v>
      </c>
      <c r="G132" s="5">
        <v>43553</v>
      </c>
      <c r="H132" s="6">
        <v>0.44097222222222227</v>
      </c>
      <c r="I132" t="s">
        <v>139</v>
      </c>
      <c r="J132" t="s">
        <v>152</v>
      </c>
      <c r="K132" t="s">
        <v>25</v>
      </c>
      <c r="M132" t="s">
        <v>17</v>
      </c>
      <c r="N132" t="str">
        <v>Destino</v>
      </c>
      <c r="O132" t="str">
        <v>MADRID-BARAJAS ADOLFO SUÁREZ</v>
      </c>
      <c r="P132" t="str">
        <v>MAD</v>
      </c>
      <c r="Q132" t="str">
        <v>07:00:00</v>
      </c>
      <c r="R132" t="str">
        <v>320</v>
      </c>
      <c r="S132" t="str">
        <v xml:space="preserve">  IBE3945</v>
      </c>
      <c r="T132" t="str">
        <v>ESPAÑA</v>
      </c>
      <c r="U132" t="str">
        <v/>
      </c>
      <c r="V132" t="str">
        <v>TFN</v>
      </c>
      <c r="W132" t="str">
        <v>09/02/2019</v>
      </c>
      <c r="X132">
        <v>180</v>
      </c>
      <c r="Y132" t="str">
        <v>Airbus A320-100/200</v>
      </c>
    </row>
    <row r="133" spans="1:25" x14ac:dyDescent="0.25">
      <c r="A133" t="s">
        <v>1436</v>
      </c>
      <c r="B133" t="s">
        <v>0</v>
      </c>
      <c r="C133" t="s">
        <v>137</v>
      </c>
      <c r="D133" t="s">
        <v>138</v>
      </c>
      <c r="E133" t="s">
        <v>875</v>
      </c>
      <c r="F133" s="5">
        <v>43471</v>
      </c>
      <c r="G133" s="5">
        <v>43550</v>
      </c>
      <c r="H133" s="6">
        <v>0.44097222222222227</v>
      </c>
      <c r="I133" t="s">
        <v>139</v>
      </c>
      <c r="J133" t="s">
        <v>152</v>
      </c>
      <c r="K133" t="s">
        <v>25</v>
      </c>
      <c r="M133" t="s">
        <v>17</v>
      </c>
      <c r="N133" t="str">
        <v>Destino</v>
      </c>
      <c r="O133" t="str">
        <v>MADRID-BARAJAS ADOLFO SUÁREZ</v>
      </c>
      <c r="P133" t="str">
        <v>MAD</v>
      </c>
      <c r="Q133" t="str">
        <v>11:10:00</v>
      </c>
      <c r="R133" t="str">
        <v>320</v>
      </c>
      <c r="S133" t="str">
        <v xml:space="preserve">  IBE3943</v>
      </c>
      <c r="T133" t="str">
        <v>ESPAÑA</v>
      </c>
      <c r="U133" t="str">
        <v/>
      </c>
      <c r="V133" t="str">
        <v>TFN</v>
      </c>
      <c r="W133" t="str">
        <v>06/02/2019</v>
      </c>
      <c r="X133">
        <v>180</v>
      </c>
      <c r="Y133" t="str">
        <v>Airbus A320-100/200</v>
      </c>
    </row>
    <row r="134" spans="1:25" x14ac:dyDescent="0.25">
      <c r="A134" t="s">
        <v>1436</v>
      </c>
      <c r="B134" t="s">
        <v>0</v>
      </c>
      <c r="C134" t="s">
        <v>137</v>
      </c>
      <c r="D134" t="s">
        <v>138</v>
      </c>
      <c r="E134" t="s">
        <v>163</v>
      </c>
      <c r="F134" s="5">
        <v>43402</v>
      </c>
      <c r="G134" s="5">
        <v>43552</v>
      </c>
      <c r="H134" s="6">
        <v>0.44791666666666669</v>
      </c>
      <c r="I134" t="s">
        <v>139</v>
      </c>
      <c r="J134" t="s">
        <v>153</v>
      </c>
      <c r="K134" t="s">
        <v>25</v>
      </c>
      <c r="M134" t="s">
        <v>17</v>
      </c>
      <c r="N134" t="str">
        <v>Destino</v>
      </c>
      <c r="O134" t="str">
        <v>MADRID-BARAJAS ADOLFO SUÁREZ</v>
      </c>
      <c r="P134" t="str">
        <v>MAD</v>
      </c>
      <c r="Q134" t="str">
        <v>11:10:00</v>
      </c>
      <c r="R134" t="str">
        <v>320</v>
      </c>
      <c r="S134" t="str">
        <v xml:space="preserve">  IBE3943</v>
      </c>
      <c r="T134" t="str">
        <v>ESPAÑA</v>
      </c>
      <c r="U134" t="str">
        <v/>
      </c>
      <c r="V134" t="str">
        <v>TFN</v>
      </c>
      <c r="W134" t="str">
        <v>05/02/2019</v>
      </c>
      <c r="X134">
        <v>180</v>
      </c>
      <c r="Y134" t="str">
        <v>Airbus A320-100/200</v>
      </c>
    </row>
    <row r="135" spans="1:25" x14ac:dyDescent="0.25">
      <c r="A135" t="s">
        <v>1436</v>
      </c>
      <c r="B135" t="s">
        <v>0</v>
      </c>
      <c r="C135" t="s">
        <v>137</v>
      </c>
      <c r="D135" t="s">
        <v>138</v>
      </c>
      <c r="E135" t="s">
        <v>18</v>
      </c>
      <c r="F135" s="5">
        <v>43478</v>
      </c>
      <c r="G135" s="5">
        <v>43548</v>
      </c>
      <c r="H135" s="6">
        <v>0.44791666666666669</v>
      </c>
      <c r="I135" t="s">
        <v>139</v>
      </c>
      <c r="J135" t="s">
        <v>148</v>
      </c>
      <c r="K135" t="s">
        <v>25</v>
      </c>
      <c r="M135" t="s">
        <v>17</v>
      </c>
      <c r="N135" t="str">
        <v>Destino</v>
      </c>
      <c r="O135" t="str">
        <v>MADRID-BARAJAS ADOLFO SUÁREZ</v>
      </c>
      <c r="P135" t="str">
        <v>MAD</v>
      </c>
      <c r="Q135" t="str">
        <v>11:10:00</v>
      </c>
      <c r="R135" t="str">
        <v>320</v>
      </c>
      <c r="S135" t="str">
        <v xml:space="preserve">  IBE3943</v>
      </c>
      <c r="T135" t="str">
        <v>ESPAÑA</v>
      </c>
      <c r="U135" t="str">
        <v/>
      </c>
      <c r="V135" t="str">
        <v>TFN</v>
      </c>
      <c r="W135" t="str">
        <v>04/02/2019</v>
      </c>
      <c r="X135">
        <v>180</v>
      </c>
      <c r="Y135" t="str">
        <v>Airbus A320-100/200</v>
      </c>
    </row>
    <row r="136" spans="1:25" x14ac:dyDescent="0.25">
      <c r="A136" t="s">
        <v>1436</v>
      </c>
      <c r="B136" t="s">
        <v>0</v>
      </c>
      <c r="C136" t="s">
        <v>137</v>
      </c>
      <c r="D136" t="s">
        <v>138</v>
      </c>
      <c r="E136" t="s">
        <v>19</v>
      </c>
      <c r="F136" s="5">
        <v>43487</v>
      </c>
      <c r="G136" s="5">
        <v>43522</v>
      </c>
      <c r="H136" s="6">
        <v>0.44791666666666669</v>
      </c>
      <c r="I136" t="s">
        <v>139</v>
      </c>
      <c r="J136" t="s">
        <v>153</v>
      </c>
      <c r="K136" t="s">
        <v>25</v>
      </c>
      <c r="M136" t="s">
        <v>17</v>
      </c>
      <c r="N136" t="str">
        <v>Destino</v>
      </c>
      <c r="O136" t="str">
        <v>MADRID-BARAJAS ADOLFO SUÁREZ</v>
      </c>
      <c r="P136" t="str">
        <v>MAD</v>
      </c>
      <c r="Q136" t="str">
        <v>11:10:00</v>
      </c>
      <c r="R136" t="str">
        <v>320</v>
      </c>
      <c r="S136" t="str">
        <v xml:space="preserve">  IBE3943</v>
      </c>
      <c r="T136" t="str">
        <v>ESPAÑA</v>
      </c>
      <c r="U136" t="str">
        <v/>
      </c>
      <c r="V136" t="str">
        <v>TFN</v>
      </c>
      <c r="W136" t="str">
        <v>08/02/2019</v>
      </c>
      <c r="X136">
        <v>180</v>
      </c>
      <c r="Y136" t="str">
        <v>Airbus A320-100/200</v>
      </c>
    </row>
    <row r="137" spans="1:25" x14ac:dyDescent="0.25">
      <c r="A137" t="s">
        <v>1436</v>
      </c>
      <c r="B137" t="s">
        <v>0</v>
      </c>
      <c r="C137" t="s">
        <v>137</v>
      </c>
      <c r="D137" t="s">
        <v>138</v>
      </c>
      <c r="E137" t="s">
        <v>155</v>
      </c>
      <c r="F137" s="5">
        <v>43473</v>
      </c>
      <c r="G137" s="5">
        <v>43553</v>
      </c>
      <c r="H137" s="6">
        <v>0.46875</v>
      </c>
      <c r="I137" t="s">
        <v>139</v>
      </c>
      <c r="J137" t="s">
        <v>156</v>
      </c>
      <c r="K137" t="s">
        <v>25</v>
      </c>
      <c r="M137" t="s">
        <v>17</v>
      </c>
      <c r="N137" t="str">
        <v>Destino</v>
      </c>
      <c r="O137" t="str">
        <v>MADRID-BARAJAS ADOLFO SUÁREZ</v>
      </c>
      <c r="P137" t="str">
        <v>MAD</v>
      </c>
      <c r="Q137" t="str">
        <v>11:10:00</v>
      </c>
      <c r="R137" t="str">
        <v>320</v>
      </c>
      <c r="S137" t="str">
        <v xml:space="preserve">  IBE3943</v>
      </c>
      <c r="T137" t="str">
        <v>ESPAÑA</v>
      </c>
      <c r="U137" t="str">
        <v/>
      </c>
      <c r="V137" t="str">
        <v>TFN</v>
      </c>
      <c r="W137" t="str">
        <v>07/02/2019</v>
      </c>
      <c r="X137">
        <v>180</v>
      </c>
      <c r="Y137" t="str">
        <v>Airbus A320-100/200</v>
      </c>
    </row>
    <row r="138" spans="1:25" x14ac:dyDescent="0.25">
      <c r="A138" t="s">
        <v>1436</v>
      </c>
      <c r="B138" t="s">
        <v>0</v>
      </c>
      <c r="C138" t="s">
        <v>137</v>
      </c>
      <c r="D138" t="s">
        <v>138</v>
      </c>
      <c r="E138" t="s">
        <v>22</v>
      </c>
      <c r="F138" s="5">
        <v>43407</v>
      </c>
      <c r="G138" s="5">
        <v>43554</v>
      </c>
      <c r="H138" s="6">
        <v>0.4861111111111111</v>
      </c>
      <c r="I138" t="s">
        <v>139</v>
      </c>
      <c r="J138" t="s">
        <v>152</v>
      </c>
      <c r="K138" t="s">
        <v>25</v>
      </c>
      <c r="M138" t="s">
        <v>17</v>
      </c>
      <c r="N138" t="str">
        <v>Destino</v>
      </c>
      <c r="O138" t="str">
        <v>MADRID-BARAJAS ADOLFO SUÁREZ</v>
      </c>
      <c r="P138" t="str">
        <v>MAD</v>
      </c>
      <c r="Q138" t="str">
        <v>11:10:00</v>
      </c>
      <c r="R138" t="str">
        <v>320</v>
      </c>
      <c r="S138" t="str">
        <v xml:space="preserve">  IBE3943</v>
      </c>
      <c r="T138" t="str">
        <v>ESPAÑA</v>
      </c>
      <c r="U138" t="str">
        <v/>
      </c>
      <c r="V138" t="str">
        <v>TFN</v>
      </c>
      <c r="W138" t="str">
        <v>10/02/2019</v>
      </c>
      <c r="X138">
        <v>180</v>
      </c>
      <c r="Y138" t="str">
        <v>Airbus A320-100/200</v>
      </c>
    </row>
    <row r="139" spans="1:25" x14ac:dyDescent="0.25">
      <c r="A139" t="s">
        <v>1436</v>
      </c>
      <c r="B139" t="s">
        <v>0</v>
      </c>
      <c r="C139" t="s">
        <v>137</v>
      </c>
      <c r="D139" t="s">
        <v>138</v>
      </c>
      <c r="E139" t="s">
        <v>132</v>
      </c>
      <c r="F139" s="5">
        <v>43404</v>
      </c>
      <c r="G139" s="5">
        <v>43553</v>
      </c>
      <c r="H139" s="6">
        <v>0.5</v>
      </c>
      <c r="I139" t="s">
        <v>139</v>
      </c>
      <c r="J139" t="s">
        <v>157</v>
      </c>
      <c r="K139" t="s">
        <v>25</v>
      </c>
      <c r="M139" t="s">
        <v>17</v>
      </c>
      <c r="N139" t="str">
        <v>Destino</v>
      </c>
      <c r="O139" t="str">
        <v>MADRID-BARAJAS ADOLFO SUÁREZ</v>
      </c>
      <c r="P139" t="str">
        <v>MAD</v>
      </c>
      <c r="Q139" t="str">
        <v>11:10:00</v>
      </c>
      <c r="R139" t="str">
        <v>320</v>
      </c>
      <c r="S139" t="str">
        <v xml:space="preserve">  IBE3943</v>
      </c>
      <c r="T139" t="str">
        <v>ESPAÑA</v>
      </c>
      <c r="U139" t="str">
        <v/>
      </c>
      <c r="V139" t="str">
        <v>TFN</v>
      </c>
      <c r="W139" t="str">
        <v>09/02/2019</v>
      </c>
      <c r="X139">
        <v>180</v>
      </c>
      <c r="Y139" t="str">
        <v>Airbus A320-100/200</v>
      </c>
    </row>
    <row r="140" spans="1:25" x14ac:dyDescent="0.25">
      <c r="A140" t="s">
        <v>1436</v>
      </c>
      <c r="B140" t="s">
        <v>0</v>
      </c>
      <c r="C140" t="s">
        <v>137</v>
      </c>
      <c r="D140" t="s">
        <v>138</v>
      </c>
      <c r="E140" t="s">
        <v>59</v>
      </c>
      <c r="F140" s="5">
        <v>43465</v>
      </c>
      <c r="G140" s="5">
        <v>43521</v>
      </c>
      <c r="H140" s="6">
        <v>0.5</v>
      </c>
      <c r="I140" t="s">
        <v>139</v>
      </c>
      <c r="J140" t="s">
        <v>157</v>
      </c>
      <c r="K140" t="s">
        <v>25</v>
      </c>
      <c r="M140" t="s">
        <v>17</v>
      </c>
      <c r="N140" t="str">
        <v>Destino</v>
      </c>
      <c r="O140" t="str">
        <v>MADRID-BARAJAS ADOLFO SUÁREZ</v>
      </c>
      <c r="P140" t="str">
        <v>MAD</v>
      </c>
      <c r="Q140" t="str">
        <v>13:55:00</v>
      </c>
      <c r="R140" t="str">
        <v>320</v>
      </c>
      <c r="S140" t="str">
        <v xml:space="preserve">  IBE3937</v>
      </c>
      <c r="T140" t="str">
        <v>ESPAÑA</v>
      </c>
      <c r="U140" t="str">
        <v/>
      </c>
      <c r="V140" t="str">
        <v>TFN</v>
      </c>
      <c r="W140" t="str">
        <v>04/02/2019</v>
      </c>
      <c r="X140">
        <v>180</v>
      </c>
      <c r="Y140" t="str">
        <v>Airbus A320-100/200</v>
      </c>
    </row>
    <row r="141" spans="1:25" x14ac:dyDescent="0.25">
      <c r="A141" t="s">
        <v>1436</v>
      </c>
      <c r="B141" t="s">
        <v>0</v>
      </c>
      <c r="C141" t="s">
        <v>137</v>
      </c>
      <c r="D141" t="s">
        <v>138</v>
      </c>
      <c r="E141" t="s">
        <v>19</v>
      </c>
      <c r="F141" s="5">
        <v>43466</v>
      </c>
      <c r="G141" s="5">
        <v>43550</v>
      </c>
      <c r="H141" s="6">
        <v>0.5</v>
      </c>
      <c r="I141" t="s">
        <v>139</v>
      </c>
      <c r="J141" t="s">
        <v>157</v>
      </c>
      <c r="K141" t="s">
        <v>25</v>
      </c>
      <c r="M141" t="s">
        <v>17</v>
      </c>
      <c r="N141" t="str">
        <v>Destino</v>
      </c>
      <c r="O141" t="str">
        <v>MADRID-BARAJAS ADOLFO SUÁREZ</v>
      </c>
      <c r="P141" t="str">
        <v>MAD</v>
      </c>
      <c r="Q141" t="str">
        <v>13:55:00</v>
      </c>
      <c r="R141" t="str">
        <v>320</v>
      </c>
      <c r="S141" t="str">
        <v xml:space="preserve">  IBE3937</v>
      </c>
      <c r="T141" t="str">
        <v>ESPAÑA</v>
      </c>
      <c r="U141" t="str">
        <v/>
      </c>
      <c r="V141" t="str">
        <v>TFN</v>
      </c>
      <c r="W141" t="str">
        <v>08/02/2019</v>
      </c>
      <c r="X141">
        <v>180</v>
      </c>
      <c r="Y141" t="str">
        <v>Airbus A320-100/200</v>
      </c>
    </row>
    <row r="142" spans="1:25" x14ac:dyDescent="0.25">
      <c r="A142" t="s">
        <v>1436</v>
      </c>
      <c r="B142" t="s">
        <v>0</v>
      </c>
      <c r="C142" t="s">
        <v>137</v>
      </c>
      <c r="D142" t="s">
        <v>138</v>
      </c>
      <c r="E142" t="s">
        <v>13</v>
      </c>
      <c r="F142" s="5">
        <v>43405</v>
      </c>
      <c r="G142" s="5">
        <v>43552</v>
      </c>
      <c r="H142" s="6">
        <v>0.50347222222222221</v>
      </c>
      <c r="I142" t="s">
        <v>139</v>
      </c>
      <c r="J142" t="s">
        <v>157</v>
      </c>
      <c r="K142" t="s">
        <v>25</v>
      </c>
      <c r="M142" t="s">
        <v>17</v>
      </c>
      <c r="N142" t="str">
        <v>Destino</v>
      </c>
      <c r="O142" t="str">
        <v>MADRID-BARAJAS ADOLFO SUÁREZ</v>
      </c>
      <c r="P142" t="str">
        <v>MAD</v>
      </c>
      <c r="Q142" t="str">
        <v>13:55:00</v>
      </c>
      <c r="R142" t="str">
        <v>320</v>
      </c>
      <c r="S142" t="str">
        <v xml:space="preserve">  IBE3937</v>
      </c>
      <c r="T142" t="str">
        <v>ESPAÑA</v>
      </c>
      <c r="U142" t="str">
        <v/>
      </c>
      <c r="V142" t="str">
        <v>TFN</v>
      </c>
      <c r="W142" t="str">
        <v>07/02/2019</v>
      </c>
      <c r="X142">
        <v>180</v>
      </c>
      <c r="Y142" t="str">
        <v>Airbus A320-100/200</v>
      </c>
    </row>
    <row r="143" spans="1:25" x14ac:dyDescent="0.25">
      <c r="A143" t="s">
        <v>1436</v>
      </c>
      <c r="B143" t="s">
        <v>0</v>
      </c>
      <c r="C143" t="s">
        <v>137</v>
      </c>
      <c r="D143" t="s">
        <v>138</v>
      </c>
      <c r="E143" t="s">
        <v>59</v>
      </c>
      <c r="F143" s="5">
        <v>43472</v>
      </c>
      <c r="G143" s="5">
        <v>43549</v>
      </c>
      <c r="H143" s="6">
        <v>0.55208333333333337</v>
      </c>
      <c r="I143" t="s">
        <v>139</v>
      </c>
      <c r="J143" t="s">
        <v>150</v>
      </c>
      <c r="K143" t="s">
        <v>25</v>
      </c>
      <c r="M143" t="s">
        <v>17</v>
      </c>
      <c r="N143" t="str">
        <v>Destino</v>
      </c>
      <c r="O143" t="str">
        <v>MADRID-BARAJAS ADOLFO SUÁREZ</v>
      </c>
      <c r="P143" t="str">
        <v>MAD</v>
      </c>
      <c r="Q143" t="str">
        <v>13:55:00</v>
      </c>
      <c r="R143" t="str">
        <v>320</v>
      </c>
      <c r="S143" t="str">
        <v xml:space="preserve">  IBE3937</v>
      </c>
      <c r="T143" t="str">
        <v>ESPAÑA</v>
      </c>
      <c r="U143" t="str">
        <v/>
      </c>
      <c r="V143" t="str">
        <v>TFN</v>
      </c>
      <c r="W143" t="str">
        <v>10/02/2019</v>
      </c>
      <c r="X143">
        <v>180</v>
      </c>
      <c r="Y143" t="str">
        <v>Airbus A320-100/200</v>
      </c>
    </row>
    <row r="144" spans="1:25" x14ac:dyDescent="0.25">
      <c r="A144" t="s">
        <v>1436</v>
      </c>
      <c r="B144" t="s">
        <v>0</v>
      </c>
      <c r="C144" t="s">
        <v>137</v>
      </c>
      <c r="D144" t="s">
        <v>138</v>
      </c>
      <c r="E144" t="s">
        <v>158</v>
      </c>
      <c r="F144" s="5">
        <v>43474</v>
      </c>
      <c r="G144" s="5">
        <v>43554</v>
      </c>
      <c r="H144" s="6">
        <v>0.55208333333333337</v>
      </c>
      <c r="I144" t="s">
        <v>139</v>
      </c>
      <c r="J144" t="s">
        <v>156</v>
      </c>
      <c r="K144" t="s">
        <v>25</v>
      </c>
      <c r="M144" t="s">
        <v>17</v>
      </c>
      <c r="N144" t="str">
        <v>Destino</v>
      </c>
      <c r="O144" t="str">
        <v>MADRID-BARAJAS ADOLFO SUÁREZ</v>
      </c>
      <c r="P144" t="str">
        <v>MAD</v>
      </c>
      <c r="Q144" t="str">
        <v>13:55:00</v>
      </c>
      <c r="R144" t="str">
        <v>320</v>
      </c>
      <c r="S144" t="str">
        <v xml:space="preserve">  IBE3937</v>
      </c>
      <c r="T144" t="str">
        <v>ESPAÑA</v>
      </c>
      <c r="U144" t="str">
        <v/>
      </c>
      <c r="V144" t="str">
        <v>TFN</v>
      </c>
      <c r="W144" t="str">
        <v>09/02/2019</v>
      </c>
      <c r="X144">
        <v>180</v>
      </c>
      <c r="Y144" t="str">
        <v>Airbus A320-100/200</v>
      </c>
    </row>
    <row r="145" spans="1:25" x14ac:dyDescent="0.25">
      <c r="A145" t="s">
        <v>1436</v>
      </c>
      <c r="B145" t="s">
        <v>0</v>
      </c>
      <c r="C145" t="s">
        <v>137</v>
      </c>
      <c r="D145" t="s">
        <v>138</v>
      </c>
      <c r="E145" t="s">
        <v>48</v>
      </c>
      <c r="F145" s="5">
        <v>43476</v>
      </c>
      <c r="G145" s="5">
        <v>43553</v>
      </c>
      <c r="H145" s="6">
        <v>0.55208333333333337</v>
      </c>
      <c r="I145" t="s">
        <v>139</v>
      </c>
      <c r="J145" t="s">
        <v>149</v>
      </c>
      <c r="K145" t="s">
        <v>25</v>
      </c>
      <c r="M145" t="s">
        <v>17</v>
      </c>
      <c r="N145" t="str">
        <v>Destino</v>
      </c>
      <c r="O145" t="str">
        <v>MADRID-BARAJAS ADOLFO SUÁREZ</v>
      </c>
      <c r="P145" t="str">
        <v>MAD</v>
      </c>
      <c r="Q145" t="str">
        <v>13:55:00</v>
      </c>
      <c r="R145" t="str">
        <v>320</v>
      </c>
      <c r="S145" t="str">
        <v xml:space="preserve">  IBE3937</v>
      </c>
      <c r="T145" t="str">
        <v>ESPAÑA</v>
      </c>
      <c r="U145" t="str">
        <v/>
      </c>
      <c r="V145" t="str">
        <v>TFN</v>
      </c>
      <c r="W145" t="str">
        <v>06/02/2019</v>
      </c>
      <c r="X145">
        <v>180</v>
      </c>
      <c r="Y145" t="str">
        <v>Airbus A320-100/200</v>
      </c>
    </row>
    <row r="146" spans="1:25" x14ac:dyDescent="0.25">
      <c r="A146" t="s">
        <v>1436</v>
      </c>
      <c r="B146" t="s">
        <v>0</v>
      </c>
      <c r="C146" t="s">
        <v>137</v>
      </c>
      <c r="D146" t="s">
        <v>138</v>
      </c>
      <c r="E146" t="s">
        <v>52</v>
      </c>
      <c r="F146" s="5">
        <v>43505</v>
      </c>
      <c r="G146" s="5">
        <v>43520</v>
      </c>
      <c r="H146" s="6">
        <v>0.55208333333333337</v>
      </c>
      <c r="I146" t="s">
        <v>139</v>
      </c>
      <c r="J146" t="s">
        <v>157</v>
      </c>
      <c r="K146" t="s">
        <v>25</v>
      </c>
      <c r="M146" t="s">
        <v>17</v>
      </c>
      <c r="N146" t="str">
        <v>Destino</v>
      </c>
      <c r="O146" t="str">
        <v>MADRID-BARAJAS ADOLFO SUÁREZ</v>
      </c>
      <c r="P146" t="str">
        <v>MAD</v>
      </c>
      <c r="Q146" t="str">
        <v>16:15:00</v>
      </c>
      <c r="R146" t="str">
        <v>320</v>
      </c>
      <c r="S146" t="str">
        <v xml:space="preserve">  IBE3955</v>
      </c>
      <c r="T146" t="str">
        <v>ESPAÑA</v>
      </c>
      <c r="U146" t="str">
        <v/>
      </c>
      <c r="V146" t="str">
        <v>TFN</v>
      </c>
      <c r="W146" t="str">
        <v>08/02/2019</v>
      </c>
      <c r="X146">
        <v>180</v>
      </c>
      <c r="Y146" t="str">
        <v>Airbus A320-100/200</v>
      </c>
    </row>
    <row r="147" spans="1:25" x14ac:dyDescent="0.25">
      <c r="A147" t="s">
        <v>1436</v>
      </c>
      <c r="B147" t="s">
        <v>0</v>
      </c>
      <c r="C147" t="s">
        <v>137</v>
      </c>
      <c r="D147" t="s">
        <v>138</v>
      </c>
      <c r="E147" t="s">
        <v>22</v>
      </c>
      <c r="F147" s="5">
        <v>43505</v>
      </c>
      <c r="G147" s="5">
        <v>43519</v>
      </c>
      <c r="H147" s="6">
        <v>0.56597222222222221</v>
      </c>
      <c r="I147" t="s">
        <v>139</v>
      </c>
      <c r="J147" t="s">
        <v>150</v>
      </c>
      <c r="K147" t="s">
        <v>25</v>
      </c>
      <c r="M147" t="s">
        <v>17</v>
      </c>
      <c r="N147" t="str">
        <v>Destino</v>
      </c>
      <c r="O147" t="str">
        <v>MADRID-BARAJAS ADOLFO SUÁREZ</v>
      </c>
      <c r="P147" t="str">
        <v>MAD</v>
      </c>
      <c r="Q147" t="str">
        <v>16:15:00</v>
      </c>
      <c r="R147" t="str">
        <v>320</v>
      </c>
      <c r="S147" t="str">
        <v xml:space="preserve">  IBE3955</v>
      </c>
      <c r="T147" t="str">
        <v>ESPAÑA</v>
      </c>
      <c r="U147" t="str">
        <v/>
      </c>
      <c r="V147" t="str">
        <v>TFN</v>
      </c>
      <c r="W147" t="str">
        <v>10/02/2019</v>
      </c>
      <c r="X147">
        <v>180</v>
      </c>
      <c r="Y147" t="str">
        <v>Airbus A320-100/200</v>
      </c>
    </row>
    <row r="148" spans="1:25" x14ac:dyDescent="0.25">
      <c r="A148" t="s">
        <v>1436</v>
      </c>
      <c r="B148" t="s">
        <v>0</v>
      </c>
      <c r="C148" t="s">
        <v>137</v>
      </c>
      <c r="D148" t="s">
        <v>138</v>
      </c>
      <c r="E148" t="s">
        <v>144</v>
      </c>
      <c r="F148" s="5">
        <v>43401</v>
      </c>
      <c r="G148" s="5">
        <v>43554</v>
      </c>
      <c r="H148" s="6">
        <v>0.58680555555555558</v>
      </c>
      <c r="I148" t="s">
        <v>139</v>
      </c>
      <c r="J148" t="s">
        <v>159</v>
      </c>
      <c r="K148" t="s">
        <v>25</v>
      </c>
      <c r="M148" t="s">
        <v>17</v>
      </c>
      <c r="N148" t="str">
        <v>Destino</v>
      </c>
      <c r="O148" t="str">
        <v>MADRID-BARAJAS ADOLFO SUÁREZ</v>
      </c>
      <c r="P148" t="str">
        <v>MAD</v>
      </c>
      <c r="Q148" t="str">
        <v>16:15:00</v>
      </c>
      <c r="R148" t="str">
        <v>320</v>
      </c>
      <c r="S148" t="str">
        <v xml:space="preserve">  IBE3955</v>
      </c>
      <c r="T148" t="str">
        <v>ESPAÑA</v>
      </c>
      <c r="U148" t="str">
        <v/>
      </c>
      <c r="V148" t="str">
        <v>TFN</v>
      </c>
      <c r="W148" t="str">
        <v>04/02/2019</v>
      </c>
      <c r="X148">
        <v>180</v>
      </c>
      <c r="Y148" t="str">
        <v>Airbus A320-100/200</v>
      </c>
    </row>
    <row r="149" spans="1:25" x14ac:dyDescent="0.25">
      <c r="A149" t="s">
        <v>1436</v>
      </c>
      <c r="B149" t="s">
        <v>0</v>
      </c>
      <c r="C149" t="s">
        <v>137</v>
      </c>
      <c r="D149" t="s">
        <v>138</v>
      </c>
      <c r="E149" t="s">
        <v>18</v>
      </c>
      <c r="F149" s="5">
        <v>43513</v>
      </c>
      <c r="G149" s="5">
        <v>43513</v>
      </c>
      <c r="H149" s="6">
        <v>0.59375</v>
      </c>
      <c r="I149" t="s">
        <v>139</v>
      </c>
      <c r="J149" t="s">
        <v>154</v>
      </c>
      <c r="K149" t="s">
        <v>25</v>
      </c>
      <c r="M149" t="s">
        <v>17</v>
      </c>
      <c r="N149" t="str">
        <v>Destino</v>
      </c>
      <c r="O149" t="str">
        <v>MADRID-BARAJAS ADOLFO SUÁREZ</v>
      </c>
      <c r="P149" t="str">
        <v>MAD</v>
      </c>
      <c r="Q149" t="str">
        <v>16:25:00</v>
      </c>
      <c r="R149" t="str">
        <v>320</v>
      </c>
      <c r="S149" t="str">
        <v xml:space="preserve">  IBE3955</v>
      </c>
      <c r="T149" t="str">
        <v>ESPAÑA</v>
      </c>
      <c r="U149" t="str">
        <v/>
      </c>
      <c r="V149" t="str">
        <v>TFN</v>
      </c>
      <c r="W149" t="str">
        <v>07/02/2019</v>
      </c>
      <c r="X149">
        <v>180</v>
      </c>
      <c r="Y149" t="str">
        <v>Airbus A320-100/200</v>
      </c>
    </row>
    <row r="150" spans="1:25" x14ac:dyDescent="0.25">
      <c r="A150" t="s">
        <v>1436</v>
      </c>
      <c r="B150" t="s">
        <v>0</v>
      </c>
      <c r="C150" t="s">
        <v>137</v>
      </c>
      <c r="D150" t="s">
        <v>138</v>
      </c>
      <c r="E150" t="s">
        <v>132</v>
      </c>
      <c r="F150" s="5">
        <v>43404</v>
      </c>
      <c r="G150" s="5">
        <v>43553</v>
      </c>
      <c r="H150" s="6">
        <v>0.60416666666666663</v>
      </c>
      <c r="I150" t="s">
        <v>139</v>
      </c>
      <c r="J150" t="s">
        <v>154</v>
      </c>
      <c r="K150" t="s">
        <v>25</v>
      </c>
      <c r="M150" t="s">
        <v>17</v>
      </c>
      <c r="N150" t="str">
        <v>Destino</v>
      </c>
      <c r="O150" t="str">
        <v>MADRID-BARAJAS ADOLFO SUÁREZ</v>
      </c>
      <c r="P150" t="str">
        <v>MAD</v>
      </c>
      <c r="Q150" t="str">
        <v>16:25:00</v>
      </c>
      <c r="R150" t="str">
        <v>320</v>
      </c>
      <c r="S150" t="str">
        <v xml:space="preserve">  IBE3955</v>
      </c>
      <c r="T150" t="str">
        <v>ESPAÑA</v>
      </c>
      <c r="U150" t="str">
        <v/>
      </c>
      <c r="V150" t="str">
        <v>TFN</v>
      </c>
      <c r="W150" t="str">
        <v>09/02/2019</v>
      </c>
      <c r="X150">
        <v>180</v>
      </c>
      <c r="Y150" t="str">
        <v>Airbus A320-100/200</v>
      </c>
    </row>
    <row r="151" spans="1:25" x14ac:dyDescent="0.25">
      <c r="A151" t="s">
        <v>1436</v>
      </c>
      <c r="B151" t="s">
        <v>0</v>
      </c>
      <c r="C151" t="s">
        <v>137</v>
      </c>
      <c r="D151" t="s">
        <v>138</v>
      </c>
      <c r="E151" t="s">
        <v>146</v>
      </c>
      <c r="F151" s="5">
        <v>43466</v>
      </c>
      <c r="G151" s="5">
        <v>43550</v>
      </c>
      <c r="H151" s="6">
        <v>0.60416666666666663</v>
      </c>
      <c r="I151" t="s">
        <v>139</v>
      </c>
      <c r="J151" t="s">
        <v>154</v>
      </c>
      <c r="K151" t="s">
        <v>25</v>
      </c>
      <c r="M151" t="s">
        <v>17</v>
      </c>
      <c r="N151" t="str">
        <v>Destino</v>
      </c>
      <c r="O151" t="str">
        <v>MADRID-BARAJAS ADOLFO SUÁREZ</v>
      </c>
      <c r="P151" t="str">
        <v>MAD</v>
      </c>
      <c r="Q151" t="str">
        <v>16:25:00</v>
      </c>
      <c r="R151" t="str">
        <v>320</v>
      </c>
      <c r="S151" t="str">
        <v xml:space="preserve">  IBE3955</v>
      </c>
      <c r="T151" t="str">
        <v>ESPAÑA</v>
      </c>
      <c r="U151" t="str">
        <v/>
      </c>
      <c r="V151" t="str">
        <v>TFN</v>
      </c>
      <c r="W151" t="str">
        <v>05/02/2019</v>
      </c>
      <c r="X151">
        <v>180</v>
      </c>
      <c r="Y151" t="str">
        <v>Airbus A320-100/200</v>
      </c>
    </row>
    <row r="152" spans="1:25" x14ac:dyDescent="0.25">
      <c r="A152" t="s">
        <v>1436</v>
      </c>
      <c r="B152" t="s">
        <v>0</v>
      </c>
      <c r="C152" t="s">
        <v>137</v>
      </c>
      <c r="D152" t="s">
        <v>138</v>
      </c>
      <c r="E152" t="s">
        <v>13</v>
      </c>
      <c r="F152" s="5">
        <v>43405</v>
      </c>
      <c r="G152" s="5">
        <v>43552</v>
      </c>
      <c r="H152" s="6">
        <v>0.60763888888888895</v>
      </c>
      <c r="I152" t="s">
        <v>139</v>
      </c>
      <c r="J152" t="s">
        <v>154</v>
      </c>
      <c r="K152" t="s">
        <v>25</v>
      </c>
      <c r="M152" t="s">
        <v>17</v>
      </c>
      <c r="N152" t="str">
        <v>Destino</v>
      </c>
      <c r="O152" t="str">
        <v>MADRID-BARAJAS ADOLFO SUÁREZ</v>
      </c>
      <c r="P152" t="str">
        <v>MAD</v>
      </c>
      <c r="Q152" t="str">
        <v>17:30:00</v>
      </c>
      <c r="R152" t="str">
        <v>320</v>
      </c>
      <c r="S152" t="str">
        <v xml:space="preserve">  IBE3957</v>
      </c>
      <c r="T152" t="str">
        <v>ESPAÑA</v>
      </c>
      <c r="U152" t="str">
        <v/>
      </c>
      <c r="V152" t="str">
        <v>TFN</v>
      </c>
      <c r="W152" t="str">
        <v>08/02/2019</v>
      </c>
      <c r="X152">
        <v>180</v>
      </c>
      <c r="Y152" t="str">
        <v>Airbus A320-100/200</v>
      </c>
    </row>
    <row r="153" spans="1:25" x14ac:dyDescent="0.25">
      <c r="A153" t="s">
        <v>1436</v>
      </c>
      <c r="B153" t="s">
        <v>0</v>
      </c>
      <c r="C153" t="s">
        <v>137</v>
      </c>
      <c r="D153" t="s">
        <v>138</v>
      </c>
      <c r="E153" t="s">
        <v>18</v>
      </c>
      <c r="F153" s="5">
        <v>43478</v>
      </c>
      <c r="G153" s="5">
        <v>43520</v>
      </c>
      <c r="H153" s="6">
        <v>0.65625</v>
      </c>
      <c r="I153" t="s">
        <v>139</v>
      </c>
      <c r="J153" t="s">
        <v>160</v>
      </c>
      <c r="K153" t="s">
        <v>25</v>
      </c>
      <c r="M153" t="s">
        <v>17</v>
      </c>
      <c r="N153" t="str">
        <v>Destino</v>
      </c>
      <c r="O153" t="str">
        <v>MADRID-BARAJAS ADOLFO SUÁREZ</v>
      </c>
      <c r="P153" t="str">
        <v>MAD</v>
      </c>
      <c r="Q153" t="str">
        <v>18:55:00</v>
      </c>
      <c r="R153" t="str">
        <v>320</v>
      </c>
      <c r="S153" t="str">
        <v xml:space="preserve">  IBE3939</v>
      </c>
      <c r="T153" t="str">
        <v>ESPAÑA</v>
      </c>
      <c r="U153" t="str">
        <v/>
      </c>
      <c r="V153" t="str">
        <v>TFN</v>
      </c>
      <c r="W153" t="str">
        <v>06/02/2019</v>
      </c>
      <c r="X153">
        <v>180</v>
      </c>
      <c r="Y153" t="str">
        <v>Airbus A320-100/200</v>
      </c>
    </row>
    <row r="154" spans="1:25" x14ac:dyDescent="0.25">
      <c r="A154" t="s">
        <v>1436</v>
      </c>
      <c r="B154" t="s">
        <v>0</v>
      </c>
      <c r="C154" t="s">
        <v>137</v>
      </c>
      <c r="D154" t="s">
        <v>138</v>
      </c>
      <c r="E154" t="s">
        <v>151</v>
      </c>
      <c r="F154" s="5">
        <v>43401</v>
      </c>
      <c r="G154" s="5">
        <v>43553</v>
      </c>
      <c r="H154" s="6">
        <v>0.66319444444444442</v>
      </c>
      <c r="I154" t="s">
        <v>139</v>
      </c>
      <c r="J154" t="s">
        <v>161</v>
      </c>
      <c r="K154" t="s">
        <v>25</v>
      </c>
      <c r="M154" t="s">
        <v>17</v>
      </c>
      <c r="N154" t="str">
        <v>Destino</v>
      </c>
      <c r="O154" t="str">
        <v>MADRID-BARAJAS ADOLFO SUÁREZ</v>
      </c>
      <c r="P154" t="str">
        <v>MAD</v>
      </c>
      <c r="Q154" t="str">
        <v>18:55:00</v>
      </c>
      <c r="R154" t="str">
        <v>320</v>
      </c>
      <c r="S154" t="str">
        <v xml:space="preserve">  IBE3939</v>
      </c>
      <c r="T154" t="str">
        <v>ESPAÑA</v>
      </c>
      <c r="U154" t="str">
        <v/>
      </c>
      <c r="V154" t="str">
        <v>TFN</v>
      </c>
      <c r="W154" t="str">
        <v>08/02/2019</v>
      </c>
      <c r="X154">
        <v>180</v>
      </c>
      <c r="Y154" t="str">
        <v>Airbus A320-100/200</v>
      </c>
    </row>
    <row r="155" spans="1:25" x14ac:dyDescent="0.25">
      <c r="A155" t="s">
        <v>1436</v>
      </c>
      <c r="B155" t="s">
        <v>0</v>
      </c>
      <c r="C155" t="s">
        <v>137</v>
      </c>
      <c r="D155" t="s">
        <v>138</v>
      </c>
      <c r="E155" t="s">
        <v>48</v>
      </c>
      <c r="F155" s="5">
        <v>43455</v>
      </c>
      <c r="G155" s="5">
        <v>43518</v>
      </c>
      <c r="H155" s="6">
        <v>0.66319444444444442</v>
      </c>
      <c r="I155" t="s">
        <v>139</v>
      </c>
      <c r="J155" t="s">
        <v>160</v>
      </c>
      <c r="K155" t="s">
        <v>25</v>
      </c>
      <c r="M155" t="s">
        <v>17</v>
      </c>
      <c r="N155" t="str">
        <v>Destino</v>
      </c>
      <c r="O155" t="str">
        <v>MADRID-BARAJAS ADOLFO SUÁREZ</v>
      </c>
      <c r="P155" t="str">
        <v>MAD</v>
      </c>
      <c r="Q155" t="str">
        <v>18:55:00</v>
      </c>
      <c r="R155" t="str">
        <v>320</v>
      </c>
      <c r="S155" t="str">
        <v xml:space="preserve">  IBE3939</v>
      </c>
      <c r="T155" t="str">
        <v>ESPAÑA</v>
      </c>
      <c r="U155" t="str">
        <v/>
      </c>
      <c r="V155" t="str">
        <v>TFN</v>
      </c>
      <c r="W155" t="str">
        <v>07/02/2019</v>
      </c>
      <c r="X155">
        <v>180</v>
      </c>
      <c r="Y155" t="str">
        <v>Airbus A320-100/200</v>
      </c>
    </row>
    <row r="156" spans="1:25" x14ac:dyDescent="0.25">
      <c r="A156" t="s">
        <v>1436</v>
      </c>
      <c r="B156" t="s">
        <v>0</v>
      </c>
      <c r="C156" t="s">
        <v>137</v>
      </c>
      <c r="D156" t="s">
        <v>138</v>
      </c>
      <c r="E156" t="s">
        <v>22</v>
      </c>
      <c r="F156" s="5">
        <v>43505</v>
      </c>
      <c r="G156" s="5">
        <v>43519</v>
      </c>
      <c r="H156" s="6">
        <v>0.67708333333333337</v>
      </c>
      <c r="I156" t="s">
        <v>139</v>
      </c>
      <c r="J156" t="s">
        <v>160</v>
      </c>
      <c r="K156" t="s">
        <v>25</v>
      </c>
      <c r="M156" t="s">
        <v>17</v>
      </c>
      <c r="N156" t="str">
        <v>Destino</v>
      </c>
      <c r="O156" t="str">
        <v>MADRID-BARAJAS ADOLFO SUÁREZ</v>
      </c>
      <c r="P156" t="str">
        <v>MAD</v>
      </c>
      <c r="Q156" t="str">
        <v>18:55:00</v>
      </c>
      <c r="R156" t="str">
        <v>320</v>
      </c>
      <c r="S156" t="str">
        <v xml:space="preserve">  IBE3939</v>
      </c>
      <c r="T156" t="str">
        <v>ESPAÑA</v>
      </c>
      <c r="U156" t="str">
        <v/>
      </c>
      <c r="V156" t="str">
        <v>TFN</v>
      </c>
      <c r="W156" t="str">
        <v>05/02/2019</v>
      </c>
      <c r="X156">
        <v>180</v>
      </c>
      <c r="Y156" t="str">
        <v>Airbus A320-100/200</v>
      </c>
    </row>
    <row r="157" spans="1:25" x14ac:dyDescent="0.25">
      <c r="A157" t="s">
        <v>1436</v>
      </c>
      <c r="B157" t="s">
        <v>0</v>
      </c>
      <c r="C157" t="s">
        <v>137</v>
      </c>
      <c r="D157" t="s">
        <v>138</v>
      </c>
      <c r="E157" t="s">
        <v>19</v>
      </c>
      <c r="F157" s="5">
        <v>43403</v>
      </c>
      <c r="G157" s="5">
        <v>43529</v>
      </c>
      <c r="H157" s="6">
        <v>0.70833333333333337</v>
      </c>
      <c r="I157" t="s">
        <v>139</v>
      </c>
      <c r="J157" t="s">
        <v>164</v>
      </c>
      <c r="K157" t="s">
        <v>25</v>
      </c>
      <c r="M157" t="s">
        <v>17</v>
      </c>
      <c r="N157" t="str">
        <v>Destino</v>
      </c>
      <c r="O157" t="str">
        <v>MALAGA-COSTA DEL SOL</v>
      </c>
      <c r="P157" t="str">
        <v>AGP</v>
      </c>
      <c r="Q157" t="str">
        <v>15:20:00</v>
      </c>
      <c r="R157" t="str">
        <v>320</v>
      </c>
      <c r="S157" t="str">
        <v xml:space="preserve">  VLG3277</v>
      </c>
      <c r="T157" t="str">
        <v>ESPAÑA</v>
      </c>
      <c r="U157" t="str">
        <v/>
      </c>
      <c r="V157" t="str">
        <v>TFN</v>
      </c>
      <c r="W157" t="str">
        <v>06/02/2019</v>
      </c>
      <c r="X157">
        <v>180</v>
      </c>
      <c r="Y157" t="str">
        <v>Airbus A320-100/200</v>
      </c>
    </row>
    <row r="158" spans="1:25" x14ac:dyDescent="0.25">
      <c r="A158" t="s">
        <v>1436</v>
      </c>
      <c r="B158" t="s">
        <v>0</v>
      </c>
      <c r="C158" t="s">
        <v>137</v>
      </c>
      <c r="D158" t="s">
        <v>138</v>
      </c>
      <c r="E158" t="s">
        <v>1527</v>
      </c>
      <c r="F158" s="5">
        <v>43404</v>
      </c>
      <c r="G158" s="5">
        <v>43554</v>
      </c>
      <c r="H158" s="6">
        <v>0.70833333333333337</v>
      </c>
      <c r="I158" t="s">
        <v>139</v>
      </c>
      <c r="J158" t="s">
        <v>164</v>
      </c>
      <c r="K158" t="s">
        <v>25</v>
      </c>
      <c r="M158" t="s">
        <v>17</v>
      </c>
      <c r="N158" t="str">
        <v>Destino</v>
      </c>
      <c r="O158" t="str">
        <v>MALAGA-COSTA DEL SOL</v>
      </c>
      <c r="P158" t="str">
        <v>AGP</v>
      </c>
      <c r="Q158" t="str">
        <v>15:20:00</v>
      </c>
      <c r="R158" t="str">
        <v>320</v>
      </c>
      <c r="S158" t="str">
        <v xml:space="preserve">  VLG3277</v>
      </c>
      <c r="T158" t="str">
        <v>ESPAÑA</v>
      </c>
      <c r="U158" t="str">
        <v/>
      </c>
      <c r="V158" t="str">
        <v>TFN</v>
      </c>
      <c r="W158" t="str">
        <v>05/02/2019</v>
      </c>
      <c r="X158">
        <v>180</v>
      </c>
      <c r="Y158" t="str">
        <v>Airbus A320-100/200</v>
      </c>
    </row>
    <row r="159" spans="1:25" x14ac:dyDescent="0.25">
      <c r="A159" t="s">
        <v>1436</v>
      </c>
      <c r="B159" t="s">
        <v>0</v>
      </c>
      <c r="C159" t="s">
        <v>137</v>
      </c>
      <c r="D159" t="s">
        <v>138</v>
      </c>
      <c r="E159" t="s">
        <v>59</v>
      </c>
      <c r="F159" s="5">
        <v>43472</v>
      </c>
      <c r="G159" s="5">
        <v>43549</v>
      </c>
      <c r="H159" s="6">
        <v>0.70833333333333337</v>
      </c>
      <c r="I159" t="s">
        <v>139</v>
      </c>
      <c r="J159" t="s">
        <v>164</v>
      </c>
      <c r="K159" t="s">
        <v>25</v>
      </c>
      <c r="M159" t="s">
        <v>17</v>
      </c>
      <c r="N159" t="str">
        <v>Destino</v>
      </c>
      <c r="O159" t="str">
        <v>MALAGA-COSTA DEL SOL</v>
      </c>
      <c r="P159" t="str">
        <v>AGP</v>
      </c>
      <c r="Q159" t="str">
        <v>15:20:00</v>
      </c>
      <c r="R159" t="str">
        <v>320</v>
      </c>
      <c r="S159" t="str">
        <v xml:space="preserve">  VLG3277</v>
      </c>
      <c r="T159" t="str">
        <v>ESPAÑA</v>
      </c>
      <c r="U159" t="str">
        <v/>
      </c>
      <c r="V159" t="str">
        <v>TFN</v>
      </c>
      <c r="W159" t="str">
        <v>07/02/2019</v>
      </c>
      <c r="X159">
        <v>180</v>
      </c>
      <c r="Y159" t="str">
        <v>Airbus A320-100/200</v>
      </c>
    </row>
    <row r="160" spans="1:25" x14ac:dyDescent="0.25">
      <c r="A160" t="s">
        <v>1436</v>
      </c>
      <c r="B160" t="s">
        <v>0</v>
      </c>
      <c r="C160" t="s">
        <v>137</v>
      </c>
      <c r="D160" t="s">
        <v>138</v>
      </c>
      <c r="E160" t="s">
        <v>13</v>
      </c>
      <c r="F160" s="5">
        <v>43503</v>
      </c>
      <c r="G160" s="5">
        <v>43552</v>
      </c>
      <c r="H160" s="6">
        <v>0.70833333333333337</v>
      </c>
      <c r="I160" t="s">
        <v>139</v>
      </c>
      <c r="J160" t="s">
        <v>164</v>
      </c>
      <c r="K160" t="s">
        <v>25</v>
      </c>
      <c r="M160" t="s">
        <v>17</v>
      </c>
      <c r="N160" t="str">
        <v>Destino</v>
      </c>
      <c r="O160" t="str">
        <v>MALAGA-COSTA DEL SOL</v>
      </c>
      <c r="P160" t="str">
        <v>AGP</v>
      </c>
      <c r="Q160" t="str">
        <v>15:20:00</v>
      </c>
      <c r="R160" t="str">
        <v>320</v>
      </c>
      <c r="S160" t="str">
        <v xml:space="preserve">  VLG3277</v>
      </c>
      <c r="T160" t="str">
        <v>ESPAÑA</v>
      </c>
      <c r="U160" t="str">
        <v/>
      </c>
      <c r="V160" t="str">
        <v>TFN</v>
      </c>
      <c r="W160" t="str">
        <v>10/02/2019</v>
      </c>
      <c r="X160">
        <v>180</v>
      </c>
      <c r="Y160" t="str">
        <v>Airbus A320-100/200</v>
      </c>
    </row>
    <row r="161" spans="1:25" x14ac:dyDescent="0.25">
      <c r="A161" t="s">
        <v>1436</v>
      </c>
      <c r="B161" t="s">
        <v>0</v>
      </c>
      <c r="C161" t="s">
        <v>137</v>
      </c>
      <c r="D161" t="s">
        <v>138</v>
      </c>
      <c r="E161" t="s">
        <v>18</v>
      </c>
      <c r="F161" s="5">
        <v>43471</v>
      </c>
      <c r="G161" s="5">
        <v>43520</v>
      </c>
      <c r="H161" s="6">
        <v>0.73958333333333337</v>
      </c>
      <c r="I161" t="s">
        <v>139</v>
      </c>
      <c r="J161" t="s">
        <v>164</v>
      </c>
      <c r="K161" t="s">
        <v>25</v>
      </c>
      <c r="M161" t="s">
        <v>17</v>
      </c>
      <c r="N161" t="str">
        <v>Destino</v>
      </c>
      <c r="O161" t="str">
        <v>MALAGA-COSTA DEL SOL</v>
      </c>
      <c r="P161" t="str">
        <v>AGP</v>
      </c>
      <c r="Q161" t="str">
        <v>15:20:00</v>
      </c>
      <c r="R161" t="str">
        <v>320</v>
      </c>
      <c r="S161" t="str">
        <v xml:space="preserve">  VLG3277</v>
      </c>
      <c r="T161" t="str">
        <v>ESPAÑA</v>
      </c>
      <c r="U161" t="str">
        <v/>
      </c>
      <c r="V161" t="str">
        <v>TFN</v>
      </c>
      <c r="W161" t="str">
        <v>04/02/2019</v>
      </c>
      <c r="X161">
        <v>180</v>
      </c>
      <c r="Y161" t="str">
        <v>Airbus A320-100/200</v>
      </c>
    </row>
    <row r="162" spans="1:25" x14ac:dyDescent="0.25">
      <c r="A162" t="s">
        <v>1436</v>
      </c>
      <c r="B162" t="s">
        <v>0</v>
      </c>
      <c r="C162" t="s">
        <v>137</v>
      </c>
      <c r="D162" t="s">
        <v>138</v>
      </c>
      <c r="E162" t="s">
        <v>48</v>
      </c>
      <c r="F162" s="5">
        <v>43448</v>
      </c>
      <c r="G162" s="5">
        <v>43553</v>
      </c>
      <c r="H162" s="6">
        <v>0.74652777777777779</v>
      </c>
      <c r="I162" t="s">
        <v>139</v>
      </c>
      <c r="J162" t="s">
        <v>166</v>
      </c>
      <c r="K162" t="s">
        <v>25</v>
      </c>
      <c r="M162" t="s">
        <v>17</v>
      </c>
      <c r="N162" t="str">
        <v>Destino</v>
      </c>
      <c r="O162" t="str">
        <v>ROMA / FIUMICINO</v>
      </c>
      <c r="P162" t="str">
        <v>FCO</v>
      </c>
      <c r="Q162" t="str">
        <v>14:15:00</v>
      </c>
      <c r="R162" t="str">
        <v>320</v>
      </c>
      <c r="S162" t="str">
        <v xml:space="preserve">  AZA047</v>
      </c>
      <c r="T162" t="str">
        <v>ITALIA</v>
      </c>
      <c r="U162" t="str">
        <v/>
      </c>
      <c r="V162" t="str">
        <v>TFN</v>
      </c>
      <c r="W162" t="str">
        <v>10/02/2019</v>
      </c>
      <c r="X162">
        <v>180</v>
      </c>
      <c r="Y162" t="str">
        <v>Airbus A320-100/200</v>
      </c>
    </row>
    <row r="163" spans="1:25" x14ac:dyDescent="0.25">
      <c r="A163" t="s">
        <v>1436</v>
      </c>
      <c r="B163" t="s">
        <v>0</v>
      </c>
      <c r="C163" t="s">
        <v>137</v>
      </c>
      <c r="D163" t="s">
        <v>138</v>
      </c>
      <c r="E163" t="s">
        <v>109</v>
      </c>
      <c r="F163" s="5">
        <v>43403</v>
      </c>
      <c r="G163" s="5">
        <v>43552</v>
      </c>
      <c r="H163" s="6">
        <v>0.76041666666666663</v>
      </c>
      <c r="I163" t="s">
        <v>139</v>
      </c>
      <c r="J163" t="s">
        <v>165</v>
      </c>
      <c r="K163" t="s">
        <v>25</v>
      </c>
      <c r="M163" t="s">
        <v>17</v>
      </c>
      <c r="N163" t="str">
        <v>Destino</v>
      </c>
      <c r="O163" t="str">
        <v>SANTIAGO</v>
      </c>
      <c r="P163" t="str">
        <v>SCQ</v>
      </c>
      <c r="Q163" t="str">
        <v>09:15:00</v>
      </c>
      <c r="R163" t="str">
        <v>320</v>
      </c>
      <c r="S163" t="str">
        <v xml:space="preserve">  VLG3246</v>
      </c>
      <c r="T163" t="str">
        <v>ESPAÑA</v>
      </c>
      <c r="U163" t="str">
        <v/>
      </c>
      <c r="V163" t="str">
        <v>TFN</v>
      </c>
      <c r="W163" t="str">
        <v>10/02/2019</v>
      </c>
      <c r="X163">
        <v>180</v>
      </c>
      <c r="Y163" t="str">
        <v>Airbus A320-100/200</v>
      </c>
    </row>
    <row r="164" spans="1:25" x14ac:dyDescent="0.25">
      <c r="A164" t="s">
        <v>1436</v>
      </c>
      <c r="B164" t="s">
        <v>0</v>
      </c>
      <c r="C164" t="s">
        <v>137</v>
      </c>
      <c r="D164" t="s">
        <v>138</v>
      </c>
      <c r="E164" t="s">
        <v>59</v>
      </c>
      <c r="F164" s="5">
        <v>43465</v>
      </c>
      <c r="G164" s="5">
        <v>43549</v>
      </c>
      <c r="H164" s="6">
        <v>0.76041666666666663</v>
      </c>
      <c r="I164" t="s">
        <v>139</v>
      </c>
      <c r="J164" t="s">
        <v>165</v>
      </c>
      <c r="K164" t="s">
        <v>25</v>
      </c>
      <c r="M164" t="s">
        <v>17</v>
      </c>
      <c r="N164" t="str">
        <v>Destino</v>
      </c>
      <c r="O164" t="str">
        <v>SANTIAGO</v>
      </c>
      <c r="P164" t="str">
        <v>SCQ</v>
      </c>
      <c r="Q164" t="str">
        <v>09:15:00</v>
      </c>
      <c r="R164" t="str">
        <v>320</v>
      </c>
      <c r="S164" t="str">
        <v xml:space="preserve">  VLG3246</v>
      </c>
      <c r="T164" t="str">
        <v>ESPAÑA</v>
      </c>
      <c r="U164" t="str">
        <v/>
      </c>
      <c r="V164" t="str">
        <v>TFN</v>
      </c>
      <c r="W164" t="str">
        <v>06/02/2019</v>
      </c>
      <c r="X164">
        <v>180</v>
      </c>
      <c r="Y164" t="str">
        <v>Airbus A320-100/200</v>
      </c>
    </row>
    <row r="165" spans="1:25" x14ac:dyDescent="0.25">
      <c r="A165" t="s">
        <v>1436</v>
      </c>
      <c r="B165" t="s">
        <v>0</v>
      </c>
      <c r="C165" t="s">
        <v>137</v>
      </c>
      <c r="D165" t="s">
        <v>138</v>
      </c>
      <c r="E165" t="s">
        <v>48</v>
      </c>
      <c r="F165" s="5">
        <v>43490</v>
      </c>
      <c r="G165" s="5">
        <v>43553</v>
      </c>
      <c r="H165" s="6">
        <v>0.76041666666666663</v>
      </c>
      <c r="I165" t="s">
        <v>139</v>
      </c>
      <c r="J165" t="s">
        <v>165</v>
      </c>
      <c r="K165" t="s">
        <v>25</v>
      </c>
      <c r="M165" t="s">
        <v>17</v>
      </c>
      <c r="N165" t="str">
        <v>Destino</v>
      </c>
      <c r="O165" t="str">
        <v>SEVILLA</v>
      </c>
      <c r="P165" t="str">
        <v>SVQ</v>
      </c>
      <c r="Q165" t="str">
        <v>08:50:00</v>
      </c>
      <c r="R165" t="str">
        <v>320</v>
      </c>
      <c r="S165" t="str">
        <v xml:space="preserve">  VLG3257</v>
      </c>
      <c r="T165" t="str">
        <v>ESPAÑA</v>
      </c>
      <c r="U165" t="str">
        <v/>
      </c>
      <c r="V165" t="str">
        <v>TFN</v>
      </c>
      <c r="W165" t="str">
        <v>10/02/2019</v>
      </c>
      <c r="X165">
        <v>180</v>
      </c>
      <c r="Y165" t="str">
        <v>Airbus A320-100/200</v>
      </c>
    </row>
    <row r="166" spans="1:25" x14ac:dyDescent="0.25">
      <c r="A166" t="s">
        <v>1436</v>
      </c>
      <c r="B166" t="s">
        <v>0</v>
      </c>
      <c r="C166" t="s">
        <v>137</v>
      </c>
      <c r="D166" t="s">
        <v>138</v>
      </c>
      <c r="E166" t="s">
        <v>18</v>
      </c>
      <c r="F166" s="5">
        <v>43499</v>
      </c>
      <c r="G166" s="5">
        <v>43548</v>
      </c>
      <c r="H166" s="6">
        <v>0.76041666666666663</v>
      </c>
      <c r="I166" t="s">
        <v>139</v>
      </c>
      <c r="J166" t="s">
        <v>165</v>
      </c>
      <c r="K166" t="s">
        <v>25</v>
      </c>
      <c r="M166" t="s">
        <v>17</v>
      </c>
      <c r="N166" t="str">
        <v>Destino</v>
      </c>
      <c r="O166" t="str">
        <v>SEVILLA</v>
      </c>
      <c r="P166" t="str">
        <v>SVQ</v>
      </c>
      <c r="Q166" t="str">
        <v>08:50:00</v>
      </c>
      <c r="R166" t="str">
        <v>320</v>
      </c>
      <c r="S166" t="str">
        <v xml:space="preserve">  VLG3257</v>
      </c>
      <c r="T166" t="str">
        <v>ESPAÑA</v>
      </c>
      <c r="U166" t="str">
        <v/>
      </c>
      <c r="V166" t="str">
        <v>TFN</v>
      </c>
      <c r="W166" t="str">
        <v>08/02/2019</v>
      </c>
      <c r="X166">
        <v>180</v>
      </c>
      <c r="Y166" t="str">
        <v>Airbus A320-100/200</v>
      </c>
    </row>
    <row r="167" spans="1:25" x14ac:dyDescent="0.25">
      <c r="A167" t="s">
        <v>1436</v>
      </c>
      <c r="B167" t="s">
        <v>0</v>
      </c>
      <c r="C167" t="s">
        <v>137</v>
      </c>
      <c r="D167" t="s">
        <v>138</v>
      </c>
      <c r="E167" t="s">
        <v>20</v>
      </c>
      <c r="F167" s="5">
        <v>43502</v>
      </c>
      <c r="G167" s="5">
        <v>43523</v>
      </c>
      <c r="H167" s="6">
        <v>0.76041666666666663</v>
      </c>
      <c r="I167" t="s">
        <v>139</v>
      </c>
      <c r="J167" t="s">
        <v>165</v>
      </c>
      <c r="K167" t="s">
        <v>25</v>
      </c>
      <c r="M167" t="s">
        <v>17</v>
      </c>
      <c r="N167" t="str">
        <v>Destino</v>
      </c>
      <c r="O167" t="str">
        <v>SEVILLA</v>
      </c>
      <c r="P167" t="str">
        <v>SVQ</v>
      </c>
      <c r="Q167" t="str">
        <v>08:50:00</v>
      </c>
      <c r="R167" t="str">
        <v>320</v>
      </c>
      <c r="S167" t="str">
        <v xml:space="preserve">  VLG3257</v>
      </c>
      <c r="T167" t="str">
        <v>ESPAÑA</v>
      </c>
      <c r="U167" t="str">
        <v/>
      </c>
      <c r="V167" t="str">
        <v>TFN</v>
      </c>
      <c r="W167" t="str">
        <v>04/02/2019</v>
      </c>
      <c r="X167">
        <v>180</v>
      </c>
      <c r="Y167" t="str">
        <v>Airbus A320-100/200</v>
      </c>
    </row>
    <row r="168" spans="1:25" x14ac:dyDescent="0.25">
      <c r="A168" t="s">
        <v>1436</v>
      </c>
      <c r="B168" t="s">
        <v>0</v>
      </c>
      <c r="C168" t="s">
        <v>137</v>
      </c>
      <c r="D168" t="s">
        <v>138</v>
      </c>
      <c r="E168" t="s">
        <v>22</v>
      </c>
      <c r="F168" s="5">
        <v>43477</v>
      </c>
      <c r="G168" s="5">
        <v>43554</v>
      </c>
      <c r="H168" s="6">
        <v>0.77777777777777779</v>
      </c>
      <c r="I168" t="s">
        <v>139</v>
      </c>
      <c r="J168" t="s">
        <v>165</v>
      </c>
      <c r="K168" t="s">
        <v>25</v>
      </c>
      <c r="M168" t="s">
        <v>17</v>
      </c>
      <c r="N168" t="str">
        <v>Destino</v>
      </c>
      <c r="O168" t="str">
        <v>SEVILLA</v>
      </c>
      <c r="P168" t="str">
        <v>SVQ</v>
      </c>
      <c r="Q168" t="str">
        <v>14:10:00</v>
      </c>
      <c r="R168" t="str">
        <v>320</v>
      </c>
      <c r="S168" t="str">
        <v xml:space="preserve">  VLG3255</v>
      </c>
      <c r="T168" t="str">
        <v>ESPAÑA</v>
      </c>
      <c r="U168" t="str">
        <v/>
      </c>
      <c r="V168" t="str">
        <v>TFN</v>
      </c>
      <c r="W168" t="str">
        <v>06/02/2019</v>
      </c>
      <c r="X168">
        <v>180</v>
      </c>
      <c r="Y168" t="str">
        <v>Airbus A320-100/200</v>
      </c>
    </row>
    <row r="169" spans="1:25" x14ac:dyDescent="0.25">
      <c r="A169" t="s">
        <v>1436</v>
      </c>
      <c r="B169" t="s">
        <v>0</v>
      </c>
      <c r="C169" t="s">
        <v>137</v>
      </c>
      <c r="D169" t="s">
        <v>138</v>
      </c>
      <c r="E169" t="s">
        <v>48</v>
      </c>
      <c r="F169" s="5">
        <v>43448</v>
      </c>
      <c r="G169" s="5">
        <v>43553</v>
      </c>
      <c r="H169" s="6">
        <v>0.78125</v>
      </c>
      <c r="I169" t="s">
        <v>139</v>
      </c>
      <c r="J169" t="s">
        <v>169</v>
      </c>
      <c r="K169" t="s">
        <v>25</v>
      </c>
      <c r="M169" t="s">
        <v>17</v>
      </c>
      <c r="N169" t="str">
        <v>Destino</v>
      </c>
      <c r="O169" t="str">
        <v>SEVILLA</v>
      </c>
      <c r="P169" t="str">
        <v>SVQ</v>
      </c>
      <c r="Q169" t="str">
        <v>14:10:00</v>
      </c>
      <c r="R169" t="str">
        <v>320</v>
      </c>
      <c r="S169" t="str">
        <v xml:space="preserve">  VLG3255</v>
      </c>
      <c r="T169" t="str">
        <v>ESPAÑA</v>
      </c>
      <c r="U169" t="str">
        <v/>
      </c>
      <c r="V169" t="str">
        <v>TFN</v>
      </c>
      <c r="W169" t="str">
        <v>05/02/2019</v>
      </c>
      <c r="X169">
        <v>180</v>
      </c>
      <c r="Y169" t="str">
        <v>Airbus A320-100/200</v>
      </c>
    </row>
    <row r="170" spans="1:25" x14ac:dyDescent="0.25">
      <c r="A170" t="s">
        <v>1436</v>
      </c>
      <c r="B170" t="s">
        <v>0</v>
      </c>
      <c r="C170" t="s">
        <v>137</v>
      </c>
      <c r="D170" t="s">
        <v>138</v>
      </c>
      <c r="E170" t="s">
        <v>22</v>
      </c>
      <c r="F170" s="5">
        <v>43407</v>
      </c>
      <c r="G170" s="5">
        <v>43554</v>
      </c>
      <c r="H170" s="6">
        <v>0.80208333333333337</v>
      </c>
      <c r="I170" t="s">
        <v>139</v>
      </c>
      <c r="J170" t="s">
        <v>166</v>
      </c>
      <c r="K170" t="s">
        <v>25</v>
      </c>
      <c r="M170" t="s">
        <v>17</v>
      </c>
      <c r="N170" t="str">
        <v>Destino</v>
      </c>
      <c r="O170" t="str">
        <v>SEVILLA</v>
      </c>
      <c r="P170" t="str">
        <v>SVQ</v>
      </c>
      <c r="Q170" t="str">
        <v>14:10:00</v>
      </c>
      <c r="R170" t="str">
        <v>320</v>
      </c>
      <c r="S170" t="str">
        <v xml:space="preserve">  VLG3255</v>
      </c>
      <c r="T170" t="str">
        <v>ESPAÑA</v>
      </c>
      <c r="U170" t="str">
        <v/>
      </c>
      <c r="V170" t="str">
        <v>TFN</v>
      </c>
      <c r="W170" t="str">
        <v>04/02/2019</v>
      </c>
      <c r="X170">
        <v>180</v>
      </c>
      <c r="Y170" t="str">
        <v>Airbus A320-100/200</v>
      </c>
    </row>
    <row r="171" spans="1:25" x14ac:dyDescent="0.25">
      <c r="A171" t="s">
        <v>1436</v>
      </c>
      <c r="B171" t="s">
        <v>0</v>
      </c>
      <c r="C171" t="s">
        <v>137</v>
      </c>
      <c r="D171" t="s">
        <v>138</v>
      </c>
      <c r="E171" t="s">
        <v>18</v>
      </c>
      <c r="F171" s="5">
        <v>43478</v>
      </c>
      <c r="G171" s="5">
        <v>43520</v>
      </c>
      <c r="H171" s="6">
        <v>0.80208333333333337</v>
      </c>
      <c r="I171" t="s">
        <v>141</v>
      </c>
      <c r="J171" t="s">
        <v>169</v>
      </c>
      <c r="K171" t="s">
        <v>25</v>
      </c>
      <c r="M171" t="s">
        <v>17</v>
      </c>
      <c r="N171" t="str">
        <v>Destino</v>
      </c>
      <c r="O171" t="str">
        <v>SEVILLA</v>
      </c>
      <c r="P171" t="str">
        <v>SVQ</v>
      </c>
      <c r="Q171" t="str">
        <v>14:10:00</v>
      </c>
      <c r="R171" t="str">
        <v>320</v>
      </c>
      <c r="S171" t="str">
        <v xml:space="preserve">  VLG3255</v>
      </c>
      <c r="T171" t="str">
        <v>ESPAÑA</v>
      </c>
      <c r="U171" t="str">
        <v/>
      </c>
      <c r="V171" t="str">
        <v>TFN</v>
      </c>
      <c r="W171" t="str">
        <v>07/02/2019</v>
      </c>
      <c r="X171">
        <v>180</v>
      </c>
      <c r="Y171" t="str">
        <v>Airbus A320-100/200</v>
      </c>
    </row>
    <row r="172" spans="1:25" x14ac:dyDescent="0.25">
      <c r="A172" t="s">
        <v>1436</v>
      </c>
      <c r="B172" t="s">
        <v>0</v>
      </c>
      <c r="C172" t="s">
        <v>137</v>
      </c>
      <c r="D172" t="s">
        <v>138</v>
      </c>
      <c r="E172" t="s">
        <v>19</v>
      </c>
      <c r="F172" s="5">
        <v>43403</v>
      </c>
      <c r="G172" s="5">
        <v>43529</v>
      </c>
      <c r="H172" s="6">
        <v>0.8125</v>
      </c>
      <c r="I172" t="s">
        <v>139</v>
      </c>
      <c r="J172" t="s">
        <v>166</v>
      </c>
      <c r="K172" t="s">
        <v>25</v>
      </c>
      <c r="M172" t="s">
        <v>17</v>
      </c>
      <c r="N172" t="str">
        <v>Destino</v>
      </c>
      <c r="O172" t="str">
        <v>SEVILLA</v>
      </c>
      <c r="P172" t="str">
        <v>SVQ</v>
      </c>
      <c r="Q172" t="str">
        <v>14:10:00</v>
      </c>
      <c r="R172" t="str">
        <v>320</v>
      </c>
      <c r="S172" t="str">
        <v xml:space="preserve">  VLG3255</v>
      </c>
      <c r="T172" t="str">
        <v>ESPAÑA</v>
      </c>
      <c r="U172" t="str">
        <v/>
      </c>
      <c r="V172" t="str">
        <v>TFN</v>
      </c>
      <c r="W172" t="str">
        <v>10/02/2019</v>
      </c>
      <c r="X172">
        <v>180</v>
      </c>
      <c r="Y172" t="str">
        <v>Airbus A320-100/200</v>
      </c>
    </row>
    <row r="173" spans="1:25" x14ac:dyDescent="0.25">
      <c r="A173" t="s">
        <v>1436</v>
      </c>
      <c r="B173" t="s">
        <v>0</v>
      </c>
      <c r="C173" t="s">
        <v>137</v>
      </c>
      <c r="D173" t="s">
        <v>138</v>
      </c>
      <c r="E173" t="s">
        <v>228</v>
      </c>
      <c r="F173" s="5">
        <v>43404</v>
      </c>
      <c r="G173" s="5">
        <v>43552</v>
      </c>
      <c r="H173" s="6">
        <v>0.8125</v>
      </c>
      <c r="I173" t="s">
        <v>139</v>
      </c>
      <c r="J173" t="s">
        <v>166</v>
      </c>
      <c r="K173" t="s">
        <v>25</v>
      </c>
      <c r="M173" t="s">
        <v>17</v>
      </c>
      <c r="N173" t="str">
        <v>Destino</v>
      </c>
      <c r="O173" t="str">
        <v>SEVILLA</v>
      </c>
      <c r="P173" t="str">
        <v>SVQ</v>
      </c>
      <c r="Q173" t="str">
        <v>14:10:00</v>
      </c>
      <c r="R173" t="str">
        <v>320</v>
      </c>
      <c r="S173" t="str">
        <v xml:space="preserve">  VLG3255</v>
      </c>
      <c r="T173" t="str">
        <v>ESPAÑA</v>
      </c>
      <c r="U173" t="str">
        <v/>
      </c>
      <c r="V173" t="str">
        <v>TFN</v>
      </c>
      <c r="W173" t="str">
        <v>09/02/2019</v>
      </c>
      <c r="X173">
        <v>180</v>
      </c>
      <c r="Y173" t="str">
        <v>Airbus A320-100/200</v>
      </c>
    </row>
    <row r="174" spans="1:25" x14ac:dyDescent="0.25">
      <c r="A174" t="s">
        <v>1436</v>
      </c>
      <c r="B174" t="s">
        <v>0</v>
      </c>
      <c r="C174" t="s">
        <v>137</v>
      </c>
      <c r="D174" t="s">
        <v>138</v>
      </c>
      <c r="E174" t="s">
        <v>48</v>
      </c>
      <c r="F174" s="5">
        <v>43406</v>
      </c>
      <c r="G174" s="5">
        <v>43553</v>
      </c>
      <c r="H174" s="6">
        <v>0.8125</v>
      </c>
      <c r="I174" t="s">
        <v>141</v>
      </c>
      <c r="J174" t="s">
        <v>170</v>
      </c>
      <c r="K174" t="s">
        <v>25</v>
      </c>
      <c r="M174" t="s">
        <v>17</v>
      </c>
      <c r="N174" t="str">
        <v>Destino</v>
      </c>
      <c r="O174" t="str">
        <v>SEVILLA</v>
      </c>
      <c r="P174" t="str">
        <v>SVQ</v>
      </c>
      <c r="Q174" t="str">
        <v>14:10:00</v>
      </c>
      <c r="R174" t="str">
        <v>320</v>
      </c>
      <c r="S174" t="str">
        <v xml:space="preserve">  VLG3255</v>
      </c>
      <c r="T174" t="str">
        <v>ESPAÑA</v>
      </c>
      <c r="U174" t="str">
        <v/>
      </c>
      <c r="V174" t="str">
        <v>TFN</v>
      </c>
      <c r="W174" t="str">
        <v>08/02/2019</v>
      </c>
      <c r="X174">
        <v>180</v>
      </c>
      <c r="Y174" t="str">
        <v>Airbus A320-100/200</v>
      </c>
    </row>
    <row r="175" spans="1:25" x14ac:dyDescent="0.25">
      <c r="A175" t="s">
        <v>1436</v>
      </c>
      <c r="B175" t="s">
        <v>0</v>
      </c>
      <c r="C175" t="s">
        <v>137</v>
      </c>
      <c r="D175" t="s">
        <v>138</v>
      </c>
      <c r="E175" t="s">
        <v>59</v>
      </c>
      <c r="F175" s="5">
        <v>43500</v>
      </c>
      <c r="G175" s="5">
        <v>43521</v>
      </c>
      <c r="H175" s="6">
        <v>0.8125</v>
      </c>
      <c r="I175" t="s">
        <v>139</v>
      </c>
      <c r="J175" t="s">
        <v>166</v>
      </c>
      <c r="K175" t="s">
        <v>25</v>
      </c>
      <c r="M175" t="s">
        <v>17</v>
      </c>
      <c r="N175" t="str">
        <v>Destino</v>
      </c>
      <c r="O175" t="str">
        <v>BARCELONA-EL PRAT</v>
      </c>
      <c r="P175" t="str">
        <v>BCN</v>
      </c>
      <c r="Q175" t="str">
        <v>07:00:00</v>
      </c>
      <c r="R175" t="str">
        <v>321</v>
      </c>
      <c r="S175" t="str">
        <v xml:space="preserve">  VLG3215</v>
      </c>
      <c r="T175" t="str">
        <v>ESPAÑA</v>
      </c>
      <c r="U175" t="str">
        <v/>
      </c>
      <c r="V175" t="str">
        <v>TFN</v>
      </c>
      <c r="W175" t="str">
        <v>06/02/2019</v>
      </c>
      <c r="X175">
        <v>200</v>
      </c>
      <c r="Y175" t="str">
        <v>Airbus A321-100/200</v>
      </c>
    </row>
    <row r="176" spans="1:25" x14ac:dyDescent="0.25">
      <c r="A176" t="s">
        <v>1436</v>
      </c>
      <c r="B176" t="s">
        <v>0</v>
      </c>
      <c r="C176" t="s">
        <v>137</v>
      </c>
      <c r="D176" t="s">
        <v>138</v>
      </c>
      <c r="E176" t="s">
        <v>151</v>
      </c>
      <c r="F176" s="5">
        <v>43401</v>
      </c>
      <c r="G176" s="5">
        <v>43553</v>
      </c>
      <c r="H176" s="6">
        <v>0.82291666666666663</v>
      </c>
      <c r="I176" t="s">
        <v>139</v>
      </c>
      <c r="J176" t="s">
        <v>171</v>
      </c>
      <c r="K176" t="s">
        <v>25</v>
      </c>
      <c r="M176" t="s">
        <v>17</v>
      </c>
      <c r="N176" t="str">
        <v>Destino</v>
      </c>
      <c r="O176" t="str">
        <v>BARCELONA-EL PRAT</v>
      </c>
      <c r="P176" t="str">
        <v>BCN</v>
      </c>
      <c r="Q176" t="str">
        <v>07:00:00</v>
      </c>
      <c r="R176" t="str">
        <v>321</v>
      </c>
      <c r="S176" t="str">
        <v xml:space="preserve">  VLG3215</v>
      </c>
      <c r="T176" t="str">
        <v>ESPAÑA</v>
      </c>
      <c r="U176" t="str">
        <v/>
      </c>
      <c r="V176" t="str">
        <v>TFN</v>
      </c>
      <c r="W176" t="str">
        <v>04/02/2019</v>
      </c>
      <c r="X176">
        <v>200</v>
      </c>
      <c r="Y176" t="str">
        <v>Airbus A321-100/200</v>
      </c>
    </row>
    <row r="177" spans="1:25" x14ac:dyDescent="0.25">
      <c r="A177" t="s">
        <v>1436</v>
      </c>
      <c r="B177" t="s">
        <v>0</v>
      </c>
      <c r="C177" t="s">
        <v>137</v>
      </c>
      <c r="D177" t="s">
        <v>138</v>
      </c>
      <c r="E177" t="s">
        <v>22</v>
      </c>
      <c r="F177" s="5">
        <v>43407</v>
      </c>
      <c r="G177" s="5">
        <v>43554</v>
      </c>
      <c r="H177" s="6">
        <v>0.82638888888888884</v>
      </c>
      <c r="I177" t="s">
        <v>139</v>
      </c>
      <c r="J177" t="s">
        <v>171</v>
      </c>
      <c r="K177" t="s">
        <v>25</v>
      </c>
      <c r="M177" t="s">
        <v>17</v>
      </c>
      <c r="N177" t="str">
        <v>Destino</v>
      </c>
      <c r="O177" t="str">
        <v>BARCELONA-EL PRAT</v>
      </c>
      <c r="P177" t="str">
        <v>BCN</v>
      </c>
      <c r="Q177" t="str">
        <v>07:00:00</v>
      </c>
      <c r="R177" t="str">
        <v>321</v>
      </c>
      <c r="S177" t="str">
        <v xml:space="preserve">  VLG3215</v>
      </c>
      <c r="T177" t="str">
        <v>ESPAÑA</v>
      </c>
      <c r="U177" t="str">
        <v/>
      </c>
      <c r="V177" t="str">
        <v>TFN</v>
      </c>
      <c r="W177" t="str">
        <v>08/02/2019</v>
      </c>
      <c r="X177">
        <v>200</v>
      </c>
      <c r="Y177" t="str">
        <v>Airbus A321-100/200</v>
      </c>
    </row>
    <row r="178" spans="1:25" x14ac:dyDescent="0.25">
      <c r="A178" t="s">
        <v>1436</v>
      </c>
      <c r="B178" t="s">
        <v>0</v>
      </c>
      <c r="C178" t="s">
        <v>137</v>
      </c>
      <c r="D178" t="s">
        <v>138</v>
      </c>
      <c r="E178" t="s">
        <v>13</v>
      </c>
      <c r="F178" s="5">
        <v>43475</v>
      </c>
      <c r="G178" s="5">
        <v>43552</v>
      </c>
      <c r="H178" s="6">
        <v>0.84375</v>
      </c>
      <c r="I178" t="s">
        <v>139</v>
      </c>
      <c r="J178" t="s">
        <v>168</v>
      </c>
      <c r="K178" t="s">
        <v>25</v>
      </c>
      <c r="M178" t="s">
        <v>17</v>
      </c>
      <c r="N178" t="str">
        <v>Destino</v>
      </c>
      <c r="O178" t="str">
        <v>BARCELONA-EL PRAT</v>
      </c>
      <c r="P178" t="str">
        <v>BCN</v>
      </c>
      <c r="Q178" t="str">
        <v>07:00:00</v>
      </c>
      <c r="R178" t="str">
        <v>321</v>
      </c>
      <c r="S178" t="str">
        <v xml:space="preserve">  VLG3215</v>
      </c>
      <c r="T178" t="str">
        <v>ESPAÑA</v>
      </c>
      <c r="U178" t="str">
        <v/>
      </c>
      <c r="V178" t="str">
        <v>TFN</v>
      </c>
      <c r="W178" t="str">
        <v>07/02/2019</v>
      </c>
      <c r="X178">
        <v>200</v>
      </c>
      <c r="Y178" t="str">
        <v>Airbus A321-100/200</v>
      </c>
    </row>
    <row r="179" spans="1:25" x14ac:dyDescent="0.25">
      <c r="A179" t="s">
        <v>1436</v>
      </c>
      <c r="B179" t="s">
        <v>0</v>
      </c>
      <c r="C179" t="s">
        <v>137</v>
      </c>
      <c r="D179" t="s">
        <v>138</v>
      </c>
      <c r="E179" t="s">
        <v>673</v>
      </c>
      <c r="F179" s="5">
        <v>43447</v>
      </c>
      <c r="G179" s="5">
        <v>43553</v>
      </c>
      <c r="H179" s="6">
        <v>0.86458333333333337</v>
      </c>
      <c r="I179" t="s">
        <v>139</v>
      </c>
      <c r="J179" t="s">
        <v>172</v>
      </c>
      <c r="K179" t="s">
        <v>25</v>
      </c>
      <c r="M179" t="s">
        <v>17</v>
      </c>
      <c r="N179" t="str">
        <v>Destino</v>
      </c>
      <c r="O179" t="str">
        <v>BARCELONA-EL PRAT</v>
      </c>
      <c r="P179" t="str">
        <v>BCN</v>
      </c>
      <c r="Q179" t="str">
        <v>07:00:00</v>
      </c>
      <c r="R179" t="str">
        <v>321</v>
      </c>
      <c r="S179" t="str">
        <v xml:space="preserve">  VLG3215</v>
      </c>
      <c r="T179" t="str">
        <v>ESPAÑA</v>
      </c>
      <c r="U179" t="str">
        <v/>
      </c>
      <c r="V179" t="str">
        <v>TFN</v>
      </c>
      <c r="W179" t="str">
        <v>10/02/2019</v>
      </c>
      <c r="X179">
        <v>200</v>
      </c>
      <c r="Y179" t="str">
        <v>Airbus A321-100/200</v>
      </c>
    </row>
    <row r="180" spans="1:25" x14ac:dyDescent="0.25">
      <c r="A180" t="s">
        <v>1436</v>
      </c>
      <c r="B180" t="s">
        <v>0</v>
      </c>
      <c r="C180" t="s">
        <v>137</v>
      </c>
      <c r="D180" t="s">
        <v>138</v>
      </c>
      <c r="E180" t="s">
        <v>20</v>
      </c>
      <c r="F180" s="5">
        <v>43474</v>
      </c>
      <c r="G180" s="5">
        <v>43523</v>
      </c>
      <c r="H180" s="6">
        <v>0.86458333333333337</v>
      </c>
      <c r="I180" t="s">
        <v>139</v>
      </c>
      <c r="J180" t="s">
        <v>172</v>
      </c>
      <c r="K180" t="s">
        <v>25</v>
      </c>
      <c r="M180" t="s">
        <v>17</v>
      </c>
      <c r="N180" t="str">
        <v>Destino</v>
      </c>
      <c r="O180" t="str">
        <v>BARCELONA-EL PRAT</v>
      </c>
      <c r="P180" t="str">
        <v>BCN</v>
      </c>
      <c r="Q180" t="str">
        <v>07:00:00</v>
      </c>
      <c r="R180" t="str">
        <v>321</v>
      </c>
      <c r="S180" t="str">
        <v xml:space="preserve">  VLG3215</v>
      </c>
      <c r="T180" t="str">
        <v>ESPAÑA</v>
      </c>
      <c r="U180" t="str">
        <v/>
      </c>
      <c r="V180" t="str">
        <v>TFN</v>
      </c>
      <c r="W180" t="str">
        <v>09/02/2019</v>
      </c>
      <c r="X180">
        <v>200</v>
      </c>
      <c r="Y180" t="str">
        <v>Airbus A321-100/200</v>
      </c>
    </row>
    <row r="181" spans="1:25" x14ac:dyDescent="0.25">
      <c r="A181" t="s">
        <v>1436</v>
      </c>
      <c r="B181" t="s">
        <v>0</v>
      </c>
      <c r="C181" t="s">
        <v>137</v>
      </c>
      <c r="D181" t="s">
        <v>138</v>
      </c>
      <c r="E181" t="s">
        <v>59</v>
      </c>
      <c r="F181" s="5">
        <v>43486</v>
      </c>
      <c r="G181" s="5">
        <v>43549</v>
      </c>
      <c r="H181" s="6">
        <v>0.86458333333333337</v>
      </c>
      <c r="I181" t="s">
        <v>139</v>
      </c>
      <c r="J181" t="s">
        <v>172</v>
      </c>
      <c r="K181" t="s">
        <v>25</v>
      </c>
      <c r="M181" t="s">
        <v>17</v>
      </c>
      <c r="N181" t="str">
        <v>Destino</v>
      </c>
      <c r="O181" t="str">
        <v>BARCELONA-EL PRAT</v>
      </c>
      <c r="P181" t="str">
        <v>BCN</v>
      </c>
      <c r="Q181" t="str">
        <v>07:00:00</v>
      </c>
      <c r="R181" t="str">
        <v>321</v>
      </c>
      <c r="S181" t="str">
        <v xml:space="preserve">  VLG3215</v>
      </c>
      <c r="T181" t="str">
        <v>ESPAÑA</v>
      </c>
      <c r="U181" t="str">
        <v/>
      </c>
      <c r="V181" t="str">
        <v>TFN</v>
      </c>
      <c r="W181" t="str">
        <v>05/02/2019</v>
      </c>
      <c r="X181">
        <v>200</v>
      </c>
      <c r="Y181" t="str">
        <v>Airbus A321-100/200</v>
      </c>
    </row>
    <row r="182" spans="1:25" x14ac:dyDescent="0.25">
      <c r="A182" t="s">
        <v>1436</v>
      </c>
      <c r="B182" t="s">
        <v>0</v>
      </c>
      <c r="C182" t="s">
        <v>137</v>
      </c>
      <c r="D182" t="s">
        <v>138</v>
      </c>
      <c r="E182" t="s">
        <v>18</v>
      </c>
      <c r="F182" s="5">
        <v>43499</v>
      </c>
      <c r="G182" s="5">
        <v>43548</v>
      </c>
      <c r="H182" s="6">
        <v>0.86458333333333337</v>
      </c>
      <c r="I182" t="s">
        <v>139</v>
      </c>
      <c r="J182" t="s">
        <v>172</v>
      </c>
      <c r="K182" t="s">
        <v>25</v>
      </c>
      <c r="M182" t="s">
        <v>17</v>
      </c>
      <c r="N182" t="str">
        <v>Destino</v>
      </c>
      <c r="O182" t="str">
        <v>BARCELONA-EL PRAT</v>
      </c>
      <c r="P182" t="str">
        <v>BCN</v>
      </c>
      <c r="Q182" t="str">
        <v>15:20:00</v>
      </c>
      <c r="R182" t="str">
        <v>321</v>
      </c>
      <c r="S182" t="str">
        <v xml:space="preserve">  VLG3217</v>
      </c>
      <c r="T182" t="str">
        <v>ESPAÑA</v>
      </c>
      <c r="U182" t="str">
        <v/>
      </c>
      <c r="V182" t="str">
        <v>TFN</v>
      </c>
      <c r="W182" t="str">
        <v>06/02/2019</v>
      </c>
      <c r="X182">
        <v>200</v>
      </c>
      <c r="Y182" t="str">
        <v>Airbus A321-100/200</v>
      </c>
    </row>
    <row r="183" spans="1:25" x14ac:dyDescent="0.25">
      <c r="A183" t="s">
        <v>1436</v>
      </c>
      <c r="B183" t="s">
        <v>0</v>
      </c>
      <c r="C183" t="s">
        <v>137</v>
      </c>
      <c r="D183" t="s">
        <v>138</v>
      </c>
      <c r="E183" t="s">
        <v>19</v>
      </c>
      <c r="F183" s="5">
        <v>43501</v>
      </c>
      <c r="G183" s="5">
        <v>43522</v>
      </c>
      <c r="H183" s="6">
        <v>0.86458333333333337</v>
      </c>
      <c r="I183" t="s">
        <v>139</v>
      </c>
      <c r="J183" t="s">
        <v>172</v>
      </c>
      <c r="K183" t="s">
        <v>25</v>
      </c>
      <c r="M183" t="s">
        <v>17</v>
      </c>
      <c r="N183" t="str">
        <v>Destino</v>
      </c>
      <c r="O183" t="str">
        <v>BARCELONA-EL PRAT</v>
      </c>
      <c r="P183" t="str">
        <v>BCN</v>
      </c>
      <c r="Q183" t="str">
        <v>15:20:00</v>
      </c>
      <c r="R183" t="str">
        <v>321</v>
      </c>
      <c r="S183" t="str">
        <v xml:space="preserve">  VLG3217</v>
      </c>
      <c r="T183" t="str">
        <v>ESPAÑA</v>
      </c>
      <c r="U183" t="str">
        <v/>
      </c>
      <c r="V183" t="str">
        <v>TFN</v>
      </c>
      <c r="W183" t="str">
        <v>08/02/2019</v>
      </c>
      <c r="X183">
        <v>200</v>
      </c>
      <c r="Y183" t="str">
        <v>Airbus A321-100/200</v>
      </c>
    </row>
    <row r="184" spans="1:25" x14ac:dyDescent="0.25">
      <c r="A184" t="s">
        <v>1436</v>
      </c>
      <c r="B184" t="s">
        <v>0</v>
      </c>
      <c r="C184" t="s">
        <v>137</v>
      </c>
      <c r="D184" t="s">
        <v>138</v>
      </c>
      <c r="E184" t="s">
        <v>1846</v>
      </c>
      <c r="F184" s="5">
        <v>43401</v>
      </c>
      <c r="G184" s="5">
        <v>43554</v>
      </c>
      <c r="H184" s="6">
        <v>0.87152777777777779</v>
      </c>
      <c r="I184" t="s">
        <v>139</v>
      </c>
      <c r="J184" t="s">
        <v>174</v>
      </c>
      <c r="K184" t="s">
        <v>25</v>
      </c>
      <c r="M184" t="s">
        <v>17</v>
      </c>
      <c r="N184" t="str">
        <v>Destino</v>
      </c>
      <c r="O184" t="str">
        <v>BARCELONA-EL PRAT</v>
      </c>
      <c r="P184" t="str">
        <v>BCN</v>
      </c>
      <c r="Q184" t="str">
        <v>15:20:00</v>
      </c>
      <c r="R184" t="str">
        <v>321</v>
      </c>
      <c r="S184" t="str">
        <v xml:space="preserve">  VLG3217</v>
      </c>
      <c r="T184" t="str">
        <v>ESPAÑA</v>
      </c>
      <c r="U184" t="str">
        <v/>
      </c>
      <c r="V184" t="str">
        <v>TFN</v>
      </c>
      <c r="W184" t="str">
        <v>07/02/2019</v>
      </c>
      <c r="X184">
        <v>200</v>
      </c>
      <c r="Y184" t="str">
        <v>Airbus A321-100/200</v>
      </c>
    </row>
    <row r="185" spans="1:25" x14ac:dyDescent="0.25">
      <c r="A185" t="s">
        <v>1436</v>
      </c>
      <c r="B185" t="s">
        <v>0</v>
      </c>
      <c r="C185" t="s">
        <v>137</v>
      </c>
      <c r="D185" t="s">
        <v>138</v>
      </c>
      <c r="E185" t="s">
        <v>298</v>
      </c>
      <c r="F185" s="5">
        <v>43472</v>
      </c>
      <c r="G185" s="5">
        <v>43551</v>
      </c>
      <c r="H185" s="6">
        <v>0.87152777777777779</v>
      </c>
      <c r="I185" t="s">
        <v>139</v>
      </c>
      <c r="J185" t="s">
        <v>174</v>
      </c>
      <c r="K185" t="s">
        <v>25</v>
      </c>
      <c r="M185" t="s">
        <v>17</v>
      </c>
      <c r="N185" t="str">
        <v>Destino</v>
      </c>
      <c r="O185" t="str">
        <v>BARCELONA-EL PRAT</v>
      </c>
      <c r="P185" t="str">
        <v>BCN</v>
      </c>
      <c r="Q185" t="str">
        <v>15:20:00</v>
      </c>
      <c r="R185" t="str">
        <v>321</v>
      </c>
      <c r="S185" t="str">
        <v xml:space="preserve">  VLG3217</v>
      </c>
      <c r="T185" t="str">
        <v>ESPAÑA</v>
      </c>
      <c r="U185" t="str">
        <v/>
      </c>
      <c r="V185" t="str">
        <v>TFN</v>
      </c>
      <c r="W185" t="str">
        <v>10/02/2019</v>
      </c>
      <c r="X185">
        <v>200</v>
      </c>
      <c r="Y185" t="str">
        <v>Airbus A321-100/200</v>
      </c>
    </row>
    <row r="186" spans="1:25" x14ac:dyDescent="0.25">
      <c r="A186" t="s">
        <v>1436</v>
      </c>
      <c r="B186" t="s">
        <v>0</v>
      </c>
      <c r="C186" t="s">
        <v>137</v>
      </c>
      <c r="D186" t="s">
        <v>138</v>
      </c>
      <c r="E186" t="s">
        <v>22</v>
      </c>
      <c r="F186" s="5">
        <v>43498</v>
      </c>
      <c r="G186" s="5">
        <v>43519</v>
      </c>
      <c r="H186" s="6">
        <v>0.87847222222222221</v>
      </c>
      <c r="I186" t="s">
        <v>139</v>
      </c>
      <c r="J186" t="s">
        <v>172</v>
      </c>
      <c r="K186" t="s">
        <v>25</v>
      </c>
      <c r="M186" t="s">
        <v>17</v>
      </c>
      <c r="N186" t="str">
        <v>Destino</v>
      </c>
      <c r="O186" t="str">
        <v>BARCELONA-EL PRAT</v>
      </c>
      <c r="P186" t="str">
        <v>BCN</v>
      </c>
      <c r="Q186" t="str">
        <v>15:20:00</v>
      </c>
      <c r="R186" t="str">
        <v>321</v>
      </c>
      <c r="S186" t="str">
        <v xml:space="preserve">  VLG3217</v>
      </c>
      <c r="T186" t="str">
        <v>ESPAÑA</v>
      </c>
      <c r="U186" t="str">
        <v/>
      </c>
      <c r="V186" t="str">
        <v>TFN</v>
      </c>
      <c r="W186" t="str">
        <v>09/02/2019</v>
      </c>
      <c r="X186">
        <v>200</v>
      </c>
      <c r="Y186" t="str">
        <v>Airbus A321-100/200</v>
      </c>
    </row>
    <row r="187" spans="1:25" x14ac:dyDescent="0.25">
      <c r="A187" t="s">
        <v>1436</v>
      </c>
      <c r="B187" t="s">
        <v>0</v>
      </c>
      <c r="C187" t="s">
        <v>137</v>
      </c>
      <c r="D187" t="s">
        <v>138</v>
      </c>
      <c r="E187" t="s">
        <v>18</v>
      </c>
      <c r="F187" s="5">
        <v>43478</v>
      </c>
      <c r="G187" s="5">
        <v>43520</v>
      </c>
      <c r="H187" s="6">
        <v>0.89236111111111116</v>
      </c>
      <c r="I187" t="s">
        <v>139</v>
      </c>
      <c r="J187" t="s">
        <v>166</v>
      </c>
      <c r="K187" t="s">
        <v>25</v>
      </c>
      <c r="M187" t="s">
        <v>17</v>
      </c>
      <c r="N187" t="str">
        <v>Destino</v>
      </c>
      <c r="O187" t="str">
        <v>BARCELONA-EL PRAT</v>
      </c>
      <c r="P187" t="str">
        <v>BCN</v>
      </c>
      <c r="Q187" t="str">
        <v>15:20:00</v>
      </c>
      <c r="R187" t="str">
        <v>321</v>
      </c>
      <c r="S187" t="str">
        <v xml:space="preserve">  VLG3217</v>
      </c>
      <c r="T187" t="str">
        <v>ESPAÑA</v>
      </c>
      <c r="U187" t="str">
        <v/>
      </c>
      <c r="V187" t="str">
        <v>TFN</v>
      </c>
      <c r="W187" t="str">
        <v>05/02/2019</v>
      </c>
      <c r="X187">
        <v>200</v>
      </c>
      <c r="Y187" t="str">
        <v>Airbus A321-100/200</v>
      </c>
    </row>
    <row r="188" spans="1:25" x14ac:dyDescent="0.25">
      <c r="A188" t="s">
        <v>1436</v>
      </c>
      <c r="B188" t="s">
        <v>0</v>
      </c>
      <c r="C188" t="s">
        <v>137</v>
      </c>
      <c r="D188" t="s">
        <v>138</v>
      </c>
      <c r="E188" t="s">
        <v>18</v>
      </c>
      <c r="F188" s="5">
        <v>43499</v>
      </c>
      <c r="G188" s="5">
        <v>43548</v>
      </c>
      <c r="H188" s="6">
        <v>0.90625</v>
      </c>
      <c r="I188" t="s">
        <v>141</v>
      </c>
      <c r="J188" t="s">
        <v>1891</v>
      </c>
      <c r="K188" t="s">
        <v>25</v>
      </c>
      <c r="M188" t="s">
        <v>17</v>
      </c>
      <c r="N188" t="str">
        <v>Destino</v>
      </c>
      <c r="O188" t="str">
        <v>BARCELONA-EL PRAT</v>
      </c>
      <c r="P188" t="str">
        <v>BCN</v>
      </c>
      <c r="Q188" t="str">
        <v>15:20:00</v>
      </c>
      <c r="R188" t="str">
        <v>321</v>
      </c>
      <c r="S188" t="str">
        <v xml:space="preserve">  VLG3217</v>
      </c>
      <c r="T188" t="str">
        <v>ESPAÑA</v>
      </c>
      <c r="U188" t="str">
        <v/>
      </c>
      <c r="V188" t="str">
        <v>TFN</v>
      </c>
      <c r="W188" t="str">
        <v>04/02/2019</v>
      </c>
      <c r="X188">
        <v>200</v>
      </c>
      <c r="Y188" t="str">
        <v>Airbus A321-100/200</v>
      </c>
    </row>
    <row r="189" spans="1:25" x14ac:dyDescent="0.25">
      <c r="A189" t="s">
        <v>1436</v>
      </c>
      <c r="B189" t="s">
        <v>0</v>
      </c>
      <c r="C189" t="s">
        <v>137</v>
      </c>
      <c r="D189" t="s">
        <v>138</v>
      </c>
      <c r="E189" t="s">
        <v>144</v>
      </c>
      <c r="F189" s="5">
        <v>43401</v>
      </c>
      <c r="G189" s="5">
        <v>43554</v>
      </c>
      <c r="H189" s="6">
        <v>0.92361111111111116</v>
      </c>
      <c r="I189" t="s">
        <v>139</v>
      </c>
      <c r="J189" t="s">
        <v>175</v>
      </c>
      <c r="K189" t="s">
        <v>25</v>
      </c>
      <c r="M189" t="s">
        <v>17</v>
      </c>
      <c r="N189" t="str">
        <v>Destino</v>
      </c>
      <c r="O189" t="str">
        <v>MADRID-BARAJAS ADOLFO SUÁREZ</v>
      </c>
      <c r="P189" t="str">
        <v>MAD</v>
      </c>
      <c r="Q189" t="str">
        <v>18:50:00</v>
      </c>
      <c r="R189" t="str">
        <v>321</v>
      </c>
      <c r="S189" t="str">
        <v xml:space="preserve">  IBE3939</v>
      </c>
      <c r="T189" t="str">
        <v>ESPAÑA</v>
      </c>
      <c r="U189" t="str">
        <v/>
      </c>
      <c r="V189" t="str">
        <v>TFN</v>
      </c>
      <c r="W189" t="str">
        <v>10/02/2019</v>
      </c>
      <c r="X189">
        <v>200</v>
      </c>
      <c r="Y189" t="str">
        <v>Airbus A321-100/200</v>
      </c>
    </row>
    <row r="190" spans="1:25" x14ac:dyDescent="0.25">
      <c r="A190" t="s">
        <v>1436</v>
      </c>
      <c r="B190" t="s">
        <v>0</v>
      </c>
      <c r="C190" t="s">
        <v>137</v>
      </c>
      <c r="D190" t="s">
        <v>138</v>
      </c>
      <c r="E190" t="s">
        <v>48</v>
      </c>
      <c r="F190" s="5">
        <v>43406</v>
      </c>
      <c r="G190" s="5">
        <v>43553</v>
      </c>
      <c r="H190" s="6">
        <v>0.92708333333333337</v>
      </c>
      <c r="I190" t="s">
        <v>139</v>
      </c>
      <c r="J190" t="s">
        <v>176</v>
      </c>
      <c r="K190" t="s">
        <v>25</v>
      </c>
      <c r="M190" t="s">
        <v>17</v>
      </c>
      <c r="N190" t="str">
        <v>Destino</v>
      </c>
      <c r="O190" t="str">
        <v>MADRID-BARAJAS ADOLFO SUÁREZ</v>
      </c>
      <c r="P190" t="str">
        <v>MAD</v>
      </c>
      <c r="Q190" t="str">
        <v>19:00:00</v>
      </c>
      <c r="R190" t="str">
        <v>321</v>
      </c>
      <c r="S190" t="str">
        <v xml:space="preserve">  IBE3939</v>
      </c>
      <c r="T190" t="str">
        <v>ESPAÑA</v>
      </c>
      <c r="U190" t="str">
        <v/>
      </c>
      <c r="V190" t="str">
        <v>TFN</v>
      </c>
      <c r="W190" t="str">
        <v>09/02/2019</v>
      </c>
      <c r="X190">
        <v>200</v>
      </c>
      <c r="Y190" t="str">
        <v>Airbus A321-100/200</v>
      </c>
    </row>
    <row r="191" spans="1:25" x14ac:dyDescent="0.25">
      <c r="A191" t="s">
        <v>1436</v>
      </c>
      <c r="B191" t="s">
        <v>0</v>
      </c>
      <c r="C191" t="s">
        <v>587</v>
      </c>
      <c r="D191" t="s">
        <v>588</v>
      </c>
      <c r="E191" t="s">
        <v>13</v>
      </c>
      <c r="F191" s="5">
        <v>43489</v>
      </c>
      <c r="G191" s="5">
        <v>43552</v>
      </c>
      <c r="H191" s="6">
        <v>0.53819444444444442</v>
      </c>
      <c r="I191" t="s">
        <v>14</v>
      </c>
      <c r="J191" t="s">
        <v>1455</v>
      </c>
      <c r="K191" t="s">
        <v>16</v>
      </c>
      <c r="M191" t="s">
        <v>17</v>
      </c>
      <c r="N191" t="str">
        <v>Destino</v>
      </c>
      <c r="O191" t="str">
        <v>MADRID-BARAJAS ADOLFO SUÁREZ</v>
      </c>
      <c r="P191" t="str">
        <v>MAD</v>
      </c>
      <c r="Q191" t="str">
        <v>19:05:00</v>
      </c>
      <c r="R191" t="str">
        <v>321</v>
      </c>
      <c r="S191" t="str">
        <v xml:space="preserve">  IBE3939</v>
      </c>
      <c r="T191" t="str">
        <v>ESPAÑA</v>
      </c>
      <c r="U191" t="str">
        <v/>
      </c>
      <c r="V191" t="str">
        <v>TFN</v>
      </c>
      <c r="W191" t="str">
        <v>04/02/2019</v>
      </c>
      <c r="X191">
        <v>200</v>
      </c>
      <c r="Y191" t="str">
        <v>Airbus A321-100/200</v>
      </c>
    </row>
    <row r="192" spans="1:25" x14ac:dyDescent="0.25">
      <c r="A192" t="s">
        <v>1436</v>
      </c>
      <c r="B192" t="s">
        <v>0</v>
      </c>
      <c r="C192" t="s">
        <v>177</v>
      </c>
      <c r="D192" t="s">
        <v>178</v>
      </c>
      <c r="E192" t="s">
        <v>19</v>
      </c>
      <c r="F192" s="5">
        <v>43403</v>
      </c>
      <c r="G192" s="5">
        <v>43550</v>
      </c>
      <c r="H192" s="6">
        <v>0.63541666666666663</v>
      </c>
      <c r="I192" t="s">
        <v>104</v>
      </c>
      <c r="J192" t="s">
        <v>179</v>
      </c>
      <c r="K192" t="s">
        <v>45</v>
      </c>
      <c r="M192" t="s">
        <v>17</v>
      </c>
      <c r="N192" t="str">
        <v>Destino</v>
      </c>
      <c r="O192" t="str">
        <v>CARACAS/ SIMON BOLIVAR</v>
      </c>
      <c r="P192" t="str">
        <v>CCS</v>
      </c>
      <c r="Q192" t="str">
        <v>12:20:00</v>
      </c>
      <c r="R192" t="str">
        <v>343</v>
      </c>
      <c r="S192" t="str">
        <v xml:space="preserve">  PUE711</v>
      </c>
      <c r="T192" t="str">
        <v>VENEZUELA</v>
      </c>
      <c r="U192" t="str">
        <v/>
      </c>
      <c r="V192" t="str">
        <v>TFN</v>
      </c>
      <c r="W192" t="str">
        <v>10/02/2019</v>
      </c>
      <c r="X192">
        <v>295</v>
      </c>
      <c r="Y192" t="str">
        <v>Airbus A340-300</v>
      </c>
    </row>
    <row r="193" spans="1:25" x14ac:dyDescent="0.25">
      <c r="A193" t="s">
        <v>1436</v>
      </c>
      <c r="B193" t="s">
        <v>0</v>
      </c>
      <c r="C193" t="s">
        <v>177</v>
      </c>
      <c r="D193" t="s">
        <v>178</v>
      </c>
      <c r="E193" t="s">
        <v>19</v>
      </c>
      <c r="F193" s="5">
        <v>43403</v>
      </c>
      <c r="G193" s="5">
        <v>43550</v>
      </c>
      <c r="H193" s="6">
        <v>0.66666666666666663</v>
      </c>
      <c r="I193" t="s">
        <v>352</v>
      </c>
      <c r="J193" t="s">
        <v>1456</v>
      </c>
      <c r="K193" t="s">
        <v>45</v>
      </c>
      <c r="M193" t="s">
        <v>17</v>
      </c>
      <c r="N193" t="str">
        <v>Destino</v>
      </c>
      <c r="O193" t="str">
        <v>CASABLANCA/ MOHAMED V</v>
      </c>
      <c r="P193" t="str">
        <v>CMN</v>
      </c>
      <c r="Q193" t="str">
        <v>16:35:00</v>
      </c>
      <c r="R193" t="str">
        <v>AT7</v>
      </c>
      <c r="S193" t="str">
        <v xml:space="preserve">  RAM994</v>
      </c>
      <c r="T193" t="str">
        <v>MARRUECOS</v>
      </c>
      <c r="U193" t="str">
        <v>LPA</v>
      </c>
      <c r="V193" t="str">
        <v>TFN</v>
      </c>
      <c r="W193" t="str">
        <v>10/02/2019</v>
      </c>
      <c r="X193">
        <v>72</v>
      </c>
      <c r="Y193" t="str">
        <v>Aerospatiale/Alenia ATR72</v>
      </c>
    </row>
    <row r="194" spans="1:25" x14ac:dyDescent="0.25">
      <c r="A194" t="s">
        <v>1436</v>
      </c>
      <c r="B194" t="s">
        <v>0</v>
      </c>
      <c r="C194" t="s">
        <v>177</v>
      </c>
      <c r="D194" t="s">
        <v>178</v>
      </c>
      <c r="E194" t="s">
        <v>18</v>
      </c>
      <c r="F194" s="5">
        <v>43408</v>
      </c>
      <c r="G194" s="5">
        <v>43548</v>
      </c>
      <c r="H194" s="6">
        <v>0.6875</v>
      </c>
      <c r="I194" t="s">
        <v>39</v>
      </c>
      <c r="J194" t="s">
        <v>179</v>
      </c>
      <c r="K194" t="s">
        <v>45</v>
      </c>
      <c r="M194" t="s">
        <v>17</v>
      </c>
      <c r="N194" t="str">
        <v>Destino</v>
      </c>
      <c r="O194" t="str">
        <v>CASABLANCA/ MOHAMED V</v>
      </c>
      <c r="P194" t="str">
        <v>CMN</v>
      </c>
      <c r="Q194" t="str">
        <v>16:35:00</v>
      </c>
      <c r="R194" t="str">
        <v>AT7</v>
      </c>
      <c r="S194" t="str">
        <v xml:space="preserve">  RAM994</v>
      </c>
      <c r="T194" t="str">
        <v>MARRUECOS</v>
      </c>
      <c r="U194" t="str">
        <v>LPA</v>
      </c>
      <c r="V194" t="str">
        <v>TFN</v>
      </c>
      <c r="W194" t="str">
        <v>08/02/2019</v>
      </c>
      <c r="X194">
        <v>72</v>
      </c>
      <c r="Y194" t="str">
        <v>Aerospatiale/Alenia ATR72</v>
      </c>
    </row>
    <row r="195" spans="1:25" x14ac:dyDescent="0.25">
      <c r="A195" t="s">
        <v>1436</v>
      </c>
      <c r="B195" t="s">
        <v>0</v>
      </c>
      <c r="C195" t="s">
        <v>177</v>
      </c>
      <c r="D195" t="s">
        <v>178</v>
      </c>
      <c r="E195" t="s">
        <v>18</v>
      </c>
      <c r="F195" s="5">
        <v>43408</v>
      </c>
      <c r="G195" s="5">
        <v>43548</v>
      </c>
      <c r="H195" s="6">
        <v>0.6875</v>
      </c>
      <c r="I195" t="s">
        <v>352</v>
      </c>
      <c r="J195" t="s">
        <v>1456</v>
      </c>
      <c r="K195" t="s">
        <v>45</v>
      </c>
      <c r="M195" t="s">
        <v>17</v>
      </c>
      <c r="N195" t="str">
        <v>Destino</v>
      </c>
      <c r="O195" t="str">
        <v>CASABLANCA/ MOHAMED V</v>
      </c>
      <c r="P195" t="str">
        <v>CMN</v>
      </c>
      <c r="Q195" t="str">
        <v>17:50:00</v>
      </c>
      <c r="R195" t="str">
        <v>AT7</v>
      </c>
      <c r="S195" t="str">
        <v xml:space="preserve">  RAM978</v>
      </c>
      <c r="T195" t="str">
        <v>MARRUECOS</v>
      </c>
      <c r="U195" t="str">
        <v/>
      </c>
      <c r="V195" t="str">
        <v>TFN</v>
      </c>
      <c r="W195" t="str">
        <v>07/02/2019</v>
      </c>
      <c r="X195">
        <v>72</v>
      </c>
      <c r="Y195" t="str">
        <v>Aerospatiale/Alenia ATR72</v>
      </c>
    </row>
    <row r="196" spans="1:25" x14ac:dyDescent="0.25">
      <c r="A196" t="s">
        <v>1436</v>
      </c>
      <c r="B196" t="s">
        <v>0</v>
      </c>
      <c r="C196" t="s">
        <v>177</v>
      </c>
      <c r="D196" t="s">
        <v>178</v>
      </c>
      <c r="E196" t="s">
        <v>48</v>
      </c>
      <c r="F196" s="5">
        <v>43406</v>
      </c>
      <c r="G196" s="5">
        <v>43553</v>
      </c>
      <c r="H196" s="6">
        <v>0.69444444444444453</v>
      </c>
      <c r="I196" t="s">
        <v>104</v>
      </c>
      <c r="J196" t="s">
        <v>179</v>
      </c>
      <c r="K196" t="s">
        <v>45</v>
      </c>
      <c r="M196" t="s">
        <v>17</v>
      </c>
      <c r="N196" t="str">
        <v>Destino</v>
      </c>
      <c r="O196" t="str">
        <v>CASABLANCA/ MOHAMED V</v>
      </c>
      <c r="P196" t="str">
        <v>CMN</v>
      </c>
      <c r="Q196" t="str">
        <v>17:50:00</v>
      </c>
      <c r="R196" t="str">
        <v>AT7</v>
      </c>
      <c r="S196" t="str">
        <v xml:space="preserve">  RAM978</v>
      </c>
      <c r="T196" t="str">
        <v>MARRUECOS</v>
      </c>
      <c r="U196" t="str">
        <v/>
      </c>
      <c r="V196" t="str">
        <v>TFN</v>
      </c>
      <c r="W196" t="str">
        <v>09/02/2019</v>
      </c>
      <c r="X196">
        <v>72</v>
      </c>
      <c r="Y196" t="str">
        <v>Aerospatiale/Alenia ATR72</v>
      </c>
    </row>
    <row r="197" spans="1:25" x14ac:dyDescent="0.25">
      <c r="A197" t="s">
        <v>1436</v>
      </c>
      <c r="B197" t="s">
        <v>0</v>
      </c>
      <c r="C197" t="s">
        <v>180</v>
      </c>
      <c r="D197" t="s">
        <v>181</v>
      </c>
      <c r="E197" t="s">
        <v>18</v>
      </c>
      <c r="F197" s="5">
        <v>43513</v>
      </c>
      <c r="G197" s="5">
        <v>43520</v>
      </c>
      <c r="H197" s="6">
        <v>0.40625</v>
      </c>
      <c r="I197" t="s">
        <v>106</v>
      </c>
      <c r="J197" t="s">
        <v>183</v>
      </c>
      <c r="K197" t="s">
        <v>45</v>
      </c>
      <c r="M197" t="s">
        <v>17</v>
      </c>
      <c r="N197" t="str">
        <v>Destino</v>
      </c>
      <c r="O197" t="str">
        <v>EL HIERRO / VALVERDE</v>
      </c>
      <c r="P197" t="str">
        <v>VDE</v>
      </c>
      <c r="Q197" t="str">
        <v>07:55:00</v>
      </c>
      <c r="R197" t="str">
        <v>AT7</v>
      </c>
      <c r="S197" t="str">
        <v xml:space="preserve">  IBB655</v>
      </c>
      <c r="T197" t="str">
        <v>ESPAÑA</v>
      </c>
      <c r="U197" t="str">
        <v/>
      </c>
      <c r="V197" t="str">
        <v>TFN</v>
      </c>
      <c r="W197" t="str">
        <v>05/02/2019</v>
      </c>
      <c r="X197">
        <v>72</v>
      </c>
      <c r="Y197" t="str">
        <v>Aerospatiale/Alenia ATR72</v>
      </c>
    </row>
    <row r="198" spans="1:25" x14ac:dyDescent="0.25">
      <c r="A198" t="s">
        <v>1436</v>
      </c>
      <c r="B198" t="s">
        <v>0</v>
      </c>
      <c r="C198" t="s">
        <v>180</v>
      </c>
      <c r="D198" t="s">
        <v>181</v>
      </c>
      <c r="E198" t="s">
        <v>20</v>
      </c>
      <c r="F198" s="5">
        <v>43509</v>
      </c>
      <c r="G198" s="5">
        <v>43516</v>
      </c>
      <c r="H198" s="6">
        <v>0.4826388888888889</v>
      </c>
      <c r="I198" t="s">
        <v>106</v>
      </c>
      <c r="J198" t="s">
        <v>1916</v>
      </c>
      <c r="K198" t="s">
        <v>45</v>
      </c>
      <c r="L198" t="s">
        <v>80</v>
      </c>
      <c r="M198" t="s">
        <v>17</v>
      </c>
      <c r="N198" t="str">
        <v>Destino</v>
      </c>
      <c r="O198" t="str">
        <v>EL HIERRO / VALVERDE</v>
      </c>
      <c r="P198" t="str">
        <v>VDE</v>
      </c>
      <c r="Q198" t="str">
        <v>07:55:00</v>
      </c>
      <c r="R198" t="str">
        <v>AT7</v>
      </c>
      <c r="S198" t="str">
        <v xml:space="preserve">  IBB655</v>
      </c>
      <c r="T198" t="str">
        <v>ESPAÑA</v>
      </c>
      <c r="U198" t="str">
        <v/>
      </c>
      <c r="V198" t="str">
        <v>TFN</v>
      </c>
      <c r="W198" t="str">
        <v>04/02/2019</v>
      </c>
      <c r="X198">
        <v>72</v>
      </c>
      <c r="Y198" t="str">
        <v>Aerospatiale/Alenia ATR72</v>
      </c>
    </row>
    <row r="199" spans="1:25" x14ac:dyDescent="0.25">
      <c r="A199" t="s">
        <v>1436</v>
      </c>
      <c r="B199" t="s">
        <v>0</v>
      </c>
      <c r="C199" t="s">
        <v>180</v>
      </c>
      <c r="D199" t="s">
        <v>181</v>
      </c>
      <c r="E199" t="s">
        <v>48</v>
      </c>
      <c r="F199" s="5">
        <v>43406</v>
      </c>
      <c r="G199" s="5">
        <v>43553</v>
      </c>
      <c r="H199" s="6">
        <v>0.75694444444444453</v>
      </c>
      <c r="I199">
        <v>320</v>
      </c>
      <c r="J199" t="s">
        <v>182</v>
      </c>
      <c r="K199" t="s">
        <v>45</v>
      </c>
      <c r="M199" t="s">
        <v>17</v>
      </c>
      <c r="N199" t="str">
        <v>Destino</v>
      </c>
      <c r="O199" t="str">
        <v>EL HIERRO / VALVERDE</v>
      </c>
      <c r="P199" t="str">
        <v>VDE</v>
      </c>
      <c r="Q199" t="str">
        <v>07:55:00</v>
      </c>
      <c r="R199" t="str">
        <v>AT7</v>
      </c>
      <c r="S199" t="str">
        <v xml:space="preserve">  IBB655</v>
      </c>
      <c r="T199" t="str">
        <v>ESPAÑA</v>
      </c>
      <c r="U199" t="str">
        <v/>
      </c>
      <c r="V199" t="str">
        <v>TFN</v>
      </c>
      <c r="W199" t="str">
        <v>08/02/2019</v>
      </c>
      <c r="X199">
        <v>72</v>
      </c>
      <c r="Y199" t="str">
        <v>Aerospatiale/Alenia ATR72</v>
      </c>
    </row>
    <row r="200" spans="1:25" x14ac:dyDescent="0.25">
      <c r="A200" t="s">
        <v>1436</v>
      </c>
      <c r="B200" t="s">
        <v>0</v>
      </c>
      <c r="C200" t="s">
        <v>593</v>
      </c>
      <c r="D200" t="s">
        <v>594</v>
      </c>
      <c r="E200" t="s">
        <v>22</v>
      </c>
      <c r="F200" s="5">
        <v>43407</v>
      </c>
      <c r="G200" s="5">
        <v>43554</v>
      </c>
      <c r="H200" s="6">
        <v>0.55208333333333337</v>
      </c>
      <c r="I200" t="s">
        <v>39</v>
      </c>
      <c r="J200" t="s">
        <v>1235</v>
      </c>
      <c r="K200" t="s">
        <v>595</v>
      </c>
      <c r="L200" t="s">
        <v>987</v>
      </c>
      <c r="M200" t="s">
        <v>17</v>
      </c>
      <c r="N200" t="str">
        <v>Destino</v>
      </c>
      <c r="O200" t="str">
        <v>EL HIERRO / VALVERDE</v>
      </c>
      <c r="P200" t="str">
        <v>VDE</v>
      </c>
      <c r="Q200" t="str">
        <v>07:55:00</v>
      </c>
      <c r="R200" t="str">
        <v>AT7</v>
      </c>
      <c r="S200" t="str">
        <v xml:space="preserve">  IBB655</v>
      </c>
      <c r="T200" t="str">
        <v>ESPAÑA</v>
      </c>
      <c r="U200" t="str">
        <v/>
      </c>
      <c r="V200" t="str">
        <v>TFN</v>
      </c>
      <c r="W200" t="str">
        <v>07/02/2019</v>
      </c>
      <c r="X200">
        <v>72</v>
      </c>
      <c r="Y200" t="str">
        <v>Aerospatiale/Alenia ATR72</v>
      </c>
    </row>
    <row r="201" spans="1:25" x14ac:dyDescent="0.25">
      <c r="A201" t="s">
        <v>1436</v>
      </c>
      <c r="B201" t="s">
        <v>0</v>
      </c>
      <c r="C201" t="s">
        <v>399</v>
      </c>
      <c r="D201" t="s">
        <v>400</v>
      </c>
      <c r="E201" t="s">
        <v>22</v>
      </c>
      <c r="F201" s="5">
        <v>43456</v>
      </c>
      <c r="G201" s="5">
        <v>43547</v>
      </c>
      <c r="H201" s="6">
        <v>0.86805555555555547</v>
      </c>
      <c r="I201">
        <v>738</v>
      </c>
      <c r="J201" t="s">
        <v>1826</v>
      </c>
      <c r="K201" t="s">
        <v>129</v>
      </c>
      <c r="M201" t="s">
        <v>17</v>
      </c>
      <c r="N201" t="str">
        <v>Destino</v>
      </c>
      <c r="O201" t="str">
        <v>EL HIERRO / VALVERDE</v>
      </c>
      <c r="P201" t="str">
        <v>VDE</v>
      </c>
      <c r="Q201" t="str">
        <v>07:55:00</v>
      </c>
      <c r="R201" t="str">
        <v>AT7</v>
      </c>
      <c r="S201" t="str">
        <v xml:space="preserve">  IBB655</v>
      </c>
      <c r="T201" t="str">
        <v>ESPAÑA</v>
      </c>
      <c r="U201" t="str">
        <v/>
      </c>
      <c r="V201" t="str">
        <v>TFN</v>
      </c>
      <c r="W201" t="str">
        <v>10/02/2019</v>
      </c>
      <c r="X201">
        <v>72</v>
      </c>
      <c r="Y201" t="str">
        <v>Aerospatiale/Alenia ATR72</v>
      </c>
    </row>
    <row r="202" spans="1:25" x14ac:dyDescent="0.25">
      <c r="A202" t="s">
        <v>1436</v>
      </c>
      <c r="B202" t="s">
        <v>0</v>
      </c>
      <c r="C202" t="s">
        <v>184</v>
      </c>
      <c r="D202" t="s">
        <v>185</v>
      </c>
      <c r="E202" t="s">
        <v>13</v>
      </c>
      <c r="F202" s="5">
        <v>43405</v>
      </c>
      <c r="G202" s="5">
        <v>43552</v>
      </c>
      <c r="H202" s="6">
        <v>0.45833333333333331</v>
      </c>
      <c r="I202" t="s">
        <v>14</v>
      </c>
      <c r="J202" t="s">
        <v>186</v>
      </c>
      <c r="K202" t="s">
        <v>93</v>
      </c>
      <c r="M202" t="s">
        <v>17</v>
      </c>
      <c r="N202" t="str">
        <v>Destino</v>
      </c>
      <c r="O202" t="str">
        <v>EL HIERRO / VALVERDE</v>
      </c>
      <c r="P202" t="str">
        <v>VDE</v>
      </c>
      <c r="Q202" t="str">
        <v>07:55:00</v>
      </c>
      <c r="R202" t="str">
        <v>AT7</v>
      </c>
      <c r="S202" t="str">
        <v xml:space="preserve">  IBB655</v>
      </c>
      <c r="T202" t="str">
        <v>ESPAÑA</v>
      </c>
      <c r="U202" t="str">
        <v/>
      </c>
      <c r="V202" t="str">
        <v>TFN</v>
      </c>
      <c r="W202" t="str">
        <v>09/02/2019</v>
      </c>
      <c r="X202">
        <v>72</v>
      </c>
      <c r="Y202" t="str">
        <v>Aerospatiale/Alenia ATR72</v>
      </c>
    </row>
    <row r="203" spans="1:25" x14ac:dyDescent="0.25">
      <c r="A203" t="s">
        <v>1436</v>
      </c>
      <c r="B203" t="s">
        <v>0</v>
      </c>
      <c r="C203" t="s">
        <v>187</v>
      </c>
      <c r="D203" t="s">
        <v>188</v>
      </c>
      <c r="E203" t="s">
        <v>13</v>
      </c>
      <c r="F203" s="5">
        <v>43405</v>
      </c>
      <c r="G203" s="5">
        <v>43552</v>
      </c>
      <c r="H203" s="6">
        <v>0.46180555555555558</v>
      </c>
      <c r="I203" t="s">
        <v>14</v>
      </c>
      <c r="J203" t="s">
        <v>189</v>
      </c>
      <c r="K203" t="s">
        <v>38</v>
      </c>
      <c r="M203" t="s">
        <v>17</v>
      </c>
      <c r="N203" t="str">
        <v>Destino</v>
      </c>
      <c r="O203" t="str">
        <v>EL HIERRO / VALVERDE</v>
      </c>
      <c r="P203" t="str">
        <v>VDE</v>
      </c>
      <c r="Q203" t="str">
        <v>08:00:00</v>
      </c>
      <c r="R203" t="str">
        <v>AT7</v>
      </c>
      <c r="S203" t="str">
        <v xml:space="preserve">  IBB655</v>
      </c>
      <c r="T203" t="str">
        <v>ESPAÑA</v>
      </c>
      <c r="U203" t="str">
        <v/>
      </c>
      <c r="V203" t="str">
        <v>TFN</v>
      </c>
      <c r="W203" t="str">
        <v>06/02/2019</v>
      </c>
      <c r="X203">
        <v>72</v>
      </c>
      <c r="Y203" t="str">
        <v>Aerospatiale/Alenia ATR72</v>
      </c>
    </row>
    <row r="204" spans="1:25" x14ac:dyDescent="0.25">
      <c r="A204" t="s">
        <v>1436</v>
      </c>
      <c r="B204" t="s">
        <v>0</v>
      </c>
      <c r="C204" t="s">
        <v>187</v>
      </c>
      <c r="D204" t="s">
        <v>188</v>
      </c>
      <c r="E204" t="s">
        <v>19</v>
      </c>
      <c r="F204" s="5">
        <v>43473</v>
      </c>
      <c r="G204" s="5">
        <v>43550</v>
      </c>
      <c r="H204" s="6">
        <v>0.4861111111111111</v>
      </c>
      <c r="I204" t="s">
        <v>14</v>
      </c>
      <c r="J204" t="s">
        <v>189</v>
      </c>
      <c r="K204" t="s">
        <v>38</v>
      </c>
      <c r="M204" t="s">
        <v>17</v>
      </c>
      <c r="N204" t="str">
        <v>Destino</v>
      </c>
      <c r="O204" t="str">
        <v>EL HIERRO / VALVERDE</v>
      </c>
      <c r="P204" t="str">
        <v>VDE</v>
      </c>
      <c r="Q204" t="str">
        <v>10:10:00</v>
      </c>
      <c r="R204" t="str">
        <v>AT7</v>
      </c>
      <c r="S204" t="str">
        <v xml:space="preserve">  IBB659</v>
      </c>
      <c r="T204" t="str">
        <v>ESPAÑA</v>
      </c>
      <c r="U204" t="str">
        <v/>
      </c>
      <c r="V204" t="str">
        <v>TFN</v>
      </c>
      <c r="W204" t="str">
        <v>08/02/2019</v>
      </c>
      <c r="X204">
        <v>72</v>
      </c>
      <c r="Y204" t="str">
        <v>Aerospatiale/Alenia ATR72</v>
      </c>
    </row>
    <row r="205" spans="1:25" x14ac:dyDescent="0.25">
      <c r="A205" t="s">
        <v>1436</v>
      </c>
      <c r="B205" t="s">
        <v>0</v>
      </c>
      <c r="C205" t="s">
        <v>187</v>
      </c>
      <c r="D205" t="s">
        <v>188</v>
      </c>
      <c r="E205" t="s">
        <v>13</v>
      </c>
      <c r="F205" s="5">
        <v>43510</v>
      </c>
      <c r="G205" s="5">
        <v>43517</v>
      </c>
      <c r="H205" s="6">
        <v>0.60069444444444442</v>
      </c>
      <c r="I205" t="s">
        <v>207</v>
      </c>
      <c r="J205" t="s">
        <v>191</v>
      </c>
      <c r="K205" t="s">
        <v>38</v>
      </c>
      <c r="M205" t="s">
        <v>17</v>
      </c>
      <c r="N205" t="str">
        <v>Destino</v>
      </c>
      <c r="O205" t="str">
        <v>EL HIERRO / VALVERDE</v>
      </c>
      <c r="P205" t="str">
        <v>VDE</v>
      </c>
      <c r="Q205" t="str">
        <v>10:10:00</v>
      </c>
      <c r="R205" t="str">
        <v>AT7</v>
      </c>
      <c r="S205" t="str">
        <v xml:space="preserve">  IBB659</v>
      </c>
      <c r="T205" t="str">
        <v>ESPAÑA</v>
      </c>
      <c r="U205" t="str">
        <v/>
      </c>
      <c r="V205" t="str">
        <v>TFN</v>
      </c>
      <c r="W205" t="str">
        <v>10/02/2019</v>
      </c>
      <c r="X205">
        <v>72</v>
      </c>
      <c r="Y205" t="str">
        <v>Aerospatiale/Alenia ATR72</v>
      </c>
    </row>
    <row r="206" spans="1:25" x14ac:dyDescent="0.25">
      <c r="A206" t="s">
        <v>1436</v>
      </c>
      <c r="B206" t="s">
        <v>0</v>
      </c>
      <c r="C206" t="s">
        <v>187</v>
      </c>
      <c r="D206" t="s">
        <v>188</v>
      </c>
      <c r="E206" t="s">
        <v>48</v>
      </c>
      <c r="F206" s="5">
        <v>43511</v>
      </c>
      <c r="G206" s="5">
        <v>43532</v>
      </c>
      <c r="H206" s="6">
        <v>0.60069444444444442</v>
      </c>
      <c r="I206" t="s">
        <v>207</v>
      </c>
      <c r="J206" t="s">
        <v>191</v>
      </c>
      <c r="K206" t="s">
        <v>38</v>
      </c>
      <c r="M206" t="s">
        <v>17</v>
      </c>
      <c r="N206" t="str">
        <v>Destino</v>
      </c>
      <c r="O206" t="str">
        <v>EL HIERRO / VALVERDE</v>
      </c>
      <c r="P206" t="str">
        <v>VDE</v>
      </c>
      <c r="Q206" t="str">
        <v>10:10:00</v>
      </c>
      <c r="R206" t="str">
        <v>AT7</v>
      </c>
      <c r="S206" t="str">
        <v xml:space="preserve">  IBB659</v>
      </c>
      <c r="T206" t="str">
        <v>ESPAÑA</v>
      </c>
      <c r="U206" t="str">
        <v/>
      </c>
      <c r="V206" t="str">
        <v>TFN</v>
      </c>
      <c r="W206" t="str">
        <v>09/02/2019</v>
      </c>
      <c r="X206">
        <v>72</v>
      </c>
      <c r="Y206" t="str">
        <v>Aerospatiale/Alenia ATR72</v>
      </c>
    </row>
    <row r="207" spans="1:25" x14ac:dyDescent="0.25">
      <c r="A207" t="s">
        <v>1436</v>
      </c>
      <c r="B207" t="s">
        <v>0</v>
      </c>
      <c r="C207" t="s">
        <v>187</v>
      </c>
      <c r="D207" t="s">
        <v>188</v>
      </c>
      <c r="E207" t="s">
        <v>59</v>
      </c>
      <c r="F207" s="5">
        <v>43514</v>
      </c>
      <c r="G207" s="5">
        <v>43549</v>
      </c>
      <c r="H207" s="6">
        <v>0.60069444444444442</v>
      </c>
      <c r="I207" t="s">
        <v>207</v>
      </c>
      <c r="J207" t="s">
        <v>191</v>
      </c>
      <c r="K207" t="s">
        <v>38</v>
      </c>
      <c r="M207" t="s">
        <v>17</v>
      </c>
      <c r="N207" t="str">
        <v>Destino</v>
      </c>
      <c r="O207" t="str">
        <v>EL HIERRO / VALVERDE</v>
      </c>
      <c r="P207" t="str">
        <v>VDE</v>
      </c>
      <c r="Q207" t="str">
        <v>10:10:00</v>
      </c>
      <c r="R207" t="str">
        <v>AT7</v>
      </c>
      <c r="S207" t="str">
        <v xml:space="preserve">  IBB659</v>
      </c>
      <c r="T207" t="str">
        <v>ESPAÑA</v>
      </c>
      <c r="U207" t="str">
        <v/>
      </c>
      <c r="V207" t="str">
        <v>TFN</v>
      </c>
      <c r="W207" t="str">
        <v>05/02/2019</v>
      </c>
      <c r="X207">
        <v>72</v>
      </c>
      <c r="Y207" t="str">
        <v>Aerospatiale/Alenia ATR72</v>
      </c>
    </row>
    <row r="208" spans="1:25" x14ac:dyDescent="0.25">
      <c r="A208" t="s">
        <v>1436</v>
      </c>
      <c r="B208" t="s">
        <v>0</v>
      </c>
      <c r="C208" t="s">
        <v>187</v>
      </c>
      <c r="D208" t="s">
        <v>188</v>
      </c>
      <c r="E208" t="s">
        <v>22</v>
      </c>
      <c r="F208" s="5">
        <v>43470</v>
      </c>
      <c r="G208" s="5">
        <v>43519</v>
      </c>
      <c r="H208" s="6">
        <v>0.68055555555555547</v>
      </c>
      <c r="I208" t="s">
        <v>14</v>
      </c>
      <c r="J208" t="s">
        <v>191</v>
      </c>
      <c r="K208" t="s">
        <v>38</v>
      </c>
      <c r="M208" t="s">
        <v>17</v>
      </c>
      <c r="N208" t="str">
        <v>Destino</v>
      </c>
      <c r="O208" t="str">
        <v>EL HIERRO / VALVERDE</v>
      </c>
      <c r="P208" t="str">
        <v>VDE</v>
      </c>
      <c r="Q208" t="str">
        <v>10:10:00</v>
      </c>
      <c r="R208" t="str">
        <v>AT7</v>
      </c>
      <c r="S208" t="str">
        <v xml:space="preserve">  IBB659</v>
      </c>
      <c r="T208" t="str">
        <v>ESPAÑA</v>
      </c>
      <c r="U208" t="str">
        <v/>
      </c>
      <c r="V208" t="str">
        <v>TFN</v>
      </c>
      <c r="W208" t="str">
        <v>04/02/2019</v>
      </c>
      <c r="X208">
        <v>72</v>
      </c>
      <c r="Y208" t="str">
        <v>Aerospatiale/Alenia ATR72</v>
      </c>
    </row>
    <row r="209" spans="1:25" x14ac:dyDescent="0.25">
      <c r="A209" t="s">
        <v>1436</v>
      </c>
      <c r="B209" t="s">
        <v>0</v>
      </c>
      <c r="C209" t="s">
        <v>187</v>
      </c>
      <c r="D209" t="s">
        <v>188</v>
      </c>
      <c r="E209" t="s">
        <v>18</v>
      </c>
      <c r="F209" s="5">
        <v>43513</v>
      </c>
      <c r="G209" s="5">
        <v>43520</v>
      </c>
      <c r="H209" s="6">
        <v>0.68055555555555547</v>
      </c>
      <c r="I209" t="s">
        <v>14</v>
      </c>
      <c r="J209" t="s">
        <v>191</v>
      </c>
      <c r="K209" t="s">
        <v>38</v>
      </c>
      <c r="M209" t="s">
        <v>17</v>
      </c>
      <c r="N209" t="str">
        <v>Destino</v>
      </c>
      <c r="O209" t="str">
        <v>EL HIERRO / VALVERDE</v>
      </c>
      <c r="P209" t="str">
        <v>VDE</v>
      </c>
      <c r="Q209" t="str">
        <v>10:10:00</v>
      </c>
      <c r="R209" t="str">
        <v>AT7</v>
      </c>
      <c r="S209" t="str">
        <v xml:space="preserve">  IBB659</v>
      </c>
      <c r="T209" t="str">
        <v>ESPAÑA</v>
      </c>
      <c r="U209" t="str">
        <v/>
      </c>
      <c r="V209" t="str">
        <v>TFN</v>
      </c>
      <c r="W209" t="str">
        <v>07/02/2019</v>
      </c>
      <c r="X209">
        <v>72</v>
      </c>
      <c r="Y209" t="str">
        <v>Aerospatiale/Alenia ATR72</v>
      </c>
    </row>
    <row r="210" spans="1:25" x14ac:dyDescent="0.25">
      <c r="A210" t="s">
        <v>1436</v>
      </c>
      <c r="B210" t="s">
        <v>0</v>
      </c>
      <c r="C210" t="s">
        <v>187</v>
      </c>
      <c r="D210" t="s">
        <v>188</v>
      </c>
      <c r="E210" t="s">
        <v>22</v>
      </c>
      <c r="F210" s="5">
        <v>43407</v>
      </c>
      <c r="G210" s="5">
        <v>43554</v>
      </c>
      <c r="H210" s="6">
        <v>0.78472222222222221</v>
      </c>
      <c r="I210" t="s">
        <v>14</v>
      </c>
      <c r="J210" t="s">
        <v>189</v>
      </c>
      <c r="K210" t="s">
        <v>38</v>
      </c>
      <c r="M210" t="s">
        <v>17</v>
      </c>
      <c r="N210" t="str">
        <v>Destino</v>
      </c>
      <c r="O210" t="str">
        <v>EL HIERRO / VALVERDE</v>
      </c>
      <c r="P210" t="str">
        <v>VDE</v>
      </c>
      <c r="Q210" t="str">
        <v>11:30:00</v>
      </c>
      <c r="R210" t="str">
        <v>AT7</v>
      </c>
      <c r="S210" t="str">
        <v xml:space="preserve">  IBB659</v>
      </c>
      <c r="T210" t="str">
        <v>ESPAÑA</v>
      </c>
      <c r="U210" t="str">
        <v/>
      </c>
      <c r="V210" t="str">
        <v>TFN</v>
      </c>
      <c r="W210" t="str">
        <v>06/02/2019</v>
      </c>
      <c r="X210">
        <v>72</v>
      </c>
      <c r="Y210" t="str">
        <v>Aerospatiale/Alenia ATR72</v>
      </c>
    </row>
    <row r="211" spans="1:25" x14ac:dyDescent="0.25">
      <c r="A211" t="s">
        <v>1436</v>
      </c>
      <c r="B211" t="s">
        <v>0</v>
      </c>
      <c r="C211" t="s">
        <v>192</v>
      </c>
      <c r="D211" t="s">
        <v>193</v>
      </c>
      <c r="E211" t="s">
        <v>48</v>
      </c>
      <c r="F211" s="5">
        <v>43420</v>
      </c>
      <c r="G211" s="5">
        <v>43553</v>
      </c>
      <c r="H211" s="6">
        <v>0.72916666666666663</v>
      </c>
      <c r="I211" t="s">
        <v>39</v>
      </c>
      <c r="J211" t="s">
        <v>194</v>
      </c>
      <c r="K211" t="s">
        <v>45</v>
      </c>
      <c r="M211" t="s">
        <v>17</v>
      </c>
      <c r="N211" t="str">
        <v>Destino</v>
      </c>
      <c r="O211" t="str">
        <v>EL HIERRO / VALVERDE</v>
      </c>
      <c r="P211" t="str">
        <v>VDE</v>
      </c>
      <c r="Q211" t="str">
        <v>14:00:00</v>
      </c>
      <c r="R211" t="str">
        <v>AT7</v>
      </c>
      <c r="S211" t="str">
        <v xml:space="preserve">  IBB663</v>
      </c>
      <c r="T211" t="str">
        <v>ESPAÑA</v>
      </c>
      <c r="U211" t="str">
        <v/>
      </c>
      <c r="V211" t="str">
        <v>TFN</v>
      </c>
      <c r="W211" t="str">
        <v>06/02/2019</v>
      </c>
      <c r="X211">
        <v>72</v>
      </c>
      <c r="Y211" t="str">
        <v>Aerospatiale/Alenia ATR72</v>
      </c>
    </row>
    <row r="212" spans="1:25" x14ac:dyDescent="0.25">
      <c r="A212" t="s">
        <v>1436</v>
      </c>
      <c r="B212" t="s">
        <v>0</v>
      </c>
      <c r="C212" t="s">
        <v>404</v>
      </c>
      <c r="D212" t="s">
        <v>405</v>
      </c>
      <c r="E212" t="s">
        <v>48</v>
      </c>
      <c r="F212" s="5">
        <v>43511</v>
      </c>
      <c r="G212" s="5">
        <v>43553</v>
      </c>
      <c r="H212" s="6">
        <v>0.50694444444444442</v>
      </c>
      <c r="I212" t="s">
        <v>14</v>
      </c>
      <c r="J212" t="s">
        <v>1457</v>
      </c>
      <c r="K212" t="s">
        <v>221</v>
      </c>
      <c r="M212" t="s">
        <v>17</v>
      </c>
      <c r="N212" t="str">
        <v>Destino</v>
      </c>
      <c r="O212" t="str">
        <v>EL HIERRO / VALVERDE</v>
      </c>
      <c r="P212" t="str">
        <v>VDE</v>
      </c>
      <c r="Q212" t="str">
        <v>14:00:00</v>
      </c>
      <c r="R212" t="str">
        <v>AT7</v>
      </c>
      <c r="S212" t="str">
        <v xml:space="preserve">  IBB663</v>
      </c>
      <c r="T212" t="str">
        <v>ESPAÑA</v>
      </c>
      <c r="U212" t="str">
        <v/>
      </c>
      <c r="V212" t="str">
        <v>TFN</v>
      </c>
      <c r="W212" t="str">
        <v>05/02/2019</v>
      </c>
      <c r="X212">
        <v>72</v>
      </c>
      <c r="Y212" t="str">
        <v>Aerospatiale/Alenia ATR72</v>
      </c>
    </row>
    <row r="213" spans="1:25" x14ac:dyDescent="0.25">
      <c r="A213" t="s">
        <v>1436</v>
      </c>
      <c r="B213" t="s">
        <v>0</v>
      </c>
      <c r="C213" t="s">
        <v>195</v>
      </c>
      <c r="D213" t="s">
        <v>196</v>
      </c>
      <c r="E213" t="s">
        <v>59</v>
      </c>
      <c r="F213" s="5">
        <v>43472</v>
      </c>
      <c r="G213" s="5">
        <v>43549</v>
      </c>
      <c r="H213" s="6">
        <v>0.2951388888888889</v>
      </c>
      <c r="I213" t="s">
        <v>14</v>
      </c>
      <c r="J213" t="s">
        <v>197</v>
      </c>
      <c r="K213" t="s">
        <v>38</v>
      </c>
      <c r="M213" t="s">
        <v>17</v>
      </c>
      <c r="N213" t="str">
        <v>Destino</v>
      </c>
      <c r="O213" t="str">
        <v>EL HIERRO / VALVERDE</v>
      </c>
      <c r="P213" t="str">
        <v>VDE</v>
      </c>
      <c r="Q213" t="str">
        <v>14:00:00</v>
      </c>
      <c r="R213" t="str">
        <v>AT7</v>
      </c>
      <c r="S213" t="str">
        <v xml:space="preserve">  IBB663</v>
      </c>
      <c r="T213" t="str">
        <v>ESPAÑA</v>
      </c>
      <c r="U213" t="str">
        <v/>
      </c>
      <c r="V213" t="str">
        <v>TFN</v>
      </c>
      <c r="W213" t="str">
        <v>07/02/2019</v>
      </c>
      <c r="X213">
        <v>72</v>
      </c>
      <c r="Y213" t="str">
        <v>Aerospatiale/Alenia ATR72</v>
      </c>
    </row>
    <row r="214" spans="1:25" x14ac:dyDescent="0.25">
      <c r="A214" t="s">
        <v>1436</v>
      </c>
      <c r="B214" t="s">
        <v>0</v>
      </c>
      <c r="C214" t="s">
        <v>195</v>
      </c>
      <c r="D214" t="s">
        <v>196</v>
      </c>
      <c r="E214" t="s">
        <v>48</v>
      </c>
      <c r="F214" s="5">
        <v>43406</v>
      </c>
      <c r="G214" s="5">
        <v>43553</v>
      </c>
      <c r="H214" s="6">
        <v>0.2986111111111111</v>
      </c>
      <c r="I214" t="s">
        <v>14</v>
      </c>
      <c r="J214" t="s">
        <v>197</v>
      </c>
      <c r="K214" t="s">
        <v>38</v>
      </c>
      <c r="M214" t="s">
        <v>17</v>
      </c>
      <c r="N214" t="str">
        <v>Destino</v>
      </c>
      <c r="O214" t="str">
        <v>EL HIERRO / VALVERDE</v>
      </c>
      <c r="P214" t="str">
        <v>VDE</v>
      </c>
      <c r="Q214" t="str">
        <v>14:00:00</v>
      </c>
      <c r="R214" t="str">
        <v>AT7</v>
      </c>
      <c r="S214" t="str">
        <v xml:space="preserve">  IBB663</v>
      </c>
      <c r="T214" t="str">
        <v>ESPAÑA</v>
      </c>
      <c r="U214" t="str">
        <v/>
      </c>
      <c r="V214" t="str">
        <v>TFN</v>
      </c>
      <c r="W214" t="str">
        <v>09/02/2019</v>
      </c>
      <c r="X214">
        <v>72</v>
      </c>
      <c r="Y214" t="str">
        <v>Aerospatiale/Alenia ATR72</v>
      </c>
    </row>
    <row r="215" spans="1:25" x14ac:dyDescent="0.25">
      <c r="A215" t="s">
        <v>1436</v>
      </c>
      <c r="B215" t="s">
        <v>0</v>
      </c>
      <c r="C215" t="s">
        <v>195</v>
      </c>
      <c r="D215" t="s">
        <v>196</v>
      </c>
      <c r="E215" t="s">
        <v>18</v>
      </c>
      <c r="F215" s="5">
        <v>43478</v>
      </c>
      <c r="G215" s="5">
        <v>43548</v>
      </c>
      <c r="H215" s="6">
        <v>0.5</v>
      </c>
      <c r="I215">
        <v>320</v>
      </c>
      <c r="J215" t="s">
        <v>1458</v>
      </c>
      <c r="K215" t="s">
        <v>38</v>
      </c>
      <c r="M215" t="s">
        <v>17</v>
      </c>
      <c r="N215" t="str">
        <v>Destino</v>
      </c>
      <c r="O215" t="str">
        <v>EL HIERRO / VALVERDE</v>
      </c>
      <c r="P215" t="str">
        <v>VDE</v>
      </c>
      <c r="Q215" t="str">
        <v>14:00:00</v>
      </c>
      <c r="R215" t="str">
        <v>AT7</v>
      </c>
      <c r="S215" t="str">
        <v xml:space="preserve">  IBB663</v>
      </c>
      <c r="T215" t="str">
        <v>ESPAÑA</v>
      </c>
      <c r="U215" t="str">
        <v/>
      </c>
      <c r="V215" t="str">
        <v>TFN</v>
      </c>
      <c r="W215" t="str">
        <v>04/02/2019</v>
      </c>
      <c r="X215">
        <v>72</v>
      </c>
      <c r="Y215" t="str">
        <v>Aerospatiale/Alenia ATR72</v>
      </c>
    </row>
    <row r="216" spans="1:25" x14ac:dyDescent="0.25">
      <c r="A216" t="s">
        <v>1436</v>
      </c>
      <c r="B216" t="s">
        <v>0</v>
      </c>
      <c r="C216" t="s">
        <v>195</v>
      </c>
      <c r="D216" t="s">
        <v>196</v>
      </c>
      <c r="E216" t="s">
        <v>13</v>
      </c>
      <c r="F216" s="5">
        <v>43475</v>
      </c>
      <c r="G216" s="5">
        <v>43552</v>
      </c>
      <c r="H216" s="6">
        <v>0.78125</v>
      </c>
      <c r="I216">
        <v>320</v>
      </c>
      <c r="J216" t="s">
        <v>1458</v>
      </c>
      <c r="K216" t="s">
        <v>38</v>
      </c>
      <c r="M216" t="s">
        <v>17</v>
      </c>
      <c r="N216" t="str">
        <v>Destino</v>
      </c>
      <c r="O216" t="str">
        <v>EL HIERRO / VALVERDE</v>
      </c>
      <c r="P216" t="str">
        <v>VDE</v>
      </c>
      <c r="Q216" t="str">
        <v>14:10:00</v>
      </c>
      <c r="R216" t="str">
        <v>AT7</v>
      </c>
      <c r="S216" t="str">
        <v xml:space="preserve">  IBB663</v>
      </c>
      <c r="T216" t="str">
        <v>ESPAÑA</v>
      </c>
      <c r="U216" t="str">
        <v/>
      </c>
      <c r="V216" t="str">
        <v>TFN</v>
      </c>
      <c r="W216" t="str">
        <v>08/02/2019</v>
      </c>
      <c r="X216">
        <v>72</v>
      </c>
      <c r="Y216" t="str">
        <v>Aerospatiale/Alenia ATR72</v>
      </c>
    </row>
    <row r="217" spans="1:25" x14ac:dyDescent="0.25">
      <c r="A217" t="s">
        <v>1436</v>
      </c>
      <c r="B217" t="s">
        <v>0</v>
      </c>
      <c r="C217" t="s">
        <v>195</v>
      </c>
      <c r="D217" t="s">
        <v>196</v>
      </c>
      <c r="E217" t="s">
        <v>19</v>
      </c>
      <c r="F217" s="5">
        <v>43508</v>
      </c>
      <c r="G217" s="5">
        <v>43550</v>
      </c>
      <c r="H217" s="6">
        <v>0.78125</v>
      </c>
      <c r="I217">
        <v>320</v>
      </c>
      <c r="J217" t="s">
        <v>1458</v>
      </c>
      <c r="K217" t="s">
        <v>38</v>
      </c>
      <c r="M217" t="s">
        <v>17</v>
      </c>
      <c r="N217" t="str">
        <v>Destino</v>
      </c>
      <c r="O217" t="str">
        <v>EL HIERRO / VALVERDE</v>
      </c>
      <c r="P217" t="str">
        <v>VDE</v>
      </c>
      <c r="Q217" t="str">
        <v>15:10:00</v>
      </c>
      <c r="R217" t="str">
        <v>AT7</v>
      </c>
      <c r="S217" t="str">
        <v xml:space="preserve">  IBB663</v>
      </c>
      <c r="T217" t="str">
        <v>ESPAÑA</v>
      </c>
      <c r="U217" t="str">
        <v/>
      </c>
      <c r="V217" t="str">
        <v>TFN</v>
      </c>
      <c r="W217" t="str">
        <v>10/02/2019</v>
      </c>
      <c r="X217">
        <v>72</v>
      </c>
      <c r="Y217" t="str">
        <v>Aerospatiale/Alenia ATR72</v>
      </c>
    </row>
    <row r="218" spans="1:25" x14ac:dyDescent="0.25">
      <c r="A218" t="s">
        <v>1436</v>
      </c>
      <c r="B218" t="s">
        <v>0</v>
      </c>
      <c r="C218" t="s">
        <v>198</v>
      </c>
      <c r="D218" t="s">
        <v>199</v>
      </c>
      <c r="E218" t="s">
        <v>22</v>
      </c>
      <c r="F218" s="5">
        <v>43407</v>
      </c>
      <c r="G218" s="5">
        <v>43554</v>
      </c>
      <c r="H218" s="6">
        <v>0.46875</v>
      </c>
      <c r="I218" t="s">
        <v>14</v>
      </c>
      <c r="J218" t="s">
        <v>200</v>
      </c>
      <c r="K218" t="s">
        <v>38</v>
      </c>
      <c r="M218" t="s">
        <v>17</v>
      </c>
      <c r="N218" t="str">
        <v>Destino</v>
      </c>
      <c r="O218" t="str">
        <v>EL HIERRO / VALVERDE</v>
      </c>
      <c r="P218" t="str">
        <v>VDE</v>
      </c>
      <c r="Q218" t="str">
        <v>16:10:00</v>
      </c>
      <c r="R218" t="str">
        <v>AT7</v>
      </c>
      <c r="S218" t="str">
        <v xml:space="preserve">  CNF247</v>
      </c>
      <c r="T218" t="str">
        <v>ESPAÑA</v>
      </c>
      <c r="U218" t="str">
        <v/>
      </c>
      <c r="V218" t="str">
        <v>TFN</v>
      </c>
      <c r="W218" t="str">
        <v>06/02/2019</v>
      </c>
      <c r="X218">
        <v>72</v>
      </c>
      <c r="Y218" t="str">
        <v>Aerospatiale/Alenia ATR72</v>
      </c>
    </row>
    <row r="219" spans="1:25" x14ac:dyDescent="0.25">
      <c r="A219" t="s">
        <v>1436</v>
      </c>
      <c r="B219" t="s">
        <v>0</v>
      </c>
      <c r="C219" t="s">
        <v>198</v>
      </c>
      <c r="D219" t="s">
        <v>199</v>
      </c>
      <c r="E219" t="s">
        <v>19</v>
      </c>
      <c r="F219" s="5">
        <v>43473</v>
      </c>
      <c r="G219" s="5">
        <v>43550</v>
      </c>
      <c r="H219" s="6">
        <v>0.46875</v>
      </c>
      <c r="I219" t="s">
        <v>14</v>
      </c>
      <c r="J219" t="s">
        <v>200</v>
      </c>
      <c r="K219" t="s">
        <v>38</v>
      </c>
      <c r="M219" t="s">
        <v>17</v>
      </c>
      <c r="N219" t="str">
        <v>Destino</v>
      </c>
      <c r="O219" t="str">
        <v>EL HIERRO / VALVERDE</v>
      </c>
      <c r="P219" t="str">
        <v>VDE</v>
      </c>
      <c r="Q219" t="str">
        <v>16:10:00</v>
      </c>
      <c r="R219" t="str">
        <v>AT7</v>
      </c>
      <c r="S219" t="str">
        <v xml:space="preserve">  CNF247</v>
      </c>
      <c r="T219" t="str">
        <v>ESPAÑA</v>
      </c>
      <c r="U219" t="str">
        <v/>
      </c>
      <c r="V219" t="str">
        <v>TFN</v>
      </c>
      <c r="W219" t="str">
        <v>05/02/2019</v>
      </c>
      <c r="X219">
        <v>72</v>
      </c>
      <c r="Y219" t="str">
        <v>Aerospatiale/Alenia ATR72</v>
      </c>
    </row>
    <row r="220" spans="1:25" x14ac:dyDescent="0.25">
      <c r="A220" t="s">
        <v>1436</v>
      </c>
      <c r="B220" t="s">
        <v>0</v>
      </c>
      <c r="C220" t="s">
        <v>198</v>
      </c>
      <c r="D220" t="s">
        <v>199</v>
      </c>
      <c r="E220" t="s">
        <v>13</v>
      </c>
      <c r="F220" s="5">
        <v>43468</v>
      </c>
      <c r="G220" s="5">
        <v>43552</v>
      </c>
      <c r="H220" s="6">
        <v>0.47222222222222227</v>
      </c>
      <c r="I220">
        <v>320</v>
      </c>
      <c r="J220" t="s">
        <v>201</v>
      </c>
      <c r="K220" t="s">
        <v>38</v>
      </c>
      <c r="M220" t="s">
        <v>17</v>
      </c>
      <c r="N220" t="str">
        <v>Destino</v>
      </c>
      <c r="O220" t="str">
        <v>EL HIERRO / VALVERDE</v>
      </c>
      <c r="P220" t="str">
        <v>VDE</v>
      </c>
      <c r="Q220" t="str">
        <v>16:10:00</v>
      </c>
      <c r="R220" t="str">
        <v>AT7</v>
      </c>
      <c r="S220" t="str">
        <v xml:space="preserve">  CNF247</v>
      </c>
      <c r="T220" t="str">
        <v>ESPAÑA</v>
      </c>
      <c r="U220" t="str">
        <v/>
      </c>
      <c r="V220" t="str">
        <v>TFN</v>
      </c>
      <c r="W220" t="str">
        <v>04/02/2019</v>
      </c>
      <c r="X220">
        <v>72</v>
      </c>
      <c r="Y220" t="str">
        <v>Aerospatiale/Alenia ATR72</v>
      </c>
    </row>
    <row r="221" spans="1:25" x14ac:dyDescent="0.25">
      <c r="A221" t="s">
        <v>1436</v>
      </c>
      <c r="B221" t="s">
        <v>0</v>
      </c>
      <c r="C221" t="s">
        <v>198</v>
      </c>
      <c r="D221" t="s">
        <v>199</v>
      </c>
      <c r="E221" t="s">
        <v>59</v>
      </c>
      <c r="F221" s="5">
        <v>43465</v>
      </c>
      <c r="G221" s="5">
        <v>43549</v>
      </c>
      <c r="H221" s="6">
        <v>0.49652777777777773</v>
      </c>
      <c r="I221">
        <v>320</v>
      </c>
      <c r="J221" t="s">
        <v>201</v>
      </c>
      <c r="K221" t="s">
        <v>38</v>
      </c>
      <c r="M221" t="s">
        <v>17</v>
      </c>
      <c r="N221" t="str">
        <v>Destino</v>
      </c>
      <c r="O221" t="str">
        <v>EL HIERRO / VALVERDE</v>
      </c>
      <c r="P221" t="str">
        <v>VDE</v>
      </c>
      <c r="Q221" t="str">
        <v>16:10:00</v>
      </c>
      <c r="R221" t="str">
        <v>AT7</v>
      </c>
      <c r="S221" t="str">
        <v xml:space="preserve">  CNF247</v>
      </c>
      <c r="T221" t="str">
        <v>ESPAÑA</v>
      </c>
      <c r="U221" t="str">
        <v/>
      </c>
      <c r="V221" t="str">
        <v>TFN</v>
      </c>
      <c r="W221" t="str">
        <v>08/02/2019</v>
      </c>
      <c r="X221">
        <v>72</v>
      </c>
      <c r="Y221" t="str">
        <v>Aerospatiale/Alenia ATR72</v>
      </c>
    </row>
    <row r="222" spans="1:25" x14ac:dyDescent="0.25">
      <c r="A222" t="s">
        <v>1436</v>
      </c>
      <c r="B222" t="s">
        <v>0</v>
      </c>
      <c r="C222" t="s">
        <v>198</v>
      </c>
      <c r="D222" t="s">
        <v>199</v>
      </c>
      <c r="E222" t="s">
        <v>22</v>
      </c>
      <c r="F222" s="5">
        <v>43442</v>
      </c>
      <c r="G222" s="5">
        <v>43554</v>
      </c>
      <c r="H222" s="6">
        <v>0.83333333333333337</v>
      </c>
      <c r="I222">
        <v>320</v>
      </c>
      <c r="J222" t="s">
        <v>201</v>
      </c>
      <c r="K222" t="s">
        <v>38</v>
      </c>
      <c r="M222" t="s">
        <v>17</v>
      </c>
      <c r="N222" t="str">
        <v>Destino</v>
      </c>
      <c r="O222" t="str">
        <v>EL HIERRO / VALVERDE</v>
      </c>
      <c r="P222" t="str">
        <v>VDE</v>
      </c>
      <c r="Q222" t="str">
        <v>16:10:00</v>
      </c>
      <c r="R222" t="str">
        <v>AT7</v>
      </c>
      <c r="S222" t="str">
        <v xml:space="preserve">  CNF247</v>
      </c>
      <c r="T222" t="str">
        <v>ESPAÑA</v>
      </c>
      <c r="U222" t="str">
        <v/>
      </c>
      <c r="V222" t="str">
        <v>TFN</v>
      </c>
      <c r="W222" t="str">
        <v>07/02/2019</v>
      </c>
      <c r="X222">
        <v>72</v>
      </c>
      <c r="Y222" t="str">
        <v>Aerospatiale/Alenia ATR72</v>
      </c>
    </row>
    <row r="223" spans="1:25" x14ac:dyDescent="0.25">
      <c r="A223" t="s">
        <v>1436</v>
      </c>
      <c r="B223" t="s">
        <v>0</v>
      </c>
      <c r="C223" t="s">
        <v>202</v>
      </c>
      <c r="D223" t="s">
        <v>203</v>
      </c>
      <c r="E223" t="s">
        <v>1459</v>
      </c>
      <c r="F223" s="5">
        <v>43401</v>
      </c>
      <c r="G223" s="5">
        <v>43553</v>
      </c>
      <c r="H223" s="6">
        <v>0.50347222222222221</v>
      </c>
      <c r="I223" t="s">
        <v>14</v>
      </c>
      <c r="J223" t="s">
        <v>206</v>
      </c>
      <c r="K223" t="s">
        <v>38</v>
      </c>
      <c r="M223" t="s">
        <v>17</v>
      </c>
      <c r="N223" t="str">
        <v>Destino</v>
      </c>
      <c r="O223" t="str">
        <v>EL HIERRO / VALVERDE</v>
      </c>
      <c r="P223" t="str">
        <v>VDE</v>
      </c>
      <c r="Q223" t="str">
        <v>16:10:00</v>
      </c>
      <c r="R223" t="str">
        <v>AT7</v>
      </c>
      <c r="S223" t="str">
        <v xml:space="preserve">  CNF247</v>
      </c>
      <c r="T223" t="str">
        <v>ESPAÑA</v>
      </c>
      <c r="U223" t="str">
        <v/>
      </c>
      <c r="V223" t="str">
        <v>TFN</v>
      </c>
      <c r="W223" t="str">
        <v>10/02/2019</v>
      </c>
      <c r="X223">
        <v>72</v>
      </c>
      <c r="Y223" t="str">
        <v>Aerospatiale/Alenia ATR72</v>
      </c>
    </row>
    <row r="224" spans="1:25" x14ac:dyDescent="0.25">
      <c r="A224" t="s">
        <v>1436</v>
      </c>
      <c r="B224" t="s">
        <v>0</v>
      </c>
      <c r="C224" t="s">
        <v>202</v>
      </c>
      <c r="D224" t="s">
        <v>203</v>
      </c>
      <c r="E224" t="s">
        <v>20</v>
      </c>
      <c r="F224" s="5">
        <v>43467</v>
      </c>
      <c r="G224" s="5">
        <v>43551</v>
      </c>
      <c r="H224" s="6">
        <v>0.50347222222222221</v>
      </c>
      <c r="I224" t="s">
        <v>14</v>
      </c>
      <c r="J224" t="s">
        <v>206</v>
      </c>
      <c r="K224" t="s">
        <v>38</v>
      </c>
      <c r="M224" t="s">
        <v>17</v>
      </c>
      <c r="N224" t="str">
        <v>Destino</v>
      </c>
      <c r="O224" t="str">
        <v>EL HIERRO / VALVERDE</v>
      </c>
      <c r="P224" t="str">
        <v>VDE</v>
      </c>
      <c r="Q224" t="str">
        <v>16:10:00</v>
      </c>
      <c r="R224" t="str">
        <v>AT7</v>
      </c>
      <c r="S224" t="str">
        <v xml:space="preserve">  CNF247</v>
      </c>
      <c r="T224" t="str">
        <v>ESPAÑA</v>
      </c>
      <c r="U224" t="str">
        <v/>
      </c>
      <c r="V224" t="str">
        <v>TFN</v>
      </c>
      <c r="W224" t="str">
        <v>09/02/2019</v>
      </c>
      <c r="X224">
        <v>72</v>
      </c>
      <c r="Y224" t="str">
        <v>Aerospatiale/Alenia ATR72</v>
      </c>
    </row>
    <row r="225" spans="1:25" x14ac:dyDescent="0.25">
      <c r="A225" t="s">
        <v>1436</v>
      </c>
      <c r="B225" t="s">
        <v>0</v>
      </c>
      <c r="C225" t="s">
        <v>202</v>
      </c>
      <c r="D225" t="s">
        <v>203</v>
      </c>
      <c r="E225" t="s">
        <v>18</v>
      </c>
      <c r="F225" s="5">
        <v>43408</v>
      </c>
      <c r="G225" s="5">
        <v>43548</v>
      </c>
      <c r="H225" s="6">
        <v>0.60069444444444442</v>
      </c>
      <c r="I225" t="s">
        <v>14</v>
      </c>
      <c r="J225" t="s">
        <v>204</v>
      </c>
      <c r="K225" t="s">
        <v>38</v>
      </c>
      <c r="M225" t="s">
        <v>17</v>
      </c>
      <c r="N225" t="str">
        <v>Destino</v>
      </c>
      <c r="O225" t="str">
        <v>EL HIERRO / VALVERDE</v>
      </c>
      <c r="P225" t="str">
        <v>VDE</v>
      </c>
      <c r="Q225" t="str">
        <v>16:30:00</v>
      </c>
      <c r="R225" t="str">
        <v>AT7</v>
      </c>
      <c r="S225" t="str">
        <v xml:space="preserve">  IBB673</v>
      </c>
      <c r="T225" t="str">
        <v>ESPAÑA</v>
      </c>
      <c r="U225" t="str">
        <v/>
      </c>
      <c r="V225" t="str">
        <v>TFN</v>
      </c>
      <c r="W225" t="str">
        <v>08/02/2019</v>
      </c>
      <c r="X225">
        <v>72</v>
      </c>
      <c r="Y225" t="str">
        <v>Aerospatiale/Alenia ATR72</v>
      </c>
    </row>
    <row r="226" spans="1:25" x14ac:dyDescent="0.25">
      <c r="A226" t="s">
        <v>1436</v>
      </c>
      <c r="B226" t="s">
        <v>0</v>
      </c>
      <c r="C226" t="s">
        <v>202</v>
      </c>
      <c r="D226" t="s">
        <v>203</v>
      </c>
      <c r="E226" t="s">
        <v>13</v>
      </c>
      <c r="F226" s="5">
        <v>43405</v>
      </c>
      <c r="G226" s="5">
        <v>43552</v>
      </c>
      <c r="H226" s="6">
        <v>0.63541666666666663</v>
      </c>
      <c r="I226" t="s">
        <v>14</v>
      </c>
      <c r="J226" t="s">
        <v>204</v>
      </c>
      <c r="K226" t="s">
        <v>38</v>
      </c>
      <c r="M226" t="s">
        <v>17</v>
      </c>
      <c r="N226" t="str">
        <v>Destino</v>
      </c>
      <c r="O226" t="str">
        <v>EL HIERRO / VALVERDE</v>
      </c>
      <c r="P226" t="str">
        <v>VDE</v>
      </c>
      <c r="Q226" t="str">
        <v>16:30:00</v>
      </c>
      <c r="R226" t="str">
        <v>AT7</v>
      </c>
      <c r="S226" t="str">
        <v xml:space="preserve">  IBB673</v>
      </c>
      <c r="T226" t="str">
        <v>ESPAÑA</v>
      </c>
      <c r="U226" t="str">
        <v/>
      </c>
      <c r="V226" t="str">
        <v>TFN</v>
      </c>
      <c r="W226" t="str">
        <v>10/02/2019</v>
      </c>
      <c r="X226">
        <v>72</v>
      </c>
      <c r="Y226" t="str">
        <v>Aerospatiale/Alenia ATR72</v>
      </c>
    </row>
    <row r="227" spans="1:25" x14ac:dyDescent="0.25">
      <c r="A227" t="s">
        <v>1436</v>
      </c>
      <c r="B227" t="s">
        <v>0</v>
      </c>
      <c r="C227" t="s">
        <v>202</v>
      </c>
      <c r="D227" t="s">
        <v>203</v>
      </c>
      <c r="E227" t="s">
        <v>48</v>
      </c>
      <c r="F227" s="5">
        <v>43406</v>
      </c>
      <c r="G227" s="5">
        <v>43553</v>
      </c>
      <c r="H227" s="6">
        <v>0.64236111111111105</v>
      </c>
      <c r="I227" t="s">
        <v>14</v>
      </c>
      <c r="J227" t="s">
        <v>204</v>
      </c>
      <c r="K227" t="s">
        <v>38</v>
      </c>
      <c r="M227" t="s">
        <v>17</v>
      </c>
      <c r="N227" t="str">
        <v>Destino</v>
      </c>
      <c r="O227" t="str">
        <v>EL HIERRO / VALVERDE</v>
      </c>
      <c r="P227" t="str">
        <v>VDE</v>
      </c>
      <c r="Q227" t="str">
        <v>16:50:00</v>
      </c>
      <c r="R227" t="str">
        <v>AT7</v>
      </c>
      <c r="S227" t="str">
        <v xml:space="preserve">  IBB673</v>
      </c>
      <c r="T227" t="str">
        <v>ESPAÑA</v>
      </c>
      <c r="U227" t="str">
        <v/>
      </c>
      <c r="V227" t="str">
        <v>TFN</v>
      </c>
      <c r="W227" t="str">
        <v>09/02/2019</v>
      </c>
      <c r="X227">
        <v>72</v>
      </c>
      <c r="Y227" t="str">
        <v>Aerospatiale/Alenia ATR72</v>
      </c>
    </row>
    <row r="228" spans="1:25" x14ac:dyDescent="0.25">
      <c r="A228" t="s">
        <v>1436</v>
      </c>
      <c r="B228" t="s">
        <v>0</v>
      </c>
      <c r="C228" t="s">
        <v>202</v>
      </c>
      <c r="D228" t="s">
        <v>203</v>
      </c>
      <c r="E228" t="s">
        <v>19</v>
      </c>
      <c r="F228" s="5">
        <v>43473</v>
      </c>
      <c r="G228" s="5">
        <v>43550</v>
      </c>
      <c r="H228" s="6">
        <v>0.64236111111111105</v>
      </c>
      <c r="I228" t="s">
        <v>14</v>
      </c>
      <c r="J228" t="s">
        <v>204</v>
      </c>
      <c r="K228" t="s">
        <v>38</v>
      </c>
      <c r="M228" t="s">
        <v>17</v>
      </c>
      <c r="N228" t="str">
        <v>Destino</v>
      </c>
      <c r="O228" t="str">
        <v>EL HIERRO / VALVERDE</v>
      </c>
      <c r="P228" t="str">
        <v>VDE</v>
      </c>
      <c r="Q228" t="str">
        <v>16:55:00</v>
      </c>
      <c r="R228" t="str">
        <v>AT7</v>
      </c>
      <c r="S228" t="str">
        <v xml:space="preserve">  IBB673</v>
      </c>
      <c r="T228" t="str">
        <v>ESPAÑA</v>
      </c>
      <c r="U228" t="str">
        <v/>
      </c>
      <c r="V228" t="str">
        <v>TFN</v>
      </c>
      <c r="W228" t="str">
        <v>06/02/2019</v>
      </c>
      <c r="X228">
        <v>72</v>
      </c>
      <c r="Y228" t="str">
        <v>Aerospatiale/Alenia ATR72</v>
      </c>
    </row>
    <row r="229" spans="1:25" x14ac:dyDescent="0.25">
      <c r="A229" t="s">
        <v>1436</v>
      </c>
      <c r="B229" t="s">
        <v>0</v>
      </c>
      <c r="C229" t="s">
        <v>202</v>
      </c>
      <c r="D229" t="s">
        <v>203</v>
      </c>
      <c r="E229" t="s">
        <v>298</v>
      </c>
      <c r="F229" s="5">
        <v>43507</v>
      </c>
      <c r="G229" s="5">
        <v>43551</v>
      </c>
      <c r="H229" s="6">
        <v>0.64236111111111105</v>
      </c>
      <c r="I229" t="s">
        <v>14</v>
      </c>
      <c r="J229" t="s">
        <v>204</v>
      </c>
      <c r="K229" t="s">
        <v>38</v>
      </c>
      <c r="M229" t="s">
        <v>17</v>
      </c>
      <c r="N229" t="str">
        <v>Destino</v>
      </c>
      <c r="O229" t="str">
        <v>EL HIERRO / VALVERDE</v>
      </c>
      <c r="P229" t="str">
        <v>VDE</v>
      </c>
      <c r="Q229" t="str">
        <v>16:55:00</v>
      </c>
      <c r="R229" t="str">
        <v>AT7</v>
      </c>
      <c r="S229" t="str">
        <v xml:space="preserve">  IBB673</v>
      </c>
      <c r="T229" t="str">
        <v>ESPAÑA</v>
      </c>
      <c r="U229" t="str">
        <v/>
      </c>
      <c r="V229" t="str">
        <v>TFN</v>
      </c>
      <c r="W229" t="str">
        <v>05/02/2019</v>
      </c>
      <c r="X229">
        <v>72</v>
      </c>
      <c r="Y229" t="str">
        <v>Aerospatiale/Alenia ATR72</v>
      </c>
    </row>
    <row r="230" spans="1:25" x14ac:dyDescent="0.25">
      <c r="A230" t="s">
        <v>1436</v>
      </c>
      <c r="B230" t="s">
        <v>0</v>
      </c>
      <c r="C230" t="s">
        <v>202</v>
      </c>
      <c r="D230" t="s">
        <v>203</v>
      </c>
      <c r="E230" t="s">
        <v>22</v>
      </c>
      <c r="F230" s="5">
        <v>43456</v>
      </c>
      <c r="G230" s="5">
        <v>43554</v>
      </c>
      <c r="H230" s="6">
        <v>0.80555555555555547</v>
      </c>
      <c r="I230" t="s">
        <v>14</v>
      </c>
      <c r="J230" t="s">
        <v>204</v>
      </c>
      <c r="K230" t="s">
        <v>38</v>
      </c>
      <c r="M230" t="s">
        <v>17</v>
      </c>
      <c r="N230" t="str">
        <v>Destino</v>
      </c>
      <c r="O230" t="str">
        <v>EL HIERRO / VALVERDE</v>
      </c>
      <c r="P230" t="str">
        <v>VDE</v>
      </c>
      <c r="Q230" t="str">
        <v>16:55:00</v>
      </c>
      <c r="R230" t="str">
        <v>AT7</v>
      </c>
      <c r="S230" t="str">
        <v xml:space="preserve">  IBB673</v>
      </c>
      <c r="T230" t="str">
        <v>ESPAÑA</v>
      </c>
      <c r="U230" t="str">
        <v/>
      </c>
      <c r="V230" t="str">
        <v>TFN</v>
      </c>
      <c r="W230" t="str">
        <v>04/02/2019</v>
      </c>
      <c r="X230">
        <v>72</v>
      </c>
      <c r="Y230" t="str">
        <v>Aerospatiale/Alenia ATR72</v>
      </c>
    </row>
    <row r="231" spans="1:25" x14ac:dyDescent="0.25">
      <c r="A231" t="s">
        <v>1436</v>
      </c>
      <c r="B231" t="s">
        <v>0</v>
      </c>
      <c r="C231" t="s">
        <v>202</v>
      </c>
      <c r="D231" t="s">
        <v>203</v>
      </c>
      <c r="E231" t="s">
        <v>22</v>
      </c>
      <c r="F231" s="5">
        <v>43512</v>
      </c>
      <c r="G231" s="5">
        <v>43519</v>
      </c>
      <c r="H231" s="6">
        <v>0.82291666666666663</v>
      </c>
      <c r="I231" t="s">
        <v>14</v>
      </c>
      <c r="J231" t="s">
        <v>1827</v>
      </c>
      <c r="K231" t="s">
        <v>38</v>
      </c>
      <c r="M231" t="s">
        <v>17</v>
      </c>
      <c r="N231" t="str">
        <v>Destino</v>
      </c>
      <c r="O231" t="str">
        <v>EL HIERRO / VALVERDE</v>
      </c>
      <c r="P231" t="str">
        <v>VDE</v>
      </c>
      <c r="Q231" t="str">
        <v>16:55:00</v>
      </c>
      <c r="R231" t="str">
        <v>AT7</v>
      </c>
      <c r="S231" t="str">
        <v xml:space="preserve">  IBB673</v>
      </c>
      <c r="T231" t="str">
        <v>ESPAÑA</v>
      </c>
      <c r="U231" t="str">
        <v/>
      </c>
      <c r="V231" t="str">
        <v>TFN</v>
      </c>
      <c r="W231" t="str">
        <v>07/02/2019</v>
      </c>
      <c r="X231">
        <v>72</v>
      </c>
      <c r="Y231" t="str">
        <v>Aerospatiale/Alenia ATR72</v>
      </c>
    </row>
    <row r="232" spans="1:25" x14ac:dyDescent="0.25">
      <c r="A232" t="s">
        <v>1436</v>
      </c>
      <c r="B232" t="s">
        <v>0</v>
      </c>
      <c r="C232" t="s">
        <v>208</v>
      </c>
      <c r="D232" t="s">
        <v>209</v>
      </c>
      <c r="E232" t="s">
        <v>48</v>
      </c>
      <c r="F232" s="5">
        <v>43504</v>
      </c>
      <c r="G232" s="5">
        <v>43553</v>
      </c>
      <c r="H232" s="6">
        <v>0.51041666666666663</v>
      </c>
      <c r="I232">
        <v>320</v>
      </c>
      <c r="J232" t="s">
        <v>211</v>
      </c>
      <c r="K232" t="s">
        <v>38</v>
      </c>
      <c r="M232" t="s">
        <v>17</v>
      </c>
      <c r="N232" t="str">
        <v>Destino</v>
      </c>
      <c r="O232" t="str">
        <v>FUERTEVENTURA</v>
      </c>
      <c r="P232" t="str">
        <v>FUE</v>
      </c>
      <c r="Q232" t="str">
        <v>07:00:00</v>
      </c>
      <c r="R232" t="str">
        <v>AT7</v>
      </c>
      <c r="S232" t="str">
        <v xml:space="preserve">  IBB414</v>
      </c>
      <c r="T232" t="str">
        <v>ESPAÑA</v>
      </c>
      <c r="U232" t="str">
        <v/>
      </c>
      <c r="V232" t="str">
        <v>TFN</v>
      </c>
      <c r="W232" t="str">
        <v>10/02/2019</v>
      </c>
      <c r="X232">
        <v>72</v>
      </c>
      <c r="Y232" t="str">
        <v>Aerospatiale/Alenia ATR72</v>
      </c>
    </row>
    <row r="233" spans="1:25" x14ac:dyDescent="0.25">
      <c r="A233" t="s">
        <v>1436</v>
      </c>
      <c r="B233" t="s">
        <v>0</v>
      </c>
      <c r="C233" t="s">
        <v>208</v>
      </c>
      <c r="D233" t="s">
        <v>209</v>
      </c>
      <c r="E233" t="s">
        <v>13</v>
      </c>
      <c r="F233" s="5">
        <v>43405</v>
      </c>
      <c r="G233" s="5">
        <v>43552</v>
      </c>
      <c r="H233" s="6">
        <v>0.51388888888888895</v>
      </c>
      <c r="I233">
        <v>320</v>
      </c>
      <c r="J233" t="s">
        <v>211</v>
      </c>
      <c r="K233" t="s">
        <v>38</v>
      </c>
      <c r="M233" t="s">
        <v>17</v>
      </c>
      <c r="N233" t="str">
        <v>Destino</v>
      </c>
      <c r="O233" t="str">
        <v>FUERTEVENTURA</v>
      </c>
      <c r="P233" t="str">
        <v>FUE</v>
      </c>
      <c r="Q233" t="str">
        <v>07:05:00</v>
      </c>
      <c r="R233" t="str">
        <v>AT7</v>
      </c>
      <c r="S233" t="str">
        <v xml:space="preserve">  IBB414</v>
      </c>
      <c r="T233" t="str">
        <v>ESPAÑA</v>
      </c>
      <c r="U233" t="str">
        <v/>
      </c>
      <c r="V233" t="str">
        <v>TFN</v>
      </c>
      <c r="W233" t="str">
        <v>09/02/2019</v>
      </c>
      <c r="X233">
        <v>72</v>
      </c>
      <c r="Y233" t="str">
        <v>Aerospatiale/Alenia ATR72</v>
      </c>
    </row>
    <row r="234" spans="1:25" x14ac:dyDescent="0.25">
      <c r="A234" t="s">
        <v>1436</v>
      </c>
      <c r="B234" t="s">
        <v>0</v>
      </c>
      <c r="C234" t="s">
        <v>208</v>
      </c>
      <c r="D234" t="s">
        <v>209</v>
      </c>
      <c r="E234" t="s">
        <v>205</v>
      </c>
      <c r="F234" s="5">
        <v>43401</v>
      </c>
      <c r="G234" s="5">
        <v>43553</v>
      </c>
      <c r="H234" s="6">
        <v>0.52777777777777779</v>
      </c>
      <c r="I234">
        <v>320</v>
      </c>
      <c r="J234" t="s">
        <v>210</v>
      </c>
      <c r="K234" t="s">
        <v>38</v>
      </c>
      <c r="M234" t="s">
        <v>17</v>
      </c>
      <c r="N234" t="str">
        <v>Destino</v>
      </c>
      <c r="O234" t="str">
        <v>FUERTEVENTURA</v>
      </c>
      <c r="P234" t="str">
        <v>FUE</v>
      </c>
      <c r="Q234" t="str">
        <v>07:10:00</v>
      </c>
      <c r="R234" t="str">
        <v>AT7</v>
      </c>
      <c r="S234" t="str">
        <v xml:space="preserve">  IBB414</v>
      </c>
      <c r="T234" t="str">
        <v>ESPAÑA</v>
      </c>
      <c r="U234" t="str">
        <v/>
      </c>
      <c r="V234" t="str">
        <v>TFN</v>
      </c>
      <c r="W234" t="str">
        <v>06/02/2019</v>
      </c>
      <c r="X234">
        <v>72</v>
      </c>
      <c r="Y234" t="str">
        <v>Aerospatiale/Alenia ATR72</v>
      </c>
    </row>
    <row r="235" spans="1:25" x14ac:dyDescent="0.25">
      <c r="A235" t="s">
        <v>1436</v>
      </c>
      <c r="B235" t="s">
        <v>0</v>
      </c>
      <c r="C235" t="s">
        <v>208</v>
      </c>
      <c r="D235" t="s">
        <v>209</v>
      </c>
      <c r="E235" t="s">
        <v>19</v>
      </c>
      <c r="F235" s="5">
        <v>43466</v>
      </c>
      <c r="G235" s="5">
        <v>43550</v>
      </c>
      <c r="H235" s="6">
        <v>0.52777777777777779</v>
      </c>
      <c r="I235">
        <v>320</v>
      </c>
      <c r="J235" t="s">
        <v>210</v>
      </c>
      <c r="K235" t="s">
        <v>38</v>
      </c>
      <c r="M235" t="s">
        <v>17</v>
      </c>
      <c r="N235" t="str">
        <v>Destino</v>
      </c>
      <c r="O235" t="str">
        <v>FUERTEVENTURA</v>
      </c>
      <c r="P235" t="str">
        <v>FUE</v>
      </c>
      <c r="Q235" t="str">
        <v>07:10:00</v>
      </c>
      <c r="R235" t="str">
        <v>AT7</v>
      </c>
      <c r="S235" t="str">
        <v xml:space="preserve">  IBB414</v>
      </c>
      <c r="T235" t="str">
        <v>ESPAÑA</v>
      </c>
      <c r="U235" t="str">
        <v/>
      </c>
      <c r="V235" t="str">
        <v>TFN</v>
      </c>
      <c r="W235" t="str">
        <v>05/02/2019</v>
      </c>
      <c r="X235">
        <v>72</v>
      </c>
      <c r="Y235" t="str">
        <v>Aerospatiale/Alenia ATR72</v>
      </c>
    </row>
    <row r="236" spans="1:25" x14ac:dyDescent="0.25">
      <c r="A236" t="s">
        <v>1436</v>
      </c>
      <c r="B236" t="s">
        <v>0</v>
      </c>
      <c r="C236" t="s">
        <v>208</v>
      </c>
      <c r="D236" t="s">
        <v>209</v>
      </c>
      <c r="E236" t="s">
        <v>22</v>
      </c>
      <c r="F236" s="5">
        <v>43484</v>
      </c>
      <c r="G236" s="5">
        <v>43554</v>
      </c>
      <c r="H236" s="6">
        <v>0.52777777777777779</v>
      </c>
      <c r="I236">
        <v>320</v>
      </c>
      <c r="J236" t="s">
        <v>210</v>
      </c>
      <c r="K236" t="s">
        <v>38</v>
      </c>
      <c r="M236" t="s">
        <v>17</v>
      </c>
      <c r="N236" t="str">
        <v>Destino</v>
      </c>
      <c r="O236" t="str">
        <v>FUERTEVENTURA</v>
      </c>
      <c r="P236" t="str">
        <v>FUE</v>
      </c>
      <c r="Q236" t="str">
        <v>07:10:00</v>
      </c>
      <c r="R236" t="str">
        <v>AT7</v>
      </c>
      <c r="S236" t="str">
        <v xml:space="preserve">  IBB414</v>
      </c>
      <c r="T236" t="str">
        <v>ESPAÑA</v>
      </c>
      <c r="U236" t="str">
        <v/>
      </c>
      <c r="V236" t="str">
        <v>TFN</v>
      </c>
      <c r="W236" t="str">
        <v>04/02/2019</v>
      </c>
      <c r="X236">
        <v>72</v>
      </c>
      <c r="Y236" t="str">
        <v>Aerospatiale/Alenia ATR72</v>
      </c>
    </row>
    <row r="237" spans="1:25" x14ac:dyDescent="0.25">
      <c r="A237" t="s">
        <v>1436</v>
      </c>
      <c r="B237" t="s">
        <v>0</v>
      </c>
      <c r="C237" t="s">
        <v>208</v>
      </c>
      <c r="D237" t="s">
        <v>209</v>
      </c>
      <c r="E237" t="s">
        <v>59</v>
      </c>
      <c r="F237" s="5">
        <v>43514</v>
      </c>
      <c r="G237" s="5">
        <v>43514</v>
      </c>
      <c r="H237" s="6">
        <v>0.55902777777777779</v>
      </c>
      <c r="I237" t="s">
        <v>39</v>
      </c>
      <c r="J237" t="s">
        <v>212</v>
      </c>
      <c r="K237" t="s">
        <v>38</v>
      </c>
      <c r="M237" t="s">
        <v>17</v>
      </c>
      <c r="N237" t="str">
        <v>Destino</v>
      </c>
      <c r="O237" t="str">
        <v>FUERTEVENTURA</v>
      </c>
      <c r="P237" t="str">
        <v>FUE</v>
      </c>
      <c r="Q237" t="str">
        <v>07:10:00</v>
      </c>
      <c r="R237" t="str">
        <v>AT7</v>
      </c>
      <c r="S237" t="str">
        <v xml:space="preserve">  IBB414</v>
      </c>
      <c r="T237" t="str">
        <v>ESPAÑA</v>
      </c>
      <c r="U237" t="str">
        <v/>
      </c>
      <c r="V237" t="str">
        <v>TFN</v>
      </c>
      <c r="W237" t="str">
        <v>08/02/2019</v>
      </c>
      <c r="X237">
        <v>72</v>
      </c>
      <c r="Y237" t="str">
        <v>Aerospatiale/Alenia ATR72</v>
      </c>
    </row>
    <row r="238" spans="1:25" x14ac:dyDescent="0.25">
      <c r="A238" t="s">
        <v>1436</v>
      </c>
      <c r="B238" t="s">
        <v>0</v>
      </c>
      <c r="C238" t="s">
        <v>208</v>
      </c>
      <c r="D238" t="s">
        <v>209</v>
      </c>
      <c r="E238" t="s">
        <v>48</v>
      </c>
      <c r="F238" s="5">
        <v>43511</v>
      </c>
      <c r="G238" s="5">
        <v>43553</v>
      </c>
      <c r="H238" s="6">
        <v>0.63194444444444442</v>
      </c>
      <c r="I238" t="s">
        <v>39</v>
      </c>
      <c r="J238" t="s">
        <v>212</v>
      </c>
      <c r="K238" t="s">
        <v>38</v>
      </c>
      <c r="M238" t="s">
        <v>17</v>
      </c>
      <c r="N238" t="str">
        <v>Destino</v>
      </c>
      <c r="O238" t="str">
        <v>FUERTEVENTURA</v>
      </c>
      <c r="P238" t="str">
        <v>FUE</v>
      </c>
      <c r="Q238" t="str">
        <v>07:10:00</v>
      </c>
      <c r="R238" t="str">
        <v>AT7</v>
      </c>
      <c r="S238" t="str">
        <v xml:space="preserve">  IBB414</v>
      </c>
      <c r="T238" t="str">
        <v>ESPAÑA</v>
      </c>
      <c r="U238" t="str">
        <v/>
      </c>
      <c r="V238" t="str">
        <v>TFN</v>
      </c>
      <c r="W238" t="str">
        <v>07/02/2019</v>
      </c>
      <c r="X238">
        <v>72</v>
      </c>
      <c r="Y238" t="str">
        <v>Aerospatiale/Alenia ATR72</v>
      </c>
    </row>
    <row r="239" spans="1:25" x14ac:dyDescent="0.25">
      <c r="A239" t="s">
        <v>1436</v>
      </c>
      <c r="B239" t="s">
        <v>0</v>
      </c>
      <c r="C239" t="s">
        <v>208</v>
      </c>
      <c r="D239" t="s">
        <v>209</v>
      </c>
      <c r="E239" t="s">
        <v>13</v>
      </c>
      <c r="F239" s="5">
        <v>43510</v>
      </c>
      <c r="G239" s="5">
        <v>43552</v>
      </c>
      <c r="H239" s="6">
        <v>0.64583333333333337</v>
      </c>
      <c r="I239" t="s">
        <v>39</v>
      </c>
      <c r="J239" t="s">
        <v>214</v>
      </c>
      <c r="K239" t="s">
        <v>38</v>
      </c>
      <c r="M239" t="s">
        <v>17</v>
      </c>
      <c r="N239" t="str">
        <v>Destino</v>
      </c>
      <c r="O239" t="str">
        <v>FUERTEVENTURA</v>
      </c>
      <c r="P239" t="str">
        <v>FUE</v>
      </c>
      <c r="Q239" t="str">
        <v>09:55:00</v>
      </c>
      <c r="R239" t="str">
        <v>AT7</v>
      </c>
      <c r="S239" t="str">
        <v xml:space="preserve">  IBB422</v>
      </c>
      <c r="T239" t="str">
        <v>ESPAÑA</v>
      </c>
      <c r="U239" t="str">
        <v/>
      </c>
      <c r="V239" t="str">
        <v>TFN</v>
      </c>
      <c r="W239" t="str">
        <v>06/02/2019</v>
      </c>
      <c r="X239">
        <v>72</v>
      </c>
      <c r="Y239" t="str">
        <v>Aerospatiale/Alenia ATR72</v>
      </c>
    </row>
    <row r="240" spans="1:25" x14ac:dyDescent="0.25">
      <c r="A240" t="s">
        <v>1436</v>
      </c>
      <c r="B240" t="s">
        <v>0</v>
      </c>
      <c r="C240" t="s">
        <v>208</v>
      </c>
      <c r="D240" t="s">
        <v>209</v>
      </c>
      <c r="E240" t="s">
        <v>59</v>
      </c>
      <c r="F240" s="5">
        <v>43451</v>
      </c>
      <c r="G240" s="5">
        <v>43549</v>
      </c>
      <c r="H240" s="6">
        <v>0.68055555555555547</v>
      </c>
      <c r="I240">
        <v>320</v>
      </c>
      <c r="J240" t="s">
        <v>211</v>
      </c>
      <c r="K240" t="s">
        <v>38</v>
      </c>
      <c r="M240" t="s">
        <v>17</v>
      </c>
      <c r="N240" t="str">
        <v>Destino</v>
      </c>
      <c r="O240" t="str">
        <v>FUERTEVENTURA</v>
      </c>
      <c r="P240" t="str">
        <v>FUE</v>
      </c>
      <c r="Q240" t="str">
        <v>09:55:00</v>
      </c>
      <c r="R240" t="str">
        <v>AT7</v>
      </c>
      <c r="S240" t="str">
        <v xml:space="preserve">  IBB422</v>
      </c>
      <c r="T240" t="str">
        <v>ESPAÑA</v>
      </c>
      <c r="U240" t="str">
        <v/>
      </c>
      <c r="V240" t="str">
        <v>TFN</v>
      </c>
      <c r="W240" t="str">
        <v>08/02/2019</v>
      </c>
      <c r="X240">
        <v>72</v>
      </c>
      <c r="Y240" t="str">
        <v>Aerospatiale/Alenia ATR72</v>
      </c>
    </row>
    <row r="241" spans="1:25" x14ac:dyDescent="0.25">
      <c r="A241" t="s">
        <v>1436</v>
      </c>
      <c r="B241" t="s">
        <v>0</v>
      </c>
      <c r="C241" t="s">
        <v>208</v>
      </c>
      <c r="D241" t="s">
        <v>209</v>
      </c>
      <c r="E241" t="s">
        <v>22</v>
      </c>
      <c r="F241" s="5">
        <v>43512</v>
      </c>
      <c r="G241" s="5">
        <v>43554</v>
      </c>
      <c r="H241" s="6">
        <v>0.76388888888888884</v>
      </c>
      <c r="I241" t="s">
        <v>39</v>
      </c>
      <c r="J241" t="s">
        <v>214</v>
      </c>
      <c r="K241" t="s">
        <v>38</v>
      </c>
      <c r="M241" t="s">
        <v>17</v>
      </c>
      <c r="N241" t="str">
        <v>Destino</v>
      </c>
      <c r="O241" t="str">
        <v>FUERTEVENTURA</v>
      </c>
      <c r="P241" t="str">
        <v>FUE</v>
      </c>
      <c r="Q241" t="str">
        <v>09:55:00</v>
      </c>
      <c r="R241" t="str">
        <v>AT7</v>
      </c>
      <c r="S241" t="str">
        <v xml:space="preserve">  IBB422</v>
      </c>
      <c r="T241" t="str">
        <v>ESPAÑA</v>
      </c>
      <c r="U241" t="str">
        <v/>
      </c>
      <c r="V241" t="str">
        <v>TFN</v>
      </c>
      <c r="W241" t="str">
        <v>09/02/2019</v>
      </c>
      <c r="X241">
        <v>72</v>
      </c>
      <c r="Y241" t="str">
        <v>Aerospatiale/Alenia ATR72</v>
      </c>
    </row>
    <row r="242" spans="1:25" x14ac:dyDescent="0.25">
      <c r="A242" t="s">
        <v>1436</v>
      </c>
      <c r="B242" t="s">
        <v>0</v>
      </c>
      <c r="C242" t="s">
        <v>208</v>
      </c>
      <c r="D242" t="s">
        <v>209</v>
      </c>
      <c r="E242" t="s">
        <v>18</v>
      </c>
      <c r="F242" s="5">
        <v>43401</v>
      </c>
      <c r="G242" s="5">
        <v>43548</v>
      </c>
      <c r="H242" s="6">
        <v>0.78819444444444453</v>
      </c>
      <c r="I242">
        <v>320</v>
      </c>
      <c r="J242" t="s">
        <v>211</v>
      </c>
      <c r="K242" t="s">
        <v>38</v>
      </c>
      <c r="M242" t="s">
        <v>17</v>
      </c>
      <c r="N242" t="str">
        <v>Destino</v>
      </c>
      <c r="O242" t="str">
        <v>FUERTEVENTURA</v>
      </c>
      <c r="P242" t="str">
        <v>FUE</v>
      </c>
      <c r="Q242" t="str">
        <v>09:55:00</v>
      </c>
      <c r="R242" t="str">
        <v>AT7</v>
      </c>
      <c r="S242" t="str">
        <v xml:space="preserve">  IBB422</v>
      </c>
      <c r="T242" t="str">
        <v>ESPAÑA</v>
      </c>
      <c r="U242" t="str">
        <v/>
      </c>
      <c r="V242" t="str">
        <v>TFN</v>
      </c>
      <c r="W242" t="str">
        <v>04/02/2019</v>
      </c>
      <c r="X242">
        <v>72</v>
      </c>
      <c r="Y242" t="str">
        <v>Aerospatiale/Alenia ATR72</v>
      </c>
    </row>
    <row r="243" spans="1:25" x14ac:dyDescent="0.25">
      <c r="A243" t="s">
        <v>1436</v>
      </c>
      <c r="B243" t="s">
        <v>0</v>
      </c>
      <c r="C243" t="s">
        <v>208</v>
      </c>
      <c r="D243" t="s">
        <v>209</v>
      </c>
      <c r="E243" t="s">
        <v>22</v>
      </c>
      <c r="F243" s="5">
        <v>43407</v>
      </c>
      <c r="G243" s="5">
        <v>43512</v>
      </c>
      <c r="H243" s="6">
        <v>0.79166666666666663</v>
      </c>
      <c r="I243">
        <v>320</v>
      </c>
      <c r="J243" t="s">
        <v>211</v>
      </c>
      <c r="K243" t="s">
        <v>38</v>
      </c>
      <c r="M243" t="s">
        <v>17</v>
      </c>
      <c r="N243" t="str">
        <v>Destino</v>
      </c>
      <c r="O243" t="str">
        <v>FUERTEVENTURA</v>
      </c>
      <c r="P243" t="str">
        <v>FUE</v>
      </c>
      <c r="Q243" t="str">
        <v>09:55:00</v>
      </c>
      <c r="R243" t="str">
        <v>AT7</v>
      </c>
      <c r="S243" t="str">
        <v xml:space="preserve">  IBB422</v>
      </c>
      <c r="T243" t="str">
        <v>ESPAÑA</v>
      </c>
      <c r="U243" t="str">
        <v/>
      </c>
      <c r="V243" t="str">
        <v>TFN</v>
      </c>
      <c r="W243" t="str">
        <v>10/02/2019</v>
      </c>
      <c r="X243">
        <v>72</v>
      </c>
      <c r="Y243" t="str">
        <v>Aerospatiale/Alenia ATR72</v>
      </c>
    </row>
    <row r="244" spans="1:25" x14ac:dyDescent="0.25">
      <c r="A244" t="s">
        <v>1436</v>
      </c>
      <c r="B244" t="s">
        <v>0</v>
      </c>
      <c r="C244" t="s">
        <v>208</v>
      </c>
      <c r="D244" t="s">
        <v>209</v>
      </c>
      <c r="E244" t="s">
        <v>72</v>
      </c>
      <c r="F244" s="5">
        <v>43505</v>
      </c>
      <c r="G244" s="5">
        <v>43554</v>
      </c>
      <c r="H244" s="6">
        <v>0.81944444444444453</v>
      </c>
      <c r="I244">
        <v>320</v>
      </c>
      <c r="J244" t="s">
        <v>215</v>
      </c>
      <c r="K244" t="s">
        <v>38</v>
      </c>
      <c r="M244" t="s">
        <v>17</v>
      </c>
      <c r="N244" t="str">
        <v>Destino</v>
      </c>
      <c r="O244" t="str">
        <v>FUERTEVENTURA</v>
      </c>
      <c r="P244" t="str">
        <v>FUE</v>
      </c>
      <c r="Q244" t="str">
        <v>09:55:00</v>
      </c>
      <c r="R244" t="str">
        <v>AT7</v>
      </c>
      <c r="S244" t="str">
        <v xml:space="preserve">  IBB422</v>
      </c>
      <c r="T244" t="str">
        <v>ESPAÑA</v>
      </c>
      <c r="U244" t="str">
        <v/>
      </c>
      <c r="V244" t="str">
        <v>TFN</v>
      </c>
      <c r="W244" t="str">
        <v>05/02/2019</v>
      </c>
      <c r="X244">
        <v>72</v>
      </c>
      <c r="Y244" t="str">
        <v>Aerospatiale/Alenia ATR72</v>
      </c>
    </row>
    <row r="245" spans="1:25" x14ac:dyDescent="0.25">
      <c r="A245" t="s">
        <v>1436</v>
      </c>
      <c r="B245" t="s">
        <v>0</v>
      </c>
      <c r="C245" t="s">
        <v>208</v>
      </c>
      <c r="D245" t="s">
        <v>209</v>
      </c>
      <c r="E245" t="s">
        <v>18</v>
      </c>
      <c r="F245" s="5">
        <v>43450</v>
      </c>
      <c r="G245" s="5">
        <v>43548</v>
      </c>
      <c r="H245" s="6">
        <v>0.82638888888888884</v>
      </c>
      <c r="I245" t="s">
        <v>39</v>
      </c>
      <c r="J245" t="s">
        <v>213</v>
      </c>
      <c r="K245" t="s">
        <v>38</v>
      </c>
      <c r="M245" t="s">
        <v>17</v>
      </c>
      <c r="N245" t="str">
        <v>Destino</v>
      </c>
      <c r="O245" t="str">
        <v>FUERTEVENTURA</v>
      </c>
      <c r="P245" t="str">
        <v>FUE</v>
      </c>
      <c r="Q245" t="str">
        <v>10:30:00</v>
      </c>
      <c r="R245" t="str">
        <v>AT7</v>
      </c>
      <c r="S245" t="str">
        <v xml:space="preserve">  IBB422</v>
      </c>
      <c r="T245" t="str">
        <v>ESPAÑA</v>
      </c>
      <c r="U245" t="str">
        <v/>
      </c>
      <c r="V245" t="str">
        <v>TFN</v>
      </c>
      <c r="W245" t="str">
        <v>07/02/2019</v>
      </c>
      <c r="X245">
        <v>72</v>
      </c>
      <c r="Y245" t="str">
        <v>Aerospatiale/Alenia ATR72</v>
      </c>
    </row>
    <row r="246" spans="1:25" x14ac:dyDescent="0.25">
      <c r="A246" t="s">
        <v>1436</v>
      </c>
      <c r="B246" t="s">
        <v>0</v>
      </c>
      <c r="C246" t="s">
        <v>208</v>
      </c>
      <c r="D246" t="s">
        <v>209</v>
      </c>
      <c r="E246" t="s">
        <v>22</v>
      </c>
      <c r="F246" s="5">
        <v>43512</v>
      </c>
      <c r="G246" s="5">
        <v>43547</v>
      </c>
      <c r="H246" s="6">
        <v>0.83333333333333337</v>
      </c>
      <c r="I246">
        <v>320</v>
      </c>
      <c r="J246" t="s">
        <v>1917</v>
      </c>
      <c r="K246" t="s">
        <v>38</v>
      </c>
      <c r="M246" t="s">
        <v>17</v>
      </c>
      <c r="N246" t="str">
        <v>Destino</v>
      </c>
      <c r="O246" t="str">
        <v>FUERTEVENTURA</v>
      </c>
      <c r="P246" t="str">
        <v>FUE</v>
      </c>
      <c r="Q246" t="str">
        <v>12:30:00</v>
      </c>
      <c r="R246" t="str">
        <v>AT7</v>
      </c>
      <c r="S246" t="str">
        <v xml:space="preserve">  IBB416</v>
      </c>
      <c r="T246" t="str">
        <v>ESPAÑA</v>
      </c>
      <c r="U246" t="str">
        <v/>
      </c>
      <c r="V246" t="str">
        <v>TFN</v>
      </c>
      <c r="W246" t="str">
        <v>08/02/2019</v>
      </c>
      <c r="X246">
        <v>72</v>
      </c>
      <c r="Y246" t="str">
        <v>Aerospatiale/Alenia ATR72</v>
      </c>
    </row>
    <row r="247" spans="1:25" x14ac:dyDescent="0.25">
      <c r="A247" t="s">
        <v>1436</v>
      </c>
      <c r="B247" t="s">
        <v>0</v>
      </c>
      <c r="C247" t="s">
        <v>216</v>
      </c>
      <c r="D247" t="s">
        <v>217</v>
      </c>
      <c r="E247" t="s">
        <v>18</v>
      </c>
      <c r="F247" s="5">
        <v>43457</v>
      </c>
      <c r="G247" s="5">
        <v>43548</v>
      </c>
      <c r="H247" s="6">
        <v>0.4201388888888889</v>
      </c>
      <c r="I247" t="s">
        <v>14</v>
      </c>
      <c r="J247" t="s">
        <v>218</v>
      </c>
      <c r="K247" t="s">
        <v>216</v>
      </c>
      <c r="M247" t="s">
        <v>17</v>
      </c>
      <c r="N247" t="str">
        <v>Destino</v>
      </c>
      <c r="O247" t="str">
        <v>FUERTEVENTURA</v>
      </c>
      <c r="P247" t="str">
        <v>FUE</v>
      </c>
      <c r="Q247" t="str">
        <v>12:35:00</v>
      </c>
      <c r="R247" t="str">
        <v>AT7</v>
      </c>
      <c r="S247" t="str">
        <v xml:space="preserve">  IBB416</v>
      </c>
      <c r="T247" t="str">
        <v>ESPAÑA</v>
      </c>
      <c r="U247" t="str">
        <v/>
      </c>
      <c r="V247" t="str">
        <v>TFN</v>
      </c>
      <c r="W247" t="str">
        <v>09/02/2019</v>
      </c>
      <c r="X247">
        <v>72</v>
      </c>
      <c r="Y247" t="str">
        <v>Aerospatiale/Alenia ATR72</v>
      </c>
    </row>
    <row r="248" spans="1:25" x14ac:dyDescent="0.25">
      <c r="A248" t="s">
        <v>1436</v>
      </c>
      <c r="B248" t="s">
        <v>0</v>
      </c>
      <c r="C248" t="s">
        <v>219</v>
      </c>
      <c r="D248" t="s">
        <v>220</v>
      </c>
      <c r="E248" t="s">
        <v>22</v>
      </c>
      <c r="F248" s="5">
        <v>43505</v>
      </c>
      <c r="G248" s="5">
        <v>43519</v>
      </c>
      <c r="H248" s="6">
        <v>0.83680555555555547</v>
      </c>
      <c r="I248" t="s">
        <v>14</v>
      </c>
      <c r="J248" t="s">
        <v>1828</v>
      </c>
      <c r="K248" t="s">
        <v>221</v>
      </c>
      <c r="M248" t="s">
        <v>17</v>
      </c>
      <c r="N248" t="str">
        <v>Destino</v>
      </c>
      <c r="O248" t="str">
        <v>FUERTEVENTURA</v>
      </c>
      <c r="P248" t="str">
        <v>FUE</v>
      </c>
      <c r="Q248" t="str">
        <v>13:25:00</v>
      </c>
      <c r="R248" t="str">
        <v>AT7</v>
      </c>
      <c r="S248" t="str">
        <v xml:space="preserve">  IBB416</v>
      </c>
      <c r="T248" t="str">
        <v>ESPAÑA</v>
      </c>
      <c r="U248" t="str">
        <v/>
      </c>
      <c r="V248" t="str">
        <v>TFN</v>
      </c>
      <c r="W248" t="str">
        <v>10/02/2019</v>
      </c>
      <c r="X248">
        <v>72</v>
      </c>
      <c r="Y248" t="str">
        <v>Aerospatiale/Alenia ATR72</v>
      </c>
    </row>
    <row r="249" spans="1:25" x14ac:dyDescent="0.25">
      <c r="A249" t="s">
        <v>1436</v>
      </c>
      <c r="B249" t="s">
        <v>0</v>
      </c>
      <c r="C249" t="s">
        <v>222</v>
      </c>
      <c r="D249" t="s">
        <v>223</v>
      </c>
      <c r="E249" t="s">
        <v>750</v>
      </c>
      <c r="F249" s="5">
        <v>43402</v>
      </c>
      <c r="G249" s="5">
        <v>43554</v>
      </c>
      <c r="H249" s="6">
        <v>0.29166666666666669</v>
      </c>
      <c r="I249">
        <v>320</v>
      </c>
      <c r="J249" t="s">
        <v>1236</v>
      </c>
      <c r="K249" t="s">
        <v>25</v>
      </c>
      <c r="M249" t="s">
        <v>17</v>
      </c>
      <c r="N249" t="str">
        <v>Destino</v>
      </c>
      <c r="O249" t="str">
        <v>FUERTEVENTURA</v>
      </c>
      <c r="P249" t="str">
        <v>FUE</v>
      </c>
      <c r="Q249" t="str">
        <v>14:20:00</v>
      </c>
      <c r="R249" t="str">
        <v>AT7</v>
      </c>
      <c r="S249" t="str">
        <v xml:space="preserve">  IBB420</v>
      </c>
      <c r="T249" t="str">
        <v>ESPAÑA</v>
      </c>
      <c r="U249" t="str">
        <v/>
      </c>
      <c r="V249" t="str">
        <v>TFN</v>
      </c>
      <c r="W249" t="str">
        <v>06/02/2019</v>
      </c>
      <c r="X249">
        <v>72</v>
      </c>
      <c r="Y249" t="str">
        <v>Aerospatiale/Alenia ATR72</v>
      </c>
    </row>
    <row r="250" spans="1:25" x14ac:dyDescent="0.25">
      <c r="A250" t="s">
        <v>1436</v>
      </c>
      <c r="B250" t="s">
        <v>0</v>
      </c>
      <c r="C250" t="s">
        <v>222</v>
      </c>
      <c r="D250" t="s">
        <v>223</v>
      </c>
      <c r="E250" t="s">
        <v>48</v>
      </c>
      <c r="F250" s="5">
        <v>43476</v>
      </c>
      <c r="G250" s="5">
        <v>43553</v>
      </c>
      <c r="H250" s="6">
        <v>0.29166666666666669</v>
      </c>
      <c r="I250">
        <v>320</v>
      </c>
      <c r="J250" t="s">
        <v>1236</v>
      </c>
      <c r="K250" t="s">
        <v>25</v>
      </c>
      <c r="M250" t="s">
        <v>17</v>
      </c>
      <c r="N250" t="str">
        <v>Destino</v>
      </c>
      <c r="O250" t="str">
        <v>FUERTEVENTURA</v>
      </c>
      <c r="P250" t="str">
        <v>FUE</v>
      </c>
      <c r="Q250" t="str">
        <v>14:20:00</v>
      </c>
      <c r="R250" t="str">
        <v>AT7</v>
      </c>
      <c r="S250" t="str">
        <v xml:space="preserve">  IBB420</v>
      </c>
      <c r="T250" t="str">
        <v>ESPAÑA</v>
      </c>
      <c r="U250" t="str">
        <v/>
      </c>
      <c r="V250" t="str">
        <v>TFN</v>
      </c>
      <c r="W250" t="str">
        <v>05/02/2019</v>
      </c>
      <c r="X250">
        <v>72</v>
      </c>
      <c r="Y250" t="str">
        <v>Aerospatiale/Alenia ATR72</v>
      </c>
    </row>
    <row r="251" spans="1:25" x14ac:dyDescent="0.25">
      <c r="A251" t="s">
        <v>1436</v>
      </c>
      <c r="B251" t="s">
        <v>0</v>
      </c>
      <c r="C251" t="s">
        <v>222</v>
      </c>
      <c r="D251" t="s">
        <v>223</v>
      </c>
      <c r="E251" t="s">
        <v>22</v>
      </c>
      <c r="F251" s="5">
        <v>43498</v>
      </c>
      <c r="G251" s="5">
        <v>43519</v>
      </c>
      <c r="H251" s="6">
        <v>0.30555555555555552</v>
      </c>
      <c r="I251" t="s">
        <v>14</v>
      </c>
      <c r="J251" t="s">
        <v>226</v>
      </c>
      <c r="K251" t="s">
        <v>25</v>
      </c>
      <c r="M251" t="s">
        <v>17</v>
      </c>
      <c r="N251" t="str">
        <v>Destino</v>
      </c>
      <c r="O251" t="str">
        <v>FUERTEVENTURA</v>
      </c>
      <c r="P251" t="str">
        <v>FUE</v>
      </c>
      <c r="Q251" t="str">
        <v>14:20:00</v>
      </c>
      <c r="R251" t="str">
        <v>AT7</v>
      </c>
      <c r="S251" t="str">
        <v xml:space="preserve">  IBB420</v>
      </c>
      <c r="T251" t="str">
        <v>ESPAÑA</v>
      </c>
      <c r="U251" t="str">
        <v/>
      </c>
      <c r="V251" t="str">
        <v>TFN</v>
      </c>
      <c r="W251" t="str">
        <v>04/02/2019</v>
      </c>
      <c r="X251">
        <v>72</v>
      </c>
      <c r="Y251" t="str">
        <v>Aerospatiale/Alenia ATR72</v>
      </c>
    </row>
    <row r="252" spans="1:25" x14ac:dyDescent="0.25">
      <c r="A252" t="s">
        <v>1436</v>
      </c>
      <c r="B252" t="s">
        <v>0</v>
      </c>
      <c r="C252" t="s">
        <v>222</v>
      </c>
      <c r="D252" t="s">
        <v>223</v>
      </c>
      <c r="E252" t="s">
        <v>13</v>
      </c>
      <c r="F252" s="5">
        <v>43405</v>
      </c>
      <c r="G252" s="5">
        <v>43552</v>
      </c>
      <c r="H252" s="6">
        <v>0.3888888888888889</v>
      </c>
      <c r="I252" t="s">
        <v>14</v>
      </c>
      <c r="J252" t="s">
        <v>224</v>
      </c>
      <c r="K252" t="s">
        <v>25</v>
      </c>
      <c r="M252" t="s">
        <v>17</v>
      </c>
      <c r="N252" t="str">
        <v>Destino</v>
      </c>
      <c r="O252" t="str">
        <v>FUERTEVENTURA</v>
      </c>
      <c r="P252" t="str">
        <v>FUE</v>
      </c>
      <c r="Q252" t="str">
        <v>14:20:00</v>
      </c>
      <c r="R252" t="str">
        <v>AT7</v>
      </c>
      <c r="S252" t="str">
        <v xml:space="preserve">  IBB420</v>
      </c>
      <c r="T252" t="str">
        <v>ESPAÑA</v>
      </c>
      <c r="U252" t="str">
        <v/>
      </c>
      <c r="V252" t="str">
        <v>TFN</v>
      </c>
      <c r="W252" t="str">
        <v>07/02/2019</v>
      </c>
      <c r="X252">
        <v>72</v>
      </c>
      <c r="Y252" t="str">
        <v>Aerospatiale/Alenia ATR72</v>
      </c>
    </row>
    <row r="253" spans="1:25" x14ac:dyDescent="0.25">
      <c r="A253" t="s">
        <v>1436</v>
      </c>
      <c r="B253" t="s">
        <v>0</v>
      </c>
      <c r="C253" t="s">
        <v>222</v>
      </c>
      <c r="D253" t="s">
        <v>223</v>
      </c>
      <c r="E253" t="s">
        <v>19</v>
      </c>
      <c r="F253" s="5">
        <v>43473</v>
      </c>
      <c r="G253" s="5">
        <v>43550</v>
      </c>
      <c r="H253" s="6">
        <v>0.3888888888888889</v>
      </c>
      <c r="I253" t="s">
        <v>14</v>
      </c>
      <c r="J253" t="s">
        <v>224</v>
      </c>
      <c r="K253" t="s">
        <v>25</v>
      </c>
      <c r="M253" t="s">
        <v>17</v>
      </c>
      <c r="N253" t="str">
        <v>Destino</v>
      </c>
      <c r="O253" t="str">
        <v>FUERTEVENTURA</v>
      </c>
      <c r="P253" t="str">
        <v>FUE</v>
      </c>
      <c r="Q253" t="str">
        <v>15:15:00</v>
      </c>
      <c r="R253" t="str">
        <v>AT7</v>
      </c>
      <c r="S253" t="str">
        <v xml:space="preserve">  IBB420</v>
      </c>
      <c r="T253" t="str">
        <v>ESPAÑA</v>
      </c>
      <c r="U253" t="str">
        <v/>
      </c>
      <c r="V253" t="str">
        <v>TFN</v>
      </c>
      <c r="W253" t="str">
        <v>08/02/2019</v>
      </c>
      <c r="X253">
        <v>72</v>
      </c>
      <c r="Y253" t="str">
        <v>Aerospatiale/Alenia ATR72</v>
      </c>
    </row>
    <row r="254" spans="1:25" x14ac:dyDescent="0.25">
      <c r="A254" t="s">
        <v>1436</v>
      </c>
      <c r="B254" t="s">
        <v>0</v>
      </c>
      <c r="C254" t="s">
        <v>222</v>
      </c>
      <c r="D254" t="s">
        <v>223</v>
      </c>
      <c r="E254" t="s">
        <v>227</v>
      </c>
      <c r="F254" s="5">
        <v>43401</v>
      </c>
      <c r="G254" s="5">
        <v>43553</v>
      </c>
      <c r="H254" s="6">
        <v>0.3923611111111111</v>
      </c>
      <c r="I254" t="s">
        <v>14</v>
      </c>
      <c r="J254" t="s">
        <v>224</v>
      </c>
      <c r="K254" t="s">
        <v>25</v>
      </c>
      <c r="M254" t="s">
        <v>17</v>
      </c>
      <c r="N254" t="str">
        <v>Destino</v>
      </c>
      <c r="O254" t="str">
        <v>FUERTEVENTURA</v>
      </c>
      <c r="P254" t="str">
        <v>FUE</v>
      </c>
      <c r="Q254" t="str">
        <v>15:30:00</v>
      </c>
      <c r="R254" t="str">
        <v>AT7</v>
      </c>
      <c r="S254" t="str">
        <v xml:space="preserve">  IBB424</v>
      </c>
      <c r="T254" t="str">
        <v>ESPAÑA</v>
      </c>
      <c r="U254" t="str">
        <v/>
      </c>
      <c r="V254" t="str">
        <v>TFN</v>
      </c>
      <c r="W254" t="str">
        <v>07/02/2019</v>
      </c>
      <c r="X254">
        <v>72</v>
      </c>
      <c r="Y254" t="str">
        <v>Aerospatiale/Alenia ATR72</v>
      </c>
    </row>
    <row r="255" spans="1:25" x14ac:dyDescent="0.25">
      <c r="A255" t="s">
        <v>1436</v>
      </c>
      <c r="B255" t="s">
        <v>0</v>
      </c>
      <c r="C255" t="s">
        <v>222</v>
      </c>
      <c r="D255" t="s">
        <v>223</v>
      </c>
      <c r="E255" t="s">
        <v>20</v>
      </c>
      <c r="F255" s="5">
        <v>43467</v>
      </c>
      <c r="G255" s="5">
        <v>43551</v>
      </c>
      <c r="H255" s="6">
        <v>0.3923611111111111</v>
      </c>
      <c r="I255" t="s">
        <v>14</v>
      </c>
      <c r="J255" t="s">
        <v>224</v>
      </c>
      <c r="K255" t="s">
        <v>25</v>
      </c>
      <c r="M255" t="s">
        <v>17</v>
      </c>
      <c r="N255" t="str">
        <v>Destino</v>
      </c>
      <c r="O255" t="str">
        <v>FUERTEVENTURA</v>
      </c>
      <c r="P255" t="str">
        <v>FUE</v>
      </c>
      <c r="Q255" t="str">
        <v>17:30:00</v>
      </c>
      <c r="R255" t="str">
        <v>AT7</v>
      </c>
      <c r="S255" t="str">
        <v xml:space="preserve">  IBB418</v>
      </c>
      <c r="T255" t="str">
        <v>ESPAÑA</v>
      </c>
      <c r="U255" t="str">
        <v/>
      </c>
      <c r="V255" t="str">
        <v>TFN</v>
      </c>
      <c r="W255" t="str">
        <v>08/02/2019</v>
      </c>
      <c r="X255">
        <v>72</v>
      </c>
      <c r="Y255" t="str">
        <v>Aerospatiale/Alenia ATR72</v>
      </c>
    </row>
    <row r="256" spans="1:25" x14ac:dyDescent="0.25">
      <c r="A256" t="s">
        <v>1436</v>
      </c>
      <c r="B256" t="s">
        <v>0</v>
      </c>
      <c r="C256" t="s">
        <v>222</v>
      </c>
      <c r="D256" t="s">
        <v>223</v>
      </c>
      <c r="E256" t="s">
        <v>18</v>
      </c>
      <c r="F256" s="5">
        <v>43408</v>
      </c>
      <c r="G256" s="5">
        <v>43548</v>
      </c>
      <c r="H256" s="6">
        <v>0.4236111111111111</v>
      </c>
      <c r="I256" t="s">
        <v>14</v>
      </c>
      <c r="J256" t="s">
        <v>229</v>
      </c>
      <c r="K256" t="s">
        <v>25</v>
      </c>
      <c r="M256" t="s">
        <v>17</v>
      </c>
      <c r="N256" t="str">
        <v>Destino</v>
      </c>
      <c r="O256" t="str">
        <v>FUERTEVENTURA</v>
      </c>
      <c r="P256" t="str">
        <v>FUE</v>
      </c>
      <c r="Q256" t="str">
        <v>17:30:00</v>
      </c>
      <c r="R256" t="str">
        <v>AT7</v>
      </c>
      <c r="S256" t="str">
        <v xml:space="preserve">  IBB420</v>
      </c>
      <c r="T256" t="str">
        <v>ESPAÑA</v>
      </c>
      <c r="U256" t="str">
        <v/>
      </c>
      <c r="V256" t="str">
        <v>TFN</v>
      </c>
      <c r="W256" t="str">
        <v>10/02/2019</v>
      </c>
      <c r="X256">
        <v>72</v>
      </c>
      <c r="Y256" t="str">
        <v>Aerospatiale/Alenia ATR72</v>
      </c>
    </row>
    <row r="257" spans="1:25" x14ac:dyDescent="0.25">
      <c r="A257" t="s">
        <v>1436</v>
      </c>
      <c r="B257" t="s">
        <v>0</v>
      </c>
      <c r="C257" t="s">
        <v>222</v>
      </c>
      <c r="D257" t="s">
        <v>223</v>
      </c>
      <c r="E257" t="s">
        <v>13</v>
      </c>
      <c r="F257" s="5">
        <v>43447</v>
      </c>
      <c r="G257" s="5">
        <v>43552</v>
      </c>
      <c r="H257" s="6">
        <v>0.49652777777777773</v>
      </c>
      <c r="I257" t="s">
        <v>14</v>
      </c>
      <c r="J257" t="s">
        <v>229</v>
      </c>
      <c r="K257" t="s">
        <v>25</v>
      </c>
      <c r="M257" t="s">
        <v>17</v>
      </c>
      <c r="N257" t="str">
        <v>Destino</v>
      </c>
      <c r="O257" t="str">
        <v>FUERTEVENTURA</v>
      </c>
      <c r="P257" t="str">
        <v>FUE</v>
      </c>
      <c r="Q257" t="str">
        <v>18:50:00</v>
      </c>
      <c r="R257" t="str">
        <v>AT7</v>
      </c>
      <c r="S257" t="str">
        <v xml:space="preserve">  IBB428</v>
      </c>
      <c r="T257" t="str">
        <v>ESPAÑA</v>
      </c>
      <c r="U257" t="str">
        <v/>
      </c>
      <c r="V257" t="str">
        <v>TFN</v>
      </c>
      <c r="W257" t="str">
        <v>10/02/2019</v>
      </c>
      <c r="X257">
        <v>72</v>
      </c>
      <c r="Y257" t="str">
        <v>Aerospatiale/Alenia ATR72</v>
      </c>
    </row>
    <row r="258" spans="1:25" x14ac:dyDescent="0.25">
      <c r="A258" t="s">
        <v>1436</v>
      </c>
      <c r="B258" t="s">
        <v>0</v>
      </c>
      <c r="C258" t="s">
        <v>222</v>
      </c>
      <c r="D258" t="s">
        <v>223</v>
      </c>
      <c r="E258" t="s">
        <v>18</v>
      </c>
      <c r="F258" s="5">
        <v>43401</v>
      </c>
      <c r="G258" s="5">
        <v>43548</v>
      </c>
      <c r="H258" s="6">
        <v>0.56944444444444442</v>
      </c>
      <c r="I258">
        <v>320</v>
      </c>
      <c r="J258" t="s">
        <v>225</v>
      </c>
      <c r="K258" t="s">
        <v>25</v>
      </c>
      <c r="M258" t="s">
        <v>17</v>
      </c>
      <c r="N258" t="str">
        <v>Destino</v>
      </c>
      <c r="O258" t="str">
        <v>FUERTEVENTURA</v>
      </c>
      <c r="P258" t="str">
        <v>FUE</v>
      </c>
      <c r="Q258" t="str">
        <v>19:10:00</v>
      </c>
      <c r="R258" t="str">
        <v>AT7</v>
      </c>
      <c r="S258" t="str">
        <v xml:space="preserve">  IBB428</v>
      </c>
      <c r="T258" t="str">
        <v>ESPAÑA</v>
      </c>
      <c r="U258" t="str">
        <v/>
      </c>
      <c r="V258" t="str">
        <v>TFN</v>
      </c>
      <c r="W258" t="str">
        <v>06/02/2019</v>
      </c>
      <c r="X258">
        <v>72</v>
      </c>
      <c r="Y258" t="str">
        <v>Aerospatiale/Alenia ATR72</v>
      </c>
    </row>
    <row r="259" spans="1:25" x14ac:dyDescent="0.25">
      <c r="A259" t="s">
        <v>1436</v>
      </c>
      <c r="B259" t="s">
        <v>0</v>
      </c>
      <c r="C259" t="s">
        <v>222</v>
      </c>
      <c r="D259" t="s">
        <v>223</v>
      </c>
      <c r="E259" t="s">
        <v>30</v>
      </c>
      <c r="F259" s="5">
        <v>43442</v>
      </c>
      <c r="G259" s="5">
        <v>43554</v>
      </c>
      <c r="H259" s="6">
        <v>0.56944444444444442</v>
      </c>
      <c r="I259">
        <v>320</v>
      </c>
      <c r="J259" t="s">
        <v>225</v>
      </c>
      <c r="K259" t="s">
        <v>25</v>
      </c>
      <c r="M259" t="s">
        <v>17</v>
      </c>
      <c r="N259" t="str">
        <v>Destino</v>
      </c>
      <c r="O259" t="str">
        <v>FUERTEVENTURA</v>
      </c>
      <c r="P259" t="str">
        <v>FUE</v>
      </c>
      <c r="Q259" t="str">
        <v>19:10:00</v>
      </c>
      <c r="R259" t="str">
        <v>AT7</v>
      </c>
      <c r="S259" t="str">
        <v xml:space="preserve">  IBB428</v>
      </c>
      <c r="T259" t="str">
        <v>ESPAÑA</v>
      </c>
      <c r="U259" t="str">
        <v/>
      </c>
      <c r="V259" t="str">
        <v>TFN</v>
      </c>
      <c r="W259" t="str">
        <v>05/02/2019</v>
      </c>
      <c r="X259">
        <v>72</v>
      </c>
      <c r="Y259" t="str">
        <v>Aerospatiale/Alenia ATR72</v>
      </c>
    </row>
    <row r="260" spans="1:25" x14ac:dyDescent="0.25">
      <c r="A260" t="s">
        <v>1436</v>
      </c>
      <c r="B260" t="s">
        <v>0</v>
      </c>
      <c r="C260" t="s">
        <v>222</v>
      </c>
      <c r="D260" t="s">
        <v>223</v>
      </c>
      <c r="E260" t="s">
        <v>20</v>
      </c>
      <c r="F260" s="5">
        <v>43467</v>
      </c>
      <c r="G260" s="5">
        <v>43551</v>
      </c>
      <c r="H260" s="6">
        <v>0.70486111111111116</v>
      </c>
      <c r="I260" t="s">
        <v>14</v>
      </c>
      <c r="J260" t="s">
        <v>226</v>
      </c>
      <c r="K260" t="s">
        <v>25</v>
      </c>
      <c r="M260" t="s">
        <v>17</v>
      </c>
      <c r="N260" t="str">
        <v>Destino</v>
      </c>
      <c r="O260" t="str">
        <v>FUERTEVENTURA</v>
      </c>
      <c r="P260" t="str">
        <v>FUE</v>
      </c>
      <c r="Q260" t="str">
        <v>19:10:00</v>
      </c>
      <c r="R260" t="str">
        <v>AT7</v>
      </c>
      <c r="S260" t="str">
        <v xml:space="preserve">  IBB428</v>
      </c>
      <c r="T260" t="str">
        <v>ESPAÑA</v>
      </c>
      <c r="U260" t="str">
        <v/>
      </c>
      <c r="V260" t="str">
        <v>TFN</v>
      </c>
      <c r="W260" t="str">
        <v>04/02/2019</v>
      </c>
      <c r="X260">
        <v>72</v>
      </c>
      <c r="Y260" t="str">
        <v>Aerospatiale/Alenia ATR72</v>
      </c>
    </row>
    <row r="261" spans="1:25" x14ac:dyDescent="0.25">
      <c r="A261" t="s">
        <v>1436</v>
      </c>
      <c r="B261" t="s">
        <v>0</v>
      </c>
      <c r="C261" t="s">
        <v>222</v>
      </c>
      <c r="D261" t="s">
        <v>223</v>
      </c>
      <c r="E261" t="s">
        <v>13</v>
      </c>
      <c r="F261" s="5">
        <v>43405</v>
      </c>
      <c r="G261" s="5">
        <v>43552</v>
      </c>
      <c r="H261" s="6">
        <v>0.72222222222222221</v>
      </c>
      <c r="I261" t="s">
        <v>14</v>
      </c>
      <c r="J261" t="s">
        <v>226</v>
      </c>
      <c r="K261" t="s">
        <v>25</v>
      </c>
      <c r="M261" t="s">
        <v>17</v>
      </c>
      <c r="N261" t="str">
        <v>Destino</v>
      </c>
      <c r="O261" t="str">
        <v>FUERTEVENTURA</v>
      </c>
      <c r="P261" t="str">
        <v>FUE</v>
      </c>
      <c r="Q261" t="str">
        <v>19:10:00</v>
      </c>
      <c r="R261" t="str">
        <v>AT7</v>
      </c>
      <c r="S261" t="str">
        <v xml:space="preserve">  IBB428</v>
      </c>
      <c r="T261" t="str">
        <v>ESPAÑA</v>
      </c>
      <c r="U261" t="str">
        <v/>
      </c>
      <c r="V261" t="str">
        <v>TFN</v>
      </c>
      <c r="W261" t="str">
        <v>07/02/2019</v>
      </c>
      <c r="X261">
        <v>72</v>
      </c>
      <c r="Y261" t="str">
        <v>Aerospatiale/Alenia ATR72</v>
      </c>
    </row>
    <row r="262" spans="1:25" x14ac:dyDescent="0.25">
      <c r="A262" t="s">
        <v>1436</v>
      </c>
      <c r="B262" t="s">
        <v>0</v>
      </c>
      <c r="C262" t="s">
        <v>222</v>
      </c>
      <c r="D262" t="s">
        <v>223</v>
      </c>
      <c r="E262" t="s">
        <v>59</v>
      </c>
      <c r="F262" s="5">
        <v>43472</v>
      </c>
      <c r="G262" s="5">
        <v>43549</v>
      </c>
      <c r="H262" s="6">
        <v>0.72222222222222221</v>
      </c>
      <c r="I262" t="s">
        <v>14</v>
      </c>
      <c r="J262" t="s">
        <v>226</v>
      </c>
      <c r="K262" t="s">
        <v>25</v>
      </c>
      <c r="M262" t="s">
        <v>17</v>
      </c>
      <c r="N262" t="str">
        <v>Destino</v>
      </c>
      <c r="O262" t="str">
        <v>FUERTEVENTURA</v>
      </c>
      <c r="P262" t="str">
        <v>FUE</v>
      </c>
      <c r="Q262" t="str">
        <v>19:10:00</v>
      </c>
      <c r="R262" t="str">
        <v>AT7</v>
      </c>
      <c r="S262" t="str">
        <v xml:space="preserve">  IBB428</v>
      </c>
      <c r="T262" t="str">
        <v>ESPAÑA</v>
      </c>
      <c r="U262" t="str">
        <v/>
      </c>
      <c r="V262" t="str">
        <v>TFN</v>
      </c>
      <c r="W262" t="str">
        <v>09/02/2019</v>
      </c>
      <c r="X262">
        <v>72</v>
      </c>
      <c r="Y262" t="str">
        <v>Aerospatiale/Alenia ATR72</v>
      </c>
    </row>
    <row r="263" spans="1:25" x14ac:dyDescent="0.25">
      <c r="A263" t="s">
        <v>1436</v>
      </c>
      <c r="B263" t="s">
        <v>0</v>
      </c>
      <c r="C263" t="s">
        <v>222</v>
      </c>
      <c r="D263" t="s">
        <v>223</v>
      </c>
      <c r="E263" t="s">
        <v>19</v>
      </c>
      <c r="F263" s="5">
        <v>43480</v>
      </c>
      <c r="G263" s="5">
        <v>43550</v>
      </c>
      <c r="H263" s="6">
        <v>0.72222222222222221</v>
      </c>
      <c r="I263" t="s">
        <v>14</v>
      </c>
      <c r="J263" t="s">
        <v>226</v>
      </c>
      <c r="K263" t="s">
        <v>25</v>
      </c>
      <c r="M263" t="s">
        <v>17</v>
      </c>
      <c r="N263" t="str">
        <v>Destino</v>
      </c>
      <c r="O263" t="str">
        <v>FUERTEVENTURA</v>
      </c>
      <c r="P263" t="str">
        <v>FUE</v>
      </c>
      <c r="Q263" t="str">
        <v>19:10:00</v>
      </c>
      <c r="R263" t="str">
        <v>AT7</v>
      </c>
      <c r="S263" t="str">
        <v xml:space="preserve">  IBB428</v>
      </c>
      <c r="T263" t="str">
        <v>ESPAÑA</v>
      </c>
      <c r="U263" t="str">
        <v/>
      </c>
      <c r="V263" t="str">
        <v>TFN</v>
      </c>
      <c r="W263" t="str">
        <v>08/02/2019</v>
      </c>
      <c r="X263">
        <v>72</v>
      </c>
      <c r="Y263" t="str">
        <v>Aerospatiale/Alenia ATR72</v>
      </c>
    </row>
    <row r="264" spans="1:25" x14ac:dyDescent="0.25">
      <c r="A264" t="s">
        <v>1436</v>
      </c>
      <c r="B264" t="s">
        <v>0</v>
      </c>
      <c r="C264" t="s">
        <v>222</v>
      </c>
      <c r="D264" t="s">
        <v>223</v>
      </c>
      <c r="E264" t="s">
        <v>143</v>
      </c>
      <c r="F264" s="5">
        <v>43497</v>
      </c>
      <c r="G264" s="5">
        <v>43520</v>
      </c>
      <c r="H264" s="6">
        <v>0.72916666666666663</v>
      </c>
      <c r="I264" t="s">
        <v>14</v>
      </c>
      <c r="J264" t="s">
        <v>226</v>
      </c>
      <c r="K264" t="s">
        <v>25</v>
      </c>
      <c r="M264" t="s">
        <v>17</v>
      </c>
      <c r="N264" t="str">
        <v>Destino</v>
      </c>
      <c r="O264" t="str">
        <v>FUERTEVENTURA</v>
      </c>
      <c r="P264" t="str">
        <v>FUE</v>
      </c>
      <c r="Q264" t="str">
        <v>19:30:00</v>
      </c>
      <c r="R264" t="str">
        <v>AT7</v>
      </c>
      <c r="S264" t="str">
        <v xml:space="preserve">  CNF374</v>
      </c>
      <c r="T264" t="str">
        <v>ESPAÑA</v>
      </c>
      <c r="U264" t="str">
        <v/>
      </c>
      <c r="V264" t="str">
        <v>TFN</v>
      </c>
      <c r="W264" t="str">
        <v>06/02/2019</v>
      </c>
      <c r="X264">
        <v>72</v>
      </c>
      <c r="Y264" t="str">
        <v>Aerospatiale/Alenia ATR72</v>
      </c>
    </row>
    <row r="265" spans="1:25" x14ac:dyDescent="0.25">
      <c r="A265" t="s">
        <v>1436</v>
      </c>
      <c r="B265" t="s">
        <v>0</v>
      </c>
      <c r="C265" t="s">
        <v>222</v>
      </c>
      <c r="D265" t="s">
        <v>223</v>
      </c>
      <c r="E265" t="s">
        <v>22</v>
      </c>
      <c r="F265" s="5">
        <v>43407</v>
      </c>
      <c r="G265" s="5">
        <v>43554</v>
      </c>
      <c r="H265" s="6">
        <v>0.79166666666666663</v>
      </c>
      <c r="I265" t="s">
        <v>14</v>
      </c>
      <c r="J265" t="s">
        <v>224</v>
      </c>
      <c r="K265" t="s">
        <v>25</v>
      </c>
      <c r="M265" t="s">
        <v>17</v>
      </c>
      <c r="N265" t="str">
        <v>Destino</v>
      </c>
      <c r="O265" t="str">
        <v>FUERTEVENTURA</v>
      </c>
      <c r="P265" t="str">
        <v>FUE</v>
      </c>
      <c r="Q265" t="str">
        <v>19:30:00</v>
      </c>
      <c r="R265" t="str">
        <v>AT7</v>
      </c>
      <c r="S265" t="str">
        <v xml:space="preserve">  CNF374</v>
      </c>
      <c r="T265" t="str">
        <v>ESPAÑA</v>
      </c>
      <c r="U265" t="str">
        <v/>
      </c>
      <c r="V265" t="str">
        <v>TFN</v>
      </c>
      <c r="W265" t="str">
        <v>05/02/2019</v>
      </c>
      <c r="X265">
        <v>72</v>
      </c>
      <c r="Y265" t="str">
        <v>Aerospatiale/Alenia ATR72</v>
      </c>
    </row>
    <row r="266" spans="1:25" x14ac:dyDescent="0.25">
      <c r="A266" t="s">
        <v>1436</v>
      </c>
      <c r="B266" t="s">
        <v>0</v>
      </c>
      <c r="C266" t="s">
        <v>230</v>
      </c>
      <c r="D266" t="s">
        <v>231</v>
      </c>
      <c r="E266" t="s">
        <v>19</v>
      </c>
      <c r="F266" s="5">
        <v>43466</v>
      </c>
      <c r="G266" s="5">
        <v>43550</v>
      </c>
      <c r="H266" s="6">
        <v>0.36458333333333331</v>
      </c>
      <c r="I266">
        <v>320</v>
      </c>
      <c r="J266" t="s">
        <v>232</v>
      </c>
      <c r="K266" t="s">
        <v>25</v>
      </c>
      <c r="M266" t="s">
        <v>17</v>
      </c>
      <c r="N266" t="str">
        <v>Destino</v>
      </c>
      <c r="O266" t="str">
        <v>FUERTEVENTURA</v>
      </c>
      <c r="P266" t="str">
        <v>FUE</v>
      </c>
      <c r="Q266" t="str">
        <v>19:30:00</v>
      </c>
      <c r="R266" t="str">
        <v>AT7</v>
      </c>
      <c r="S266" t="str">
        <v xml:space="preserve">  CNF374</v>
      </c>
      <c r="T266" t="str">
        <v>ESPAÑA</v>
      </c>
      <c r="U266" t="str">
        <v/>
      </c>
      <c r="V266" t="str">
        <v>TFN</v>
      </c>
      <c r="W266" t="str">
        <v>04/02/2019</v>
      </c>
      <c r="X266">
        <v>72</v>
      </c>
      <c r="Y266" t="str">
        <v>Aerospatiale/Alenia ATR72</v>
      </c>
    </row>
    <row r="267" spans="1:25" x14ac:dyDescent="0.25">
      <c r="A267" t="s">
        <v>1436</v>
      </c>
      <c r="B267" t="s">
        <v>0</v>
      </c>
      <c r="C267" t="s">
        <v>230</v>
      </c>
      <c r="D267" t="s">
        <v>231</v>
      </c>
      <c r="E267" t="s">
        <v>22</v>
      </c>
      <c r="F267" s="5">
        <v>43407</v>
      </c>
      <c r="G267" s="5">
        <v>43554</v>
      </c>
      <c r="H267" s="6">
        <v>0.57638888888888895</v>
      </c>
      <c r="I267">
        <v>320</v>
      </c>
      <c r="J267" t="s">
        <v>232</v>
      </c>
      <c r="K267" t="s">
        <v>25</v>
      </c>
      <c r="M267" t="s">
        <v>17</v>
      </c>
      <c r="N267" t="str">
        <v>Destino</v>
      </c>
      <c r="O267" t="str">
        <v>FUERTEVENTURA</v>
      </c>
      <c r="P267" t="str">
        <v>FUE</v>
      </c>
      <c r="Q267" t="str">
        <v>19:30:00</v>
      </c>
      <c r="R267" t="str">
        <v>AT7</v>
      </c>
      <c r="S267" t="str">
        <v xml:space="preserve">  CNF374</v>
      </c>
      <c r="T267" t="str">
        <v>ESPAÑA</v>
      </c>
      <c r="U267" t="str">
        <v/>
      </c>
      <c r="V267" t="str">
        <v>TFN</v>
      </c>
      <c r="W267" t="str">
        <v>08/02/2019</v>
      </c>
      <c r="X267">
        <v>72</v>
      </c>
      <c r="Y267" t="str">
        <v>Aerospatiale/Alenia ATR72</v>
      </c>
    </row>
    <row r="268" spans="1:25" x14ac:dyDescent="0.25">
      <c r="A268" t="s">
        <v>1436</v>
      </c>
      <c r="B268" t="s">
        <v>0</v>
      </c>
      <c r="C268" t="s">
        <v>233</v>
      </c>
      <c r="D268" t="s">
        <v>234</v>
      </c>
      <c r="E268" t="s">
        <v>22</v>
      </c>
      <c r="F268" s="5">
        <v>43407</v>
      </c>
      <c r="G268" s="5">
        <v>43554</v>
      </c>
      <c r="H268" s="6">
        <v>0.4548611111111111</v>
      </c>
      <c r="I268" t="s">
        <v>14</v>
      </c>
      <c r="J268" t="s">
        <v>236</v>
      </c>
      <c r="K268" t="s">
        <v>38</v>
      </c>
      <c r="M268" t="s">
        <v>17</v>
      </c>
      <c r="N268" t="str">
        <v>Destino</v>
      </c>
      <c r="O268" t="str">
        <v>FUERTEVENTURA</v>
      </c>
      <c r="P268" t="str">
        <v>FUE</v>
      </c>
      <c r="Q268" t="str">
        <v>19:30:00</v>
      </c>
      <c r="R268" t="str">
        <v>AT7</v>
      </c>
      <c r="S268" t="str">
        <v xml:space="preserve">  CNF374</v>
      </c>
      <c r="T268" t="str">
        <v>ESPAÑA</v>
      </c>
      <c r="U268" t="str">
        <v/>
      </c>
      <c r="V268" t="str">
        <v>TFN</v>
      </c>
      <c r="W268" t="str">
        <v>07/02/2019</v>
      </c>
      <c r="X268">
        <v>72</v>
      </c>
      <c r="Y268" t="str">
        <v>Aerospatiale/Alenia ATR72</v>
      </c>
    </row>
    <row r="269" spans="1:25" x14ac:dyDescent="0.25">
      <c r="A269" t="s">
        <v>1436</v>
      </c>
      <c r="B269" t="s">
        <v>0</v>
      </c>
      <c r="C269" t="s">
        <v>233</v>
      </c>
      <c r="D269" t="s">
        <v>234</v>
      </c>
      <c r="E269" t="s">
        <v>13</v>
      </c>
      <c r="F269" s="5">
        <v>43405</v>
      </c>
      <c r="G269" s="5">
        <v>43552</v>
      </c>
      <c r="H269" s="6">
        <v>0.46875</v>
      </c>
      <c r="I269" t="s">
        <v>14</v>
      </c>
      <c r="J269" t="s">
        <v>236</v>
      </c>
      <c r="K269" t="s">
        <v>38</v>
      </c>
      <c r="M269" t="s">
        <v>17</v>
      </c>
      <c r="N269" t="str">
        <v>Destino</v>
      </c>
      <c r="O269" t="str">
        <v>FUERTEVENTURA</v>
      </c>
      <c r="P269" t="str">
        <v>FUE</v>
      </c>
      <c r="Q269" t="str">
        <v>19:30:00</v>
      </c>
      <c r="R269" t="str">
        <v>AT7</v>
      </c>
      <c r="S269" t="str">
        <v xml:space="preserve">  CNF374</v>
      </c>
      <c r="T269" t="str">
        <v>ESPAÑA</v>
      </c>
      <c r="U269" t="str">
        <v/>
      </c>
      <c r="V269" t="str">
        <v>TFN</v>
      </c>
      <c r="W269" t="str">
        <v>10/02/2019</v>
      </c>
      <c r="X269">
        <v>72</v>
      </c>
      <c r="Y269" t="str">
        <v>Aerospatiale/Alenia ATR72</v>
      </c>
    </row>
    <row r="270" spans="1:25" x14ac:dyDescent="0.25">
      <c r="A270" t="s">
        <v>1436</v>
      </c>
      <c r="B270" t="s">
        <v>0</v>
      </c>
      <c r="C270" t="s">
        <v>233</v>
      </c>
      <c r="D270" t="s">
        <v>234</v>
      </c>
      <c r="E270" t="s">
        <v>19</v>
      </c>
      <c r="F270" s="5">
        <v>43473</v>
      </c>
      <c r="G270" s="5">
        <v>43550</v>
      </c>
      <c r="H270" s="6">
        <v>0.47916666666666669</v>
      </c>
      <c r="I270" t="s">
        <v>14</v>
      </c>
      <c r="J270" t="s">
        <v>236</v>
      </c>
      <c r="K270" t="s">
        <v>38</v>
      </c>
      <c r="M270" t="s">
        <v>17</v>
      </c>
      <c r="N270" t="str">
        <v>Destino</v>
      </c>
      <c r="O270" t="str">
        <v>FUERTEVENTURA</v>
      </c>
      <c r="P270" t="str">
        <v>FUE</v>
      </c>
      <c r="Q270" t="str">
        <v>19:30:00</v>
      </c>
      <c r="R270" t="str">
        <v>AT7</v>
      </c>
      <c r="S270" t="str">
        <v xml:space="preserve">  CNF374</v>
      </c>
      <c r="T270" t="str">
        <v>ESPAÑA</v>
      </c>
      <c r="U270" t="str">
        <v/>
      </c>
      <c r="V270" t="str">
        <v>TFN</v>
      </c>
      <c r="W270" t="str">
        <v>09/02/2019</v>
      </c>
      <c r="X270">
        <v>72</v>
      </c>
      <c r="Y270" t="str">
        <v>Aerospatiale/Alenia ATR72</v>
      </c>
    </row>
    <row r="271" spans="1:25" x14ac:dyDescent="0.25">
      <c r="A271" t="s">
        <v>1436</v>
      </c>
      <c r="B271" t="s">
        <v>0</v>
      </c>
      <c r="C271" t="s">
        <v>233</v>
      </c>
      <c r="D271" t="s">
        <v>234</v>
      </c>
      <c r="E271" t="s">
        <v>48</v>
      </c>
      <c r="F271" s="5">
        <v>43406</v>
      </c>
      <c r="G271" s="5">
        <v>43553</v>
      </c>
      <c r="H271" s="6">
        <v>0.4826388888888889</v>
      </c>
      <c r="I271" t="s">
        <v>14</v>
      </c>
      <c r="J271" t="s">
        <v>236</v>
      </c>
      <c r="K271" t="s">
        <v>38</v>
      </c>
      <c r="M271" t="s">
        <v>17</v>
      </c>
      <c r="N271" t="str">
        <v>Destino</v>
      </c>
      <c r="O271" t="str">
        <v>FUERTEVENTURA</v>
      </c>
      <c r="P271" t="str">
        <v>FUE</v>
      </c>
      <c r="Q271" t="str">
        <v>20:30:00</v>
      </c>
      <c r="R271" t="str">
        <v>AT7</v>
      </c>
      <c r="S271" t="str">
        <v xml:space="preserve">  IBB424</v>
      </c>
      <c r="T271" t="str">
        <v>ESPAÑA</v>
      </c>
      <c r="U271" t="str">
        <v/>
      </c>
      <c r="V271" t="str">
        <v>TFN</v>
      </c>
      <c r="W271" t="str">
        <v>08/02/2019</v>
      </c>
      <c r="X271">
        <v>72</v>
      </c>
      <c r="Y271" t="str">
        <v>Aerospatiale/Alenia ATR72</v>
      </c>
    </row>
    <row r="272" spans="1:25" x14ac:dyDescent="0.25">
      <c r="A272" t="s">
        <v>1436</v>
      </c>
      <c r="B272" t="s">
        <v>0</v>
      </c>
      <c r="C272" t="s">
        <v>233</v>
      </c>
      <c r="D272" t="s">
        <v>234</v>
      </c>
      <c r="E272" t="s">
        <v>20</v>
      </c>
      <c r="F272" s="5">
        <v>43467</v>
      </c>
      <c r="G272" s="5">
        <v>43551</v>
      </c>
      <c r="H272" s="6">
        <v>0.4826388888888889</v>
      </c>
      <c r="I272" t="s">
        <v>14</v>
      </c>
      <c r="J272" t="s">
        <v>236</v>
      </c>
      <c r="K272" t="s">
        <v>38</v>
      </c>
      <c r="M272" t="s">
        <v>17</v>
      </c>
      <c r="N272" t="str">
        <v>Destino</v>
      </c>
      <c r="O272" t="str">
        <v>FUERTEVENTURA</v>
      </c>
      <c r="P272" t="str">
        <v>FUE</v>
      </c>
      <c r="Q272" t="str">
        <v>20:30:00</v>
      </c>
      <c r="R272" t="str">
        <v>AT7</v>
      </c>
      <c r="S272" t="str">
        <v xml:space="preserve">  IBB424</v>
      </c>
      <c r="T272" t="str">
        <v>ESPAÑA</v>
      </c>
      <c r="U272" t="str">
        <v/>
      </c>
      <c r="V272" t="str">
        <v>TFN</v>
      </c>
      <c r="W272" t="str">
        <v>10/02/2019</v>
      </c>
      <c r="X272">
        <v>72</v>
      </c>
      <c r="Y272" t="str">
        <v>Aerospatiale/Alenia ATR72</v>
      </c>
    </row>
    <row r="273" spans="1:25" x14ac:dyDescent="0.25">
      <c r="A273" t="s">
        <v>1436</v>
      </c>
      <c r="B273" t="s">
        <v>0</v>
      </c>
      <c r="C273" t="s">
        <v>233</v>
      </c>
      <c r="D273" t="s">
        <v>234</v>
      </c>
      <c r="E273" t="s">
        <v>22</v>
      </c>
      <c r="F273" s="5">
        <v>43414</v>
      </c>
      <c r="G273" s="5">
        <v>43554</v>
      </c>
      <c r="H273" s="6">
        <v>0.49305555555555558</v>
      </c>
      <c r="I273">
        <v>320</v>
      </c>
      <c r="J273" t="s">
        <v>1463</v>
      </c>
      <c r="K273" t="s">
        <v>38</v>
      </c>
      <c r="M273" t="s">
        <v>17</v>
      </c>
      <c r="N273" t="str">
        <v>Destino</v>
      </c>
      <c r="O273" t="str">
        <v>FUNCHAL / MADEIRA</v>
      </c>
      <c r="P273" t="str">
        <v>FNC</v>
      </c>
      <c r="Q273" t="str">
        <v>14:55:00</v>
      </c>
      <c r="R273" t="str">
        <v>AT7</v>
      </c>
      <c r="S273" t="str">
        <v xml:space="preserve">  IBB942</v>
      </c>
      <c r="T273" t="str">
        <v>PORTUGAL</v>
      </c>
      <c r="U273" t="str">
        <v/>
      </c>
      <c r="V273" t="str">
        <v>TFN</v>
      </c>
      <c r="W273" t="str">
        <v>09/02/2019</v>
      </c>
      <c r="X273">
        <v>72</v>
      </c>
      <c r="Y273" t="str">
        <v>Aerospatiale/Alenia ATR72</v>
      </c>
    </row>
    <row r="274" spans="1:25" x14ac:dyDescent="0.25">
      <c r="A274" t="s">
        <v>1436</v>
      </c>
      <c r="B274" t="s">
        <v>0</v>
      </c>
      <c r="C274" t="s">
        <v>233</v>
      </c>
      <c r="D274" t="s">
        <v>234</v>
      </c>
      <c r="E274" t="s">
        <v>18</v>
      </c>
      <c r="F274" s="5">
        <v>43401</v>
      </c>
      <c r="G274" s="5">
        <v>43548</v>
      </c>
      <c r="H274" s="6">
        <v>0.5</v>
      </c>
      <c r="I274" t="s">
        <v>14</v>
      </c>
      <c r="J274" t="s">
        <v>236</v>
      </c>
      <c r="K274" t="s">
        <v>38</v>
      </c>
      <c r="M274" t="s">
        <v>17</v>
      </c>
      <c r="N274" t="str">
        <v>Destino</v>
      </c>
      <c r="O274" t="str">
        <v>GRAN CANARIA</v>
      </c>
      <c r="P274" t="str">
        <v>LPA</v>
      </c>
      <c r="Q274" t="str">
        <v>07:30:00</v>
      </c>
      <c r="R274" t="str">
        <v>AT7</v>
      </c>
      <c r="S274" t="str">
        <v xml:space="preserve">  CNF612</v>
      </c>
      <c r="T274" t="str">
        <v>ESPAÑA</v>
      </c>
      <c r="U274" t="str">
        <v/>
      </c>
      <c r="V274" t="str">
        <v>TFN</v>
      </c>
      <c r="W274" t="str">
        <v>08/02/2019</v>
      </c>
      <c r="X274">
        <v>72</v>
      </c>
      <c r="Y274" t="str">
        <v>Aerospatiale/Alenia ATR72</v>
      </c>
    </row>
    <row r="275" spans="1:25" x14ac:dyDescent="0.25">
      <c r="A275" t="s">
        <v>1436</v>
      </c>
      <c r="B275" t="s">
        <v>0</v>
      </c>
      <c r="C275" t="s">
        <v>233</v>
      </c>
      <c r="D275" t="s">
        <v>234</v>
      </c>
      <c r="E275" t="s">
        <v>18</v>
      </c>
      <c r="F275" s="5">
        <v>43513</v>
      </c>
      <c r="G275" s="5">
        <v>43548</v>
      </c>
      <c r="H275" s="6">
        <v>0.56597222222222221</v>
      </c>
      <c r="I275" t="s">
        <v>14</v>
      </c>
      <c r="J275" t="s">
        <v>1237</v>
      </c>
      <c r="K275" t="s">
        <v>38</v>
      </c>
      <c r="M275" t="s">
        <v>17</v>
      </c>
      <c r="N275" t="str">
        <v>Destino</v>
      </c>
      <c r="O275" t="str">
        <v>GRAN CANARIA</v>
      </c>
      <c r="P275" t="str">
        <v>LPA</v>
      </c>
      <c r="Q275" t="str">
        <v>07:30:00</v>
      </c>
      <c r="R275" t="str">
        <v>AT7</v>
      </c>
      <c r="S275" t="str">
        <v xml:space="preserve">  CNF612</v>
      </c>
      <c r="T275" t="str">
        <v>ESPAÑA</v>
      </c>
      <c r="U275" t="str">
        <v/>
      </c>
      <c r="V275" t="str">
        <v>TFN</v>
      </c>
      <c r="W275" t="str">
        <v>09/02/2019</v>
      </c>
      <c r="X275">
        <v>72</v>
      </c>
      <c r="Y275" t="str">
        <v>Aerospatiale/Alenia ATR72</v>
      </c>
    </row>
    <row r="276" spans="1:25" x14ac:dyDescent="0.25">
      <c r="A276" t="s">
        <v>1436</v>
      </c>
      <c r="B276" t="s">
        <v>0</v>
      </c>
      <c r="C276" t="s">
        <v>233</v>
      </c>
      <c r="D276" t="s">
        <v>234</v>
      </c>
      <c r="E276" t="s">
        <v>13</v>
      </c>
      <c r="F276" s="5">
        <v>43503</v>
      </c>
      <c r="G276" s="5">
        <v>43552</v>
      </c>
      <c r="H276" s="6">
        <v>0.57986111111111105</v>
      </c>
      <c r="I276" t="s">
        <v>39</v>
      </c>
      <c r="J276" t="s">
        <v>238</v>
      </c>
      <c r="K276" t="s">
        <v>38</v>
      </c>
      <c r="M276" t="s">
        <v>17</v>
      </c>
      <c r="N276" t="str">
        <v>Destino</v>
      </c>
      <c r="O276" t="str">
        <v>GRAN CANARIA</v>
      </c>
      <c r="P276" t="str">
        <v>LPA</v>
      </c>
      <c r="Q276" t="str">
        <v>07:30:00</v>
      </c>
      <c r="R276" t="str">
        <v>AT7</v>
      </c>
      <c r="S276" t="str">
        <v xml:space="preserve">  CNF612</v>
      </c>
      <c r="T276" t="str">
        <v>ESPAÑA</v>
      </c>
      <c r="U276" t="str">
        <v/>
      </c>
      <c r="V276" t="str">
        <v>TFN</v>
      </c>
      <c r="W276" t="str">
        <v>04/02/2019</v>
      </c>
      <c r="X276">
        <v>72</v>
      </c>
      <c r="Y276" t="str">
        <v>Aerospatiale/Alenia ATR72</v>
      </c>
    </row>
    <row r="277" spans="1:25" x14ac:dyDescent="0.25">
      <c r="A277" t="s">
        <v>1436</v>
      </c>
      <c r="B277" t="s">
        <v>0</v>
      </c>
      <c r="C277" t="s">
        <v>233</v>
      </c>
      <c r="D277" t="s">
        <v>234</v>
      </c>
      <c r="E277" t="s">
        <v>22</v>
      </c>
      <c r="F277" s="5">
        <v>43456</v>
      </c>
      <c r="G277" s="5">
        <v>43554</v>
      </c>
      <c r="H277" s="6">
        <v>0.60416666666666663</v>
      </c>
      <c r="I277" t="s">
        <v>39</v>
      </c>
      <c r="J277" t="s">
        <v>238</v>
      </c>
      <c r="K277" t="s">
        <v>38</v>
      </c>
      <c r="M277" t="s">
        <v>17</v>
      </c>
      <c r="N277" t="str">
        <v>Destino</v>
      </c>
      <c r="O277" t="str">
        <v>GRAN CANARIA</v>
      </c>
      <c r="P277" t="str">
        <v>LPA</v>
      </c>
      <c r="Q277" t="str">
        <v>07:30:00</v>
      </c>
      <c r="R277" t="str">
        <v>AT7</v>
      </c>
      <c r="S277" t="str">
        <v xml:space="preserve">  IBB100</v>
      </c>
      <c r="T277" t="str">
        <v>ESPAÑA</v>
      </c>
      <c r="U277" t="str">
        <v/>
      </c>
      <c r="V277" t="str">
        <v>TFN</v>
      </c>
      <c r="W277" t="str">
        <v>06/02/2019</v>
      </c>
      <c r="X277">
        <v>72</v>
      </c>
      <c r="Y277" t="str">
        <v>Aerospatiale/Alenia ATR72</v>
      </c>
    </row>
    <row r="278" spans="1:25" x14ac:dyDescent="0.25">
      <c r="A278" t="s">
        <v>1436</v>
      </c>
      <c r="B278" t="s">
        <v>0</v>
      </c>
      <c r="C278" t="s">
        <v>233</v>
      </c>
      <c r="D278" t="s">
        <v>234</v>
      </c>
      <c r="E278" t="s">
        <v>20</v>
      </c>
      <c r="F278" s="5">
        <v>43411</v>
      </c>
      <c r="G278" s="5">
        <v>43551</v>
      </c>
      <c r="H278" s="6">
        <v>0.60763888888888895</v>
      </c>
      <c r="I278" t="s">
        <v>39</v>
      </c>
      <c r="J278" t="s">
        <v>239</v>
      </c>
      <c r="K278" t="s">
        <v>38</v>
      </c>
      <c r="M278" t="s">
        <v>17</v>
      </c>
      <c r="N278" t="str">
        <v>Destino</v>
      </c>
      <c r="O278" t="str">
        <v>GRAN CANARIA</v>
      </c>
      <c r="P278" t="str">
        <v>LPA</v>
      </c>
      <c r="Q278" t="str">
        <v>07:30:00</v>
      </c>
      <c r="R278" t="str">
        <v>AT7</v>
      </c>
      <c r="S278" t="str">
        <v xml:space="preserve">  IBB100</v>
      </c>
      <c r="T278" t="str">
        <v>ESPAÑA</v>
      </c>
      <c r="U278" t="str">
        <v/>
      </c>
      <c r="V278" t="str">
        <v>TFN</v>
      </c>
      <c r="W278" t="str">
        <v>07/02/2019</v>
      </c>
      <c r="X278">
        <v>72</v>
      </c>
      <c r="Y278" t="str">
        <v>Aerospatiale/Alenia ATR72</v>
      </c>
    </row>
    <row r="279" spans="1:25" x14ac:dyDescent="0.25">
      <c r="A279" t="s">
        <v>1436</v>
      </c>
      <c r="B279" t="s">
        <v>0</v>
      </c>
      <c r="C279" t="s">
        <v>233</v>
      </c>
      <c r="D279" t="s">
        <v>234</v>
      </c>
      <c r="E279" t="s">
        <v>22</v>
      </c>
      <c r="F279" s="5">
        <v>43512</v>
      </c>
      <c r="G279" s="5">
        <v>43547</v>
      </c>
      <c r="H279" s="6">
        <v>0.60763888888888895</v>
      </c>
      <c r="I279" t="s">
        <v>14</v>
      </c>
      <c r="J279" t="s">
        <v>1237</v>
      </c>
      <c r="K279" t="s">
        <v>38</v>
      </c>
      <c r="M279" t="s">
        <v>17</v>
      </c>
      <c r="N279" t="str">
        <v>Destino</v>
      </c>
      <c r="O279" t="str">
        <v>GRAN CANARIA</v>
      </c>
      <c r="P279" t="str">
        <v>LPA</v>
      </c>
      <c r="Q279" t="str">
        <v>08:00:00</v>
      </c>
      <c r="R279" t="str">
        <v>AT7</v>
      </c>
      <c r="S279" t="str">
        <v xml:space="preserve">  AEA9404</v>
      </c>
      <c r="T279" t="str">
        <v>ESPAÑA</v>
      </c>
      <c r="U279" t="str">
        <v/>
      </c>
      <c r="V279" t="str">
        <v>TFN</v>
      </c>
      <c r="W279" t="str">
        <v>06/02/2019</v>
      </c>
      <c r="X279">
        <v>72</v>
      </c>
      <c r="Y279" t="str">
        <v>Aerospatiale/Alenia ATR72</v>
      </c>
    </row>
    <row r="280" spans="1:25" x14ac:dyDescent="0.25">
      <c r="A280" t="s">
        <v>1436</v>
      </c>
      <c r="B280" t="s">
        <v>0</v>
      </c>
      <c r="C280" t="s">
        <v>233</v>
      </c>
      <c r="D280" t="s">
        <v>234</v>
      </c>
      <c r="E280" t="s">
        <v>18</v>
      </c>
      <c r="F280" s="5">
        <v>43401</v>
      </c>
      <c r="G280" s="5">
        <v>43548</v>
      </c>
      <c r="H280" s="6">
        <v>0.61458333333333337</v>
      </c>
      <c r="I280" t="s">
        <v>39</v>
      </c>
      <c r="J280" t="s">
        <v>1460</v>
      </c>
      <c r="K280" t="s">
        <v>38</v>
      </c>
      <c r="M280" t="s">
        <v>17</v>
      </c>
      <c r="N280" t="str">
        <v>Destino</v>
      </c>
      <c r="O280" t="str">
        <v>GRAN CANARIA</v>
      </c>
      <c r="P280" t="str">
        <v>LPA</v>
      </c>
      <c r="Q280" t="str">
        <v>08:00:00</v>
      </c>
      <c r="R280" t="str">
        <v>AT7</v>
      </c>
      <c r="S280" t="str">
        <v xml:space="preserve">  AEA9404</v>
      </c>
      <c r="T280" t="str">
        <v>ESPAÑA</v>
      </c>
      <c r="U280" t="str">
        <v/>
      </c>
      <c r="V280" t="str">
        <v>TFN</v>
      </c>
      <c r="W280" t="str">
        <v>08/02/2019</v>
      </c>
      <c r="X280">
        <v>72</v>
      </c>
      <c r="Y280" t="str">
        <v>Aerospatiale/Alenia ATR72</v>
      </c>
    </row>
    <row r="281" spans="1:25" x14ac:dyDescent="0.25">
      <c r="A281" t="s">
        <v>1436</v>
      </c>
      <c r="B281" t="s">
        <v>0</v>
      </c>
      <c r="C281" t="s">
        <v>233</v>
      </c>
      <c r="D281" t="s">
        <v>234</v>
      </c>
      <c r="E281" t="s">
        <v>48</v>
      </c>
      <c r="F281" s="5">
        <v>43511</v>
      </c>
      <c r="G281" s="5">
        <v>43553</v>
      </c>
      <c r="H281" s="6">
        <v>0.61805555555555558</v>
      </c>
      <c r="I281" t="s">
        <v>39</v>
      </c>
      <c r="J281" t="s">
        <v>239</v>
      </c>
      <c r="K281" t="s">
        <v>38</v>
      </c>
      <c r="M281" t="s">
        <v>17</v>
      </c>
      <c r="N281" t="str">
        <v>Destino</v>
      </c>
      <c r="O281" t="str">
        <v>GRAN CANARIA</v>
      </c>
      <c r="P281" t="str">
        <v>LPA</v>
      </c>
      <c r="Q281" t="str">
        <v>08:00:00</v>
      </c>
      <c r="R281" t="str">
        <v>AT7</v>
      </c>
      <c r="S281" t="str">
        <v xml:space="preserve">  AEA9404</v>
      </c>
      <c r="T281" t="str">
        <v>ESPAÑA</v>
      </c>
      <c r="U281" t="str">
        <v/>
      </c>
      <c r="V281" t="str">
        <v>TFN</v>
      </c>
      <c r="W281" t="str">
        <v>09/02/2019</v>
      </c>
      <c r="X281">
        <v>72</v>
      </c>
      <c r="Y281" t="str">
        <v>Aerospatiale/Alenia ATR72</v>
      </c>
    </row>
    <row r="282" spans="1:25" x14ac:dyDescent="0.25">
      <c r="A282" t="s">
        <v>1436</v>
      </c>
      <c r="B282" t="s">
        <v>0</v>
      </c>
      <c r="C282" t="s">
        <v>233</v>
      </c>
      <c r="D282" t="s">
        <v>234</v>
      </c>
      <c r="E282" t="s">
        <v>59</v>
      </c>
      <c r="F282" s="5">
        <v>43514</v>
      </c>
      <c r="G282" s="5">
        <v>43549</v>
      </c>
      <c r="H282" s="6">
        <v>0.65277777777777779</v>
      </c>
      <c r="I282" t="s">
        <v>39</v>
      </c>
      <c r="J282" t="s">
        <v>239</v>
      </c>
      <c r="K282" t="s">
        <v>38</v>
      </c>
      <c r="M282" t="s">
        <v>17</v>
      </c>
      <c r="N282" t="str">
        <v>Destino</v>
      </c>
      <c r="O282" t="str">
        <v>GRAN CANARIA</v>
      </c>
      <c r="P282" t="str">
        <v>LPA</v>
      </c>
      <c r="Q282" t="str">
        <v>08:00:00</v>
      </c>
      <c r="R282" t="str">
        <v>AT7</v>
      </c>
      <c r="S282" t="str">
        <v xml:space="preserve">  AEA9404</v>
      </c>
      <c r="T282" t="str">
        <v>ESPAÑA</v>
      </c>
      <c r="U282" t="str">
        <v/>
      </c>
      <c r="V282" t="str">
        <v>TFN</v>
      </c>
      <c r="W282" t="str">
        <v>10/02/2019</v>
      </c>
      <c r="X282">
        <v>72</v>
      </c>
      <c r="Y282" t="str">
        <v>Aerospatiale/Alenia ATR72</v>
      </c>
    </row>
    <row r="283" spans="1:25" x14ac:dyDescent="0.25">
      <c r="A283" t="s">
        <v>1436</v>
      </c>
      <c r="B283" t="s">
        <v>0</v>
      </c>
      <c r="C283" t="s">
        <v>233</v>
      </c>
      <c r="D283" t="s">
        <v>234</v>
      </c>
      <c r="E283" t="s">
        <v>13</v>
      </c>
      <c r="F283" s="5">
        <v>43510</v>
      </c>
      <c r="G283" s="5">
        <v>43552</v>
      </c>
      <c r="H283" s="6">
        <v>0.66666666666666663</v>
      </c>
      <c r="I283">
        <v>320</v>
      </c>
      <c r="J283" t="s">
        <v>1461</v>
      </c>
      <c r="K283" t="s">
        <v>38</v>
      </c>
      <c r="M283" t="s">
        <v>17</v>
      </c>
      <c r="N283" t="str">
        <v>Destino</v>
      </c>
      <c r="O283" t="str">
        <v>GRAN CANARIA</v>
      </c>
      <c r="P283" t="str">
        <v>LPA</v>
      </c>
      <c r="Q283" t="str">
        <v>08:00:00</v>
      </c>
      <c r="R283" t="str">
        <v>AT7</v>
      </c>
      <c r="S283" t="str">
        <v xml:space="preserve">  AEA9404</v>
      </c>
      <c r="T283" t="str">
        <v>ESPAÑA</v>
      </c>
      <c r="U283" t="str">
        <v/>
      </c>
      <c r="V283" t="str">
        <v>TFN</v>
      </c>
      <c r="W283" t="str">
        <v>05/02/2019</v>
      </c>
      <c r="X283">
        <v>72</v>
      </c>
      <c r="Y283" t="str">
        <v>Aerospatiale/Alenia ATR72</v>
      </c>
    </row>
    <row r="284" spans="1:25" x14ac:dyDescent="0.25">
      <c r="A284" t="s">
        <v>1436</v>
      </c>
      <c r="B284" t="s">
        <v>0</v>
      </c>
      <c r="C284" t="s">
        <v>233</v>
      </c>
      <c r="D284" t="s">
        <v>234</v>
      </c>
      <c r="E284" t="s">
        <v>59</v>
      </c>
      <c r="F284" s="5">
        <v>43507</v>
      </c>
      <c r="G284" s="5">
        <v>43521</v>
      </c>
      <c r="H284" s="6">
        <v>0.67708333333333337</v>
      </c>
      <c r="I284" t="s">
        <v>207</v>
      </c>
      <c r="J284" t="s">
        <v>237</v>
      </c>
      <c r="K284" t="s">
        <v>38</v>
      </c>
      <c r="M284" t="s">
        <v>17</v>
      </c>
      <c r="N284" t="str">
        <v>Destino</v>
      </c>
      <c r="O284" t="str">
        <v>GRAN CANARIA</v>
      </c>
      <c r="P284" t="str">
        <v>LPA</v>
      </c>
      <c r="Q284" t="str">
        <v>08:00:00</v>
      </c>
      <c r="R284" t="str">
        <v>AT7</v>
      </c>
      <c r="S284" t="str">
        <v xml:space="preserve">  AEA9404</v>
      </c>
      <c r="T284" t="str">
        <v>ESPAÑA</v>
      </c>
      <c r="U284" t="str">
        <v/>
      </c>
      <c r="V284" t="str">
        <v>TFN</v>
      </c>
      <c r="W284" t="str">
        <v>04/02/2019</v>
      </c>
      <c r="X284">
        <v>72</v>
      </c>
      <c r="Y284" t="str">
        <v>Aerospatiale/Alenia ATR72</v>
      </c>
    </row>
    <row r="285" spans="1:25" x14ac:dyDescent="0.25">
      <c r="A285" t="s">
        <v>1436</v>
      </c>
      <c r="B285" t="s">
        <v>0</v>
      </c>
      <c r="C285" t="s">
        <v>233</v>
      </c>
      <c r="D285" t="s">
        <v>234</v>
      </c>
      <c r="E285" t="s">
        <v>109</v>
      </c>
      <c r="F285" s="5">
        <v>43508</v>
      </c>
      <c r="G285" s="5">
        <v>43552</v>
      </c>
      <c r="H285" s="6">
        <v>0.67708333333333337</v>
      </c>
      <c r="I285" t="s">
        <v>207</v>
      </c>
      <c r="J285" t="s">
        <v>237</v>
      </c>
      <c r="K285" t="s">
        <v>38</v>
      </c>
      <c r="M285" t="s">
        <v>17</v>
      </c>
      <c r="N285" t="str">
        <v>Destino</v>
      </c>
      <c r="O285" t="str">
        <v>GRAN CANARIA</v>
      </c>
      <c r="P285" t="str">
        <v>LPA</v>
      </c>
      <c r="Q285" t="str">
        <v>08:00:00</v>
      </c>
      <c r="R285" t="str">
        <v>AT7</v>
      </c>
      <c r="S285" t="str">
        <v xml:space="preserve">  AEA9404</v>
      </c>
      <c r="T285" t="str">
        <v>ESPAÑA</v>
      </c>
      <c r="U285" t="str">
        <v/>
      </c>
      <c r="V285" t="str">
        <v>TFN</v>
      </c>
      <c r="W285" t="str">
        <v>07/02/2019</v>
      </c>
      <c r="X285">
        <v>72</v>
      </c>
      <c r="Y285" t="str">
        <v>Aerospatiale/Alenia ATR72</v>
      </c>
    </row>
    <row r="286" spans="1:25" x14ac:dyDescent="0.25">
      <c r="A286" t="s">
        <v>1436</v>
      </c>
      <c r="B286" t="s">
        <v>0</v>
      </c>
      <c r="C286" t="s">
        <v>233</v>
      </c>
      <c r="D286" t="s">
        <v>234</v>
      </c>
      <c r="E286" t="s">
        <v>419</v>
      </c>
      <c r="F286" s="5">
        <v>43511</v>
      </c>
      <c r="G286" s="5">
        <v>43518</v>
      </c>
      <c r="H286" s="6">
        <v>0.67708333333333337</v>
      </c>
      <c r="I286" t="s">
        <v>207</v>
      </c>
      <c r="J286" t="s">
        <v>237</v>
      </c>
      <c r="K286" t="s">
        <v>38</v>
      </c>
      <c r="M286" t="s">
        <v>17</v>
      </c>
      <c r="N286" t="str">
        <v>Destino</v>
      </c>
      <c r="O286" t="str">
        <v>GRAN CANARIA</v>
      </c>
      <c r="P286" t="str">
        <v>LPA</v>
      </c>
      <c r="Q286" t="str">
        <v>08:30:00</v>
      </c>
      <c r="R286" t="str">
        <v>AT7</v>
      </c>
      <c r="S286" t="str">
        <v xml:space="preserve">  IBB104</v>
      </c>
      <c r="T286" t="str">
        <v>ESPAÑA</v>
      </c>
      <c r="U286" t="str">
        <v/>
      </c>
      <c r="V286" t="str">
        <v>TFN</v>
      </c>
      <c r="W286" t="str">
        <v>06/02/2019</v>
      </c>
      <c r="X286">
        <v>72</v>
      </c>
      <c r="Y286" t="str">
        <v>Aerospatiale/Alenia ATR72</v>
      </c>
    </row>
    <row r="287" spans="1:25" x14ac:dyDescent="0.25">
      <c r="A287" t="s">
        <v>1436</v>
      </c>
      <c r="B287" t="s">
        <v>0</v>
      </c>
      <c r="C287" t="s">
        <v>233</v>
      </c>
      <c r="D287" t="s">
        <v>234</v>
      </c>
      <c r="E287" t="s">
        <v>20</v>
      </c>
      <c r="F287" s="5">
        <v>43411</v>
      </c>
      <c r="G287" s="5">
        <v>43551</v>
      </c>
      <c r="H287" s="6">
        <v>0.73263888888888884</v>
      </c>
      <c r="I287">
        <v>320</v>
      </c>
      <c r="J287" t="s">
        <v>1463</v>
      </c>
      <c r="K287" t="s">
        <v>38</v>
      </c>
      <c r="M287" t="s">
        <v>17</v>
      </c>
      <c r="N287" t="str">
        <v>Destino</v>
      </c>
      <c r="O287" t="str">
        <v>GRAN CANARIA</v>
      </c>
      <c r="P287" t="str">
        <v>LPA</v>
      </c>
      <c r="Q287" t="str">
        <v>08:30:00</v>
      </c>
      <c r="R287" t="str">
        <v>AT7</v>
      </c>
      <c r="S287" t="str">
        <v xml:space="preserve">  IBB104</v>
      </c>
      <c r="T287" t="str">
        <v>ESPAÑA</v>
      </c>
      <c r="U287" t="str">
        <v/>
      </c>
      <c r="V287" t="str">
        <v>TFN</v>
      </c>
      <c r="W287" t="str">
        <v>08/02/2019</v>
      </c>
      <c r="X287">
        <v>72</v>
      </c>
      <c r="Y287" t="str">
        <v>Aerospatiale/Alenia ATR72</v>
      </c>
    </row>
    <row r="288" spans="1:25" x14ac:dyDescent="0.25">
      <c r="A288" t="s">
        <v>1436</v>
      </c>
      <c r="B288" t="s">
        <v>0</v>
      </c>
      <c r="C288" t="s">
        <v>233</v>
      </c>
      <c r="D288" t="s">
        <v>234</v>
      </c>
      <c r="E288" t="s">
        <v>59</v>
      </c>
      <c r="F288" s="5">
        <v>43514</v>
      </c>
      <c r="G288" s="5">
        <v>43549</v>
      </c>
      <c r="H288" s="6">
        <v>0.78819444444444453</v>
      </c>
      <c r="I288">
        <v>320</v>
      </c>
      <c r="J288" t="s">
        <v>1464</v>
      </c>
      <c r="K288" t="s">
        <v>38</v>
      </c>
      <c r="M288" t="s">
        <v>17</v>
      </c>
      <c r="N288" t="str">
        <v>Destino</v>
      </c>
      <c r="O288" t="str">
        <v>GRAN CANARIA</v>
      </c>
      <c r="P288" t="str">
        <v>LPA</v>
      </c>
      <c r="Q288" t="str">
        <v>08:30:00</v>
      </c>
      <c r="R288" t="str">
        <v>AT7</v>
      </c>
      <c r="S288" t="str">
        <v xml:space="preserve">  IBB104</v>
      </c>
      <c r="T288" t="str">
        <v>ESPAÑA</v>
      </c>
      <c r="U288" t="str">
        <v/>
      </c>
      <c r="V288" t="str">
        <v>TFN</v>
      </c>
      <c r="W288" t="str">
        <v>07/02/2019</v>
      </c>
      <c r="X288">
        <v>72</v>
      </c>
      <c r="Y288" t="str">
        <v>Aerospatiale/Alenia ATR72</v>
      </c>
    </row>
    <row r="289" spans="1:25" x14ac:dyDescent="0.25">
      <c r="A289" t="s">
        <v>1436</v>
      </c>
      <c r="B289" t="s">
        <v>0</v>
      </c>
      <c r="C289" t="s">
        <v>1829</v>
      </c>
      <c r="D289" t="s">
        <v>1830</v>
      </c>
      <c r="E289" t="s">
        <v>22</v>
      </c>
      <c r="F289" s="5">
        <v>43477</v>
      </c>
      <c r="G289" s="5">
        <v>43533</v>
      </c>
      <c r="H289" s="6">
        <v>0.74652777777777779</v>
      </c>
      <c r="I289">
        <v>717</v>
      </c>
      <c r="J289" t="s">
        <v>1831</v>
      </c>
      <c r="K289" t="s">
        <v>221</v>
      </c>
      <c r="M289" t="s">
        <v>17</v>
      </c>
      <c r="N289" t="str">
        <v>Destino</v>
      </c>
      <c r="O289" t="str">
        <v>GRAN CANARIA</v>
      </c>
      <c r="P289" t="str">
        <v>LPA</v>
      </c>
      <c r="Q289" t="str">
        <v>08:30:00</v>
      </c>
      <c r="R289" t="str">
        <v>AT7</v>
      </c>
      <c r="S289" t="str">
        <v xml:space="preserve">  IBB104</v>
      </c>
      <c r="T289" t="str">
        <v>ESPAÑA</v>
      </c>
      <c r="U289" t="str">
        <v/>
      </c>
      <c r="V289" t="str">
        <v>TFN</v>
      </c>
      <c r="W289" t="str">
        <v>05/02/2019</v>
      </c>
      <c r="X289">
        <v>72</v>
      </c>
      <c r="Y289" t="str">
        <v>Aerospatiale/Alenia ATR72</v>
      </c>
    </row>
    <row r="290" spans="1:25" x14ac:dyDescent="0.25">
      <c r="A290" t="s">
        <v>1436</v>
      </c>
      <c r="B290" t="s">
        <v>0</v>
      </c>
      <c r="C290" t="s">
        <v>1510</v>
      </c>
      <c r="D290" t="s">
        <v>1141</v>
      </c>
      <c r="E290" t="s">
        <v>59</v>
      </c>
      <c r="F290" s="5">
        <v>43465</v>
      </c>
      <c r="G290" s="5">
        <v>43549</v>
      </c>
      <c r="H290" s="6">
        <v>0.38194444444444442</v>
      </c>
      <c r="I290" t="s">
        <v>14</v>
      </c>
      <c r="J290" t="s">
        <v>1832</v>
      </c>
      <c r="K290" t="s">
        <v>221</v>
      </c>
      <c r="M290" t="s">
        <v>17</v>
      </c>
      <c r="N290" t="str">
        <v>Destino</v>
      </c>
      <c r="O290" t="str">
        <v>GRAN CANARIA</v>
      </c>
      <c r="P290" t="str">
        <v>LPA</v>
      </c>
      <c r="Q290" t="str">
        <v>08:30:00</v>
      </c>
      <c r="R290" t="str">
        <v>AT7</v>
      </c>
      <c r="S290" t="str">
        <v xml:space="preserve">  IBB104</v>
      </c>
      <c r="T290" t="str">
        <v>ESPAÑA</v>
      </c>
      <c r="U290" t="str">
        <v/>
      </c>
      <c r="V290" t="str">
        <v>TFN</v>
      </c>
      <c r="W290" t="str">
        <v>04/02/2019</v>
      </c>
      <c r="X290">
        <v>72</v>
      </c>
      <c r="Y290" t="str">
        <v>Aerospatiale/Alenia ATR72</v>
      </c>
    </row>
    <row r="291" spans="1:25" x14ac:dyDescent="0.25">
      <c r="A291" t="s">
        <v>1436</v>
      </c>
      <c r="B291" t="s">
        <v>0</v>
      </c>
      <c r="C291" t="s">
        <v>240</v>
      </c>
      <c r="D291" t="s">
        <v>241</v>
      </c>
      <c r="E291" t="s">
        <v>13</v>
      </c>
      <c r="F291" s="5">
        <v>43503</v>
      </c>
      <c r="G291" s="5">
        <v>43552</v>
      </c>
      <c r="H291" s="6">
        <v>0.4861111111111111</v>
      </c>
      <c r="I291">
        <v>320</v>
      </c>
      <c r="J291" t="s">
        <v>242</v>
      </c>
      <c r="K291" t="s">
        <v>66</v>
      </c>
      <c r="M291" t="s">
        <v>17</v>
      </c>
      <c r="N291" t="str">
        <v>Destino</v>
      </c>
      <c r="O291" t="str">
        <v>GRAN CANARIA</v>
      </c>
      <c r="P291" t="str">
        <v>LPA</v>
      </c>
      <c r="Q291" t="str">
        <v>09:30:00</v>
      </c>
      <c r="R291" t="str">
        <v>AT7</v>
      </c>
      <c r="S291" t="str">
        <v xml:space="preserve">  IBB112</v>
      </c>
      <c r="T291" t="str">
        <v>ESPAÑA</v>
      </c>
      <c r="U291" t="str">
        <v/>
      </c>
      <c r="V291" t="str">
        <v>TFN</v>
      </c>
      <c r="W291" t="str">
        <v>06/02/2019</v>
      </c>
      <c r="X291">
        <v>72</v>
      </c>
      <c r="Y291" t="str">
        <v>Aerospatiale/Alenia ATR72</v>
      </c>
    </row>
    <row r="292" spans="1:25" x14ac:dyDescent="0.25">
      <c r="A292" t="s">
        <v>1436</v>
      </c>
      <c r="B292" t="s">
        <v>0</v>
      </c>
      <c r="C292" t="s">
        <v>240</v>
      </c>
      <c r="D292" t="s">
        <v>241</v>
      </c>
      <c r="E292" t="s">
        <v>22</v>
      </c>
      <c r="F292" s="5">
        <v>43407</v>
      </c>
      <c r="G292" s="5">
        <v>43547</v>
      </c>
      <c r="H292" s="6">
        <v>0.62847222222222221</v>
      </c>
      <c r="I292">
        <v>320</v>
      </c>
      <c r="J292" t="s">
        <v>242</v>
      </c>
      <c r="K292" t="s">
        <v>66</v>
      </c>
      <c r="M292" t="s">
        <v>17</v>
      </c>
      <c r="N292" t="str">
        <v>Destino</v>
      </c>
      <c r="O292" t="str">
        <v>GRAN CANARIA</v>
      </c>
      <c r="P292" t="str">
        <v>LPA</v>
      </c>
      <c r="Q292" t="str">
        <v>09:30:00</v>
      </c>
      <c r="R292" t="str">
        <v>AT7</v>
      </c>
      <c r="S292" t="str">
        <v xml:space="preserve">  IBB112</v>
      </c>
      <c r="T292" t="str">
        <v>ESPAÑA</v>
      </c>
      <c r="U292" t="str">
        <v/>
      </c>
      <c r="V292" t="str">
        <v>TFN</v>
      </c>
      <c r="W292" t="str">
        <v>07/02/2019</v>
      </c>
      <c r="X292">
        <v>72</v>
      </c>
      <c r="Y292" t="str">
        <v>Aerospatiale/Alenia ATR72</v>
      </c>
    </row>
    <row r="293" spans="1:25" x14ac:dyDescent="0.25">
      <c r="A293" t="s">
        <v>1436</v>
      </c>
      <c r="B293" t="s">
        <v>0</v>
      </c>
      <c r="C293" t="s">
        <v>240</v>
      </c>
      <c r="D293" t="s">
        <v>241</v>
      </c>
      <c r="E293" t="s">
        <v>19</v>
      </c>
      <c r="F293" s="5">
        <v>43466</v>
      </c>
      <c r="G293" s="5">
        <v>43550</v>
      </c>
      <c r="H293" s="6">
        <v>0.62847222222222221</v>
      </c>
      <c r="I293">
        <v>320</v>
      </c>
      <c r="J293" t="s">
        <v>242</v>
      </c>
      <c r="K293" t="s">
        <v>66</v>
      </c>
      <c r="M293" t="s">
        <v>17</v>
      </c>
      <c r="N293" t="str">
        <v>Destino</v>
      </c>
      <c r="O293" t="str">
        <v>GRAN CANARIA</v>
      </c>
      <c r="P293" t="str">
        <v>LPA</v>
      </c>
      <c r="Q293" t="str">
        <v>10:00:00</v>
      </c>
      <c r="R293" t="str">
        <v>AT7</v>
      </c>
      <c r="S293" t="str">
        <v xml:space="preserve">  AEA9416</v>
      </c>
      <c r="T293" t="str">
        <v>ESPAÑA</v>
      </c>
      <c r="U293" t="str">
        <v/>
      </c>
      <c r="V293" t="str">
        <v>TFN</v>
      </c>
      <c r="W293" t="str">
        <v>06/02/2019</v>
      </c>
      <c r="X293">
        <v>72</v>
      </c>
      <c r="Y293" t="str">
        <v>Aerospatiale/Alenia ATR72</v>
      </c>
    </row>
    <row r="294" spans="1:25" x14ac:dyDescent="0.25">
      <c r="A294" t="s">
        <v>1436</v>
      </c>
      <c r="B294" t="s">
        <v>0</v>
      </c>
      <c r="C294" t="s">
        <v>243</v>
      </c>
      <c r="D294" t="s">
        <v>244</v>
      </c>
      <c r="E294" t="s">
        <v>48</v>
      </c>
      <c r="F294" s="5">
        <v>43511</v>
      </c>
      <c r="G294" s="5">
        <v>43511</v>
      </c>
      <c r="H294" s="6">
        <v>0.4513888888888889</v>
      </c>
      <c r="I294" t="s">
        <v>14</v>
      </c>
      <c r="J294" t="s">
        <v>245</v>
      </c>
      <c r="K294" t="s">
        <v>66</v>
      </c>
      <c r="M294" t="s">
        <v>17</v>
      </c>
      <c r="N294" t="str">
        <v>Destino</v>
      </c>
      <c r="O294" t="str">
        <v>GRAN CANARIA</v>
      </c>
      <c r="P294" t="str">
        <v>LPA</v>
      </c>
      <c r="Q294" t="str">
        <v>10:00:00</v>
      </c>
      <c r="R294" t="str">
        <v>AT7</v>
      </c>
      <c r="S294" t="str">
        <v xml:space="preserve">  AEA9416</v>
      </c>
      <c r="T294" t="str">
        <v>ESPAÑA</v>
      </c>
      <c r="U294" t="str">
        <v/>
      </c>
      <c r="V294" t="str">
        <v>TFN</v>
      </c>
      <c r="W294" t="str">
        <v>07/02/2019</v>
      </c>
      <c r="X294">
        <v>72</v>
      </c>
      <c r="Y294" t="str">
        <v>Aerospatiale/Alenia ATR72</v>
      </c>
    </row>
    <row r="295" spans="1:25" x14ac:dyDescent="0.25">
      <c r="A295" t="s">
        <v>1436</v>
      </c>
      <c r="B295" t="s">
        <v>0</v>
      </c>
      <c r="C295" t="s">
        <v>243</v>
      </c>
      <c r="D295" t="s">
        <v>244</v>
      </c>
      <c r="E295" t="s">
        <v>20</v>
      </c>
      <c r="F295" s="5">
        <v>43404</v>
      </c>
      <c r="G295" s="5">
        <v>43551</v>
      </c>
      <c r="H295" s="6">
        <v>0.78472222222222221</v>
      </c>
      <c r="I295" t="s">
        <v>14</v>
      </c>
      <c r="J295" t="s">
        <v>245</v>
      </c>
      <c r="K295" t="s">
        <v>66</v>
      </c>
      <c r="M295" t="s">
        <v>17</v>
      </c>
      <c r="N295" t="str">
        <v>Destino</v>
      </c>
      <c r="O295" t="str">
        <v>GRAN CANARIA</v>
      </c>
      <c r="P295" t="str">
        <v>LPA</v>
      </c>
      <c r="Q295" t="str">
        <v>10:00:00</v>
      </c>
      <c r="R295" t="str">
        <v>AT7</v>
      </c>
      <c r="S295" t="str">
        <v xml:space="preserve">  AEA9416</v>
      </c>
      <c r="T295" t="str">
        <v>ESPAÑA</v>
      </c>
      <c r="U295" t="str">
        <v/>
      </c>
      <c r="V295" t="str">
        <v>TFN</v>
      </c>
      <c r="W295" t="str">
        <v>10/02/2019</v>
      </c>
      <c r="X295">
        <v>72</v>
      </c>
      <c r="Y295" t="str">
        <v>Aerospatiale/Alenia ATR72</v>
      </c>
    </row>
    <row r="296" spans="1:25" x14ac:dyDescent="0.25">
      <c r="A296" t="s">
        <v>1436</v>
      </c>
      <c r="B296" t="s">
        <v>0</v>
      </c>
      <c r="C296" t="s">
        <v>243</v>
      </c>
      <c r="D296" t="s">
        <v>244</v>
      </c>
      <c r="E296" t="s">
        <v>18</v>
      </c>
      <c r="F296" s="5">
        <v>43401</v>
      </c>
      <c r="G296" s="5">
        <v>43548</v>
      </c>
      <c r="H296" s="6">
        <v>0.79166666666666663</v>
      </c>
      <c r="I296" t="s">
        <v>14</v>
      </c>
      <c r="J296" t="s">
        <v>245</v>
      </c>
      <c r="K296" t="s">
        <v>66</v>
      </c>
      <c r="M296" t="s">
        <v>17</v>
      </c>
      <c r="N296" t="str">
        <v>Destino</v>
      </c>
      <c r="O296" t="str">
        <v>GRAN CANARIA</v>
      </c>
      <c r="P296" t="str">
        <v>LPA</v>
      </c>
      <c r="Q296" t="str">
        <v>10:00:00</v>
      </c>
      <c r="R296" t="str">
        <v>AT7</v>
      </c>
      <c r="S296" t="str">
        <v xml:space="preserve">  AEA9416</v>
      </c>
      <c r="T296" t="str">
        <v>ESPAÑA</v>
      </c>
      <c r="U296" t="str">
        <v/>
      </c>
      <c r="V296" t="str">
        <v>TFN</v>
      </c>
      <c r="W296" t="str">
        <v>09/02/2019</v>
      </c>
      <c r="X296">
        <v>72</v>
      </c>
      <c r="Y296" t="str">
        <v>Aerospatiale/Alenia ATR72</v>
      </c>
    </row>
    <row r="297" spans="1:25" x14ac:dyDescent="0.25">
      <c r="A297" t="s">
        <v>1436</v>
      </c>
      <c r="B297" t="s">
        <v>0</v>
      </c>
      <c r="C297" t="s">
        <v>426</v>
      </c>
      <c r="D297" t="s">
        <v>427</v>
      </c>
      <c r="E297" t="s">
        <v>19</v>
      </c>
      <c r="F297" s="5">
        <v>43508</v>
      </c>
      <c r="G297" s="5">
        <v>43550</v>
      </c>
      <c r="H297" s="6">
        <v>0.76736111111111116</v>
      </c>
      <c r="I297">
        <v>319</v>
      </c>
      <c r="J297" t="s">
        <v>1465</v>
      </c>
      <c r="K297" t="s">
        <v>45</v>
      </c>
      <c r="M297" t="s">
        <v>17</v>
      </c>
      <c r="N297" t="str">
        <v>Destino</v>
      </c>
      <c r="O297" t="str">
        <v>GRAN CANARIA</v>
      </c>
      <c r="P297" t="str">
        <v>LPA</v>
      </c>
      <c r="Q297" t="str">
        <v>10:00:00</v>
      </c>
      <c r="R297" t="str">
        <v>AT7</v>
      </c>
      <c r="S297" t="str">
        <v xml:space="preserve">  AEA9416</v>
      </c>
      <c r="T297" t="str">
        <v>ESPAÑA</v>
      </c>
      <c r="U297" t="str">
        <v/>
      </c>
      <c r="V297" t="str">
        <v>TFN</v>
      </c>
      <c r="W297" t="str">
        <v>05/02/2019</v>
      </c>
      <c r="X297">
        <v>72</v>
      </c>
      <c r="Y297" t="str">
        <v>Aerospatiale/Alenia ATR72</v>
      </c>
    </row>
    <row r="298" spans="1:25" x14ac:dyDescent="0.25">
      <c r="A298" t="s">
        <v>1436</v>
      </c>
      <c r="B298" t="s">
        <v>0</v>
      </c>
      <c r="C298" t="s">
        <v>246</v>
      </c>
      <c r="D298" t="s">
        <v>247</v>
      </c>
      <c r="E298" t="s">
        <v>18</v>
      </c>
      <c r="F298" s="5">
        <v>43408</v>
      </c>
      <c r="G298" s="5">
        <v>43548</v>
      </c>
      <c r="H298" s="6">
        <v>0.42708333333333331</v>
      </c>
      <c r="I298" t="s">
        <v>106</v>
      </c>
      <c r="J298" t="s">
        <v>1466</v>
      </c>
      <c r="K298" t="s">
        <v>45</v>
      </c>
      <c r="M298" t="s">
        <v>17</v>
      </c>
      <c r="N298" t="str">
        <v>Destino</v>
      </c>
      <c r="O298" t="str">
        <v>GRAN CANARIA</v>
      </c>
      <c r="P298" t="str">
        <v>LPA</v>
      </c>
      <c r="Q298" t="str">
        <v>10:05:00</v>
      </c>
      <c r="R298" t="str">
        <v>AT7</v>
      </c>
      <c r="S298" t="str">
        <v xml:space="preserve">  AEA9416</v>
      </c>
      <c r="T298" t="str">
        <v>ESPAÑA</v>
      </c>
      <c r="U298" t="str">
        <v/>
      </c>
      <c r="V298" t="str">
        <v>TFN</v>
      </c>
      <c r="W298" t="str">
        <v>04/02/2019</v>
      </c>
      <c r="X298">
        <v>72</v>
      </c>
      <c r="Y298" t="str">
        <v>Aerospatiale/Alenia ATR72</v>
      </c>
    </row>
    <row r="299" spans="1:25" x14ac:dyDescent="0.25">
      <c r="A299" t="s">
        <v>1436</v>
      </c>
      <c r="B299" t="s">
        <v>0</v>
      </c>
      <c r="C299" t="s">
        <v>246</v>
      </c>
      <c r="D299" t="s">
        <v>247</v>
      </c>
      <c r="E299" t="s">
        <v>84</v>
      </c>
      <c r="F299" s="5">
        <v>43401</v>
      </c>
      <c r="G299" s="5">
        <v>43551</v>
      </c>
      <c r="H299" s="6">
        <v>0.46180555555555558</v>
      </c>
      <c r="I299" t="s">
        <v>352</v>
      </c>
      <c r="J299" t="s">
        <v>1467</v>
      </c>
      <c r="K299" t="s">
        <v>45</v>
      </c>
      <c r="M299" t="s">
        <v>17</v>
      </c>
      <c r="N299" t="str">
        <v>Destino</v>
      </c>
      <c r="O299" t="str">
        <v>GRAN CANARIA</v>
      </c>
      <c r="P299" t="str">
        <v>LPA</v>
      </c>
      <c r="Q299" t="str">
        <v>10:05:00</v>
      </c>
      <c r="R299" t="str">
        <v>AT7</v>
      </c>
      <c r="S299" t="str">
        <v xml:space="preserve">  AEA9416</v>
      </c>
      <c r="T299" t="str">
        <v>ESPAÑA</v>
      </c>
      <c r="U299" t="str">
        <v/>
      </c>
      <c r="V299" t="str">
        <v>TFN</v>
      </c>
      <c r="W299" t="str">
        <v>08/02/2019</v>
      </c>
      <c r="X299">
        <v>72</v>
      </c>
      <c r="Y299" t="str">
        <v>Aerospatiale/Alenia ATR72</v>
      </c>
    </row>
    <row r="300" spans="1:25" x14ac:dyDescent="0.25">
      <c r="A300" t="s">
        <v>1436</v>
      </c>
      <c r="B300" t="s">
        <v>0</v>
      </c>
      <c r="C300" t="s">
        <v>246</v>
      </c>
      <c r="D300" t="s">
        <v>247</v>
      </c>
      <c r="E300" t="s">
        <v>19</v>
      </c>
      <c r="F300" s="5">
        <v>43403</v>
      </c>
      <c r="G300" s="5">
        <v>43550</v>
      </c>
      <c r="H300" s="6">
        <v>0.49305555555555558</v>
      </c>
      <c r="I300">
        <v>319</v>
      </c>
      <c r="J300" t="s">
        <v>1467</v>
      </c>
      <c r="K300" t="s">
        <v>45</v>
      </c>
      <c r="M300" t="s">
        <v>17</v>
      </c>
      <c r="N300" t="str">
        <v>Destino</v>
      </c>
      <c r="O300" t="str">
        <v>GRAN CANARIA</v>
      </c>
      <c r="P300" t="str">
        <v>LPA</v>
      </c>
      <c r="Q300" t="str">
        <v>10:10:00</v>
      </c>
      <c r="R300" t="str">
        <v>AT7</v>
      </c>
      <c r="S300" t="str">
        <v xml:space="preserve">  IBB112</v>
      </c>
      <c r="T300" t="str">
        <v>ESPAÑA</v>
      </c>
      <c r="U300" t="str">
        <v/>
      </c>
      <c r="V300" t="str">
        <v>TFN</v>
      </c>
      <c r="W300" t="str">
        <v>09/02/2019</v>
      </c>
      <c r="X300">
        <v>72</v>
      </c>
      <c r="Y300" t="str">
        <v>Aerospatiale/Alenia ATR72</v>
      </c>
    </row>
    <row r="301" spans="1:25" x14ac:dyDescent="0.25">
      <c r="A301" t="s">
        <v>1436</v>
      </c>
      <c r="B301" t="s">
        <v>0</v>
      </c>
      <c r="C301" t="s">
        <v>246</v>
      </c>
      <c r="D301" t="s">
        <v>247</v>
      </c>
      <c r="E301" t="s">
        <v>19</v>
      </c>
      <c r="F301" s="5">
        <v>43501</v>
      </c>
      <c r="G301" s="5">
        <v>43522</v>
      </c>
      <c r="H301" s="6">
        <v>0.53819444444444442</v>
      </c>
      <c r="I301">
        <v>320</v>
      </c>
      <c r="J301" t="s">
        <v>1892</v>
      </c>
      <c r="K301" t="s">
        <v>45</v>
      </c>
      <c r="L301" t="s">
        <v>80</v>
      </c>
      <c r="M301" t="s">
        <v>17</v>
      </c>
      <c r="N301" t="str">
        <v>Destino</v>
      </c>
      <c r="O301" t="str">
        <v>GRAN CANARIA</v>
      </c>
      <c r="P301" t="str">
        <v>LPA</v>
      </c>
      <c r="Q301" t="str">
        <v>11:00:00</v>
      </c>
      <c r="R301" t="str">
        <v>AT7</v>
      </c>
      <c r="S301" t="str">
        <v xml:space="preserve">  IBB120</v>
      </c>
      <c r="T301" t="str">
        <v>ESPAÑA</v>
      </c>
      <c r="U301" t="str">
        <v/>
      </c>
      <c r="V301" t="str">
        <v>TFN</v>
      </c>
      <c r="W301" t="str">
        <v>09/02/2019</v>
      </c>
      <c r="X301">
        <v>72</v>
      </c>
      <c r="Y301" t="str">
        <v>Aerospatiale/Alenia ATR72</v>
      </c>
    </row>
    <row r="302" spans="1:25" x14ac:dyDescent="0.25">
      <c r="A302" t="s">
        <v>1436</v>
      </c>
      <c r="B302" t="s">
        <v>0</v>
      </c>
      <c r="C302" t="s">
        <v>246</v>
      </c>
      <c r="D302" t="s">
        <v>247</v>
      </c>
      <c r="E302" t="s">
        <v>48</v>
      </c>
      <c r="F302" s="5">
        <v>43406</v>
      </c>
      <c r="G302" s="5">
        <v>43553</v>
      </c>
      <c r="H302" s="6">
        <v>0.70833333333333337</v>
      </c>
      <c r="I302">
        <v>320</v>
      </c>
      <c r="J302" t="s">
        <v>248</v>
      </c>
      <c r="K302" t="s">
        <v>45</v>
      </c>
      <c r="M302" t="s">
        <v>17</v>
      </c>
      <c r="N302" t="str">
        <v>Destino</v>
      </c>
      <c r="O302" t="str">
        <v>GRAN CANARIA</v>
      </c>
      <c r="P302" t="str">
        <v>LPA</v>
      </c>
      <c r="Q302" t="str">
        <v>11:30:00</v>
      </c>
      <c r="R302" t="str">
        <v>AT7</v>
      </c>
      <c r="S302" t="str">
        <v xml:space="preserve">  IBB110</v>
      </c>
      <c r="T302" t="str">
        <v>ESPAÑA</v>
      </c>
      <c r="U302" t="str">
        <v/>
      </c>
      <c r="V302" t="str">
        <v>TFN</v>
      </c>
      <c r="W302" t="str">
        <v>06/02/2019</v>
      </c>
      <c r="X302">
        <v>72</v>
      </c>
      <c r="Y302" t="str">
        <v>Aerospatiale/Alenia ATR72</v>
      </c>
    </row>
    <row r="303" spans="1:25" x14ac:dyDescent="0.25">
      <c r="A303" t="s">
        <v>1436</v>
      </c>
      <c r="B303" t="s">
        <v>0</v>
      </c>
      <c r="C303" t="s">
        <v>249</v>
      </c>
      <c r="D303" t="s">
        <v>250</v>
      </c>
      <c r="E303" t="s">
        <v>22</v>
      </c>
      <c r="F303" s="5">
        <v>43477</v>
      </c>
      <c r="G303" s="5">
        <v>43533</v>
      </c>
      <c r="H303" s="6">
        <v>0.84027777777777779</v>
      </c>
      <c r="I303">
        <v>319</v>
      </c>
      <c r="J303" t="s">
        <v>251</v>
      </c>
      <c r="K303" t="s">
        <v>221</v>
      </c>
      <c r="M303" t="s">
        <v>17</v>
      </c>
      <c r="N303" t="str">
        <v>Destino</v>
      </c>
      <c r="O303" t="str">
        <v>GRAN CANARIA</v>
      </c>
      <c r="P303" t="str">
        <v>LPA</v>
      </c>
      <c r="Q303" t="str">
        <v>11:30:00</v>
      </c>
      <c r="R303" t="str">
        <v>AT7</v>
      </c>
      <c r="S303" t="str">
        <v xml:space="preserve">  IBB110</v>
      </c>
      <c r="T303" t="str">
        <v>ESPAÑA</v>
      </c>
      <c r="U303" t="str">
        <v/>
      </c>
      <c r="V303" t="str">
        <v>TFN</v>
      </c>
      <c r="W303" t="str">
        <v>08/02/2019</v>
      </c>
      <c r="X303">
        <v>72</v>
      </c>
      <c r="Y303" t="str">
        <v>Aerospatiale/Alenia ATR72</v>
      </c>
    </row>
    <row r="304" spans="1:25" x14ac:dyDescent="0.25">
      <c r="A304" t="s">
        <v>1436</v>
      </c>
      <c r="B304" t="s">
        <v>0</v>
      </c>
      <c r="C304" t="s">
        <v>252</v>
      </c>
      <c r="D304" t="s">
        <v>253</v>
      </c>
      <c r="E304" t="s">
        <v>22</v>
      </c>
      <c r="F304" s="5">
        <v>43498</v>
      </c>
      <c r="G304" s="5">
        <v>43519</v>
      </c>
      <c r="H304" s="6">
        <v>0.47916666666666669</v>
      </c>
      <c r="I304" t="s">
        <v>14</v>
      </c>
      <c r="J304" t="s">
        <v>254</v>
      </c>
      <c r="K304" t="s">
        <v>38</v>
      </c>
      <c r="M304" t="s">
        <v>17</v>
      </c>
      <c r="N304" t="str">
        <v>Destino</v>
      </c>
      <c r="O304" t="str">
        <v>GRAN CANARIA</v>
      </c>
      <c r="P304" t="str">
        <v>LPA</v>
      </c>
      <c r="Q304" t="str">
        <v>11:30:00</v>
      </c>
      <c r="R304" t="str">
        <v>AT7</v>
      </c>
      <c r="S304" t="str">
        <v xml:space="preserve">  IBB110</v>
      </c>
      <c r="T304" t="str">
        <v>ESPAÑA</v>
      </c>
      <c r="U304" t="str">
        <v/>
      </c>
      <c r="V304" t="str">
        <v>TFN</v>
      </c>
      <c r="W304" t="str">
        <v>07/02/2019</v>
      </c>
      <c r="X304">
        <v>72</v>
      </c>
      <c r="Y304" t="str">
        <v>Aerospatiale/Alenia ATR72</v>
      </c>
    </row>
    <row r="305" spans="1:25" x14ac:dyDescent="0.25">
      <c r="A305" t="s">
        <v>1436</v>
      </c>
      <c r="B305" t="s">
        <v>0</v>
      </c>
      <c r="C305" t="s">
        <v>252</v>
      </c>
      <c r="D305" t="s">
        <v>253</v>
      </c>
      <c r="E305" t="s">
        <v>13</v>
      </c>
      <c r="F305" s="5">
        <v>43405</v>
      </c>
      <c r="G305" s="5">
        <v>43552</v>
      </c>
      <c r="H305" s="6">
        <v>0.5625</v>
      </c>
      <c r="I305" t="s">
        <v>14</v>
      </c>
      <c r="J305" t="s">
        <v>257</v>
      </c>
      <c r="K305" t="s">
        <v>38</v>
      </c>
      <c r="M305" t="s">
        <v>17</v>
      </c>
      <c r="N305" t="str">
        <v>Destino</v>
      </c>
      <c r="O305" t="str">
        <v>GRAN CANARIA</v>
      </c>
      <c r="P305" t="str">
        <v>LPA</v>
      </c>
      <c r="Q305" t="str">
        <v>11:30:00</v>
      </c>
      <c r="R305" t="str">
        <v>AT7</v>
      </c>
      <c r="S305" t="str">
        <v xml:space="preserve">  IBB110</v>
      </c>
      <c r="T305" t="str">
        <v>ESPAÑA</v>
      </c>
      <c r="U305" t="str">
        <v/>
      </c>
      <c r="V305" t="str">
        <v>TFN</v>
      </c>
      <c r="W305" t="str">
        <v>10/02/2019</v>
      </c>
      <c r="X305">
        <v>72</v>
      </c>
      <c r="Y305" t="str">
        <v>Aerospatiale/Alenia ATR72</v>
      </c>
    </row>
    <row r="306" spans="1:25" x14ac:dyDescent="0.25">
      <c r="A306" t="s">
        <v>1436</v>
      </c>
      <c r="B306" t="s">
        <v>0</v>
      </c>
      <c r="C306" t="s">
        <v>252</v>
      </c>
      <c r="D306" t="s">
        <v>253</v>
      </c>
      <c r="E306" t="s">
        <v>52</v>
      </c>
      <c r="F306" s="5">
        <v>43414</v>
      </c>
      <c r="G306" s="5">
        <v>43554</v>
      </c>
      <c r="H306" s="6">
        <v>0.5625</v>
      </c>
      <c r="I306" t="s">
        <v>14</v>
      </c>
      <c r="J306" t="s">
        <v>257</v>
      </c>
      <c r="K306" t="s">
        <v>38</v>
      </c>
      <c r="M306" t="s">
        <v>17</v>
      </c>
      <c r="N306" t="str">
        <v>Destino</v>
      </c>
      <c r="O306" t="str">
        <v>GRAN CANARIA</v>
      </c>
      <c r="P306" t="str">
        <v>LPA</v>
      </c>
      <c r="Q306" t="str">
        <v>11:30:00</v>
      </c>
      <c r="R306" t="str">
        <v>AT7</v>
      </c>
      <c r="S306" t="str">
        <v xml:space="preserve">  IBB110</v>
      </c>
      <c r="T306" t="str">
        <v>ESPAÑA</v>
      </c>
      <c r="U306" t="str">
        <v/>
      </c>
      <c r="V306" t="str">
        <v>TFN</v>
      </c>
      <c r="W306" t="str">
        <v>09/02/2019</v>
      </c>
      <c r="X306">
        <v>72</v>
      </c>
      <c r="Y306" t="str">
        <v>Aerospatiale/Alenia ATR72</v>
      </c>
    </row>
    <row r="307" spans="1:25" x14ac:dyDescent="0.25">
      <c r="A307" t="s">
        <v>1436</v>
      </c>
      <c r="B307" t="s">
        <v>0</v>
      </c>
      <c r="C307" t="s">
        <v>252</v>
      </c>
      <c r="D307" t="s">
        <v>253</v>
      </c>
      <c r="E307" t="s">
        <v>20</v>
      </c>
      <c r="F307" s="5">
        <v>43467</v>
      </c>
      <c r="G307" s="5">
        <v>43551</v>
      </c>
      <c r="H307" s="6">
        <v>0.57638888888888895</v>
      </c>
      <c r="I307" t="s">
        <v>14</v>
      </c>
      <c r="J307" t="s">
        <v>254</v>
      </c>
      <c r="K307" t="s">
        <v>38</v>
      </c>
      <c r="M307" t="s">
        <v>17</v>
      </c>
      <c r="N307" t="str">
        <v>Destino</v>
      </c>
      <c r="O307" t="str">
        <v>GRAN CANARIA</v>
      </c>
      <c r="P307" t="str">
        <v>LPA</v>
      </c>
      <c r="Q307" t="str">
        <v>11:30:00</v>
      </c>
      <c r="R307" t="str">
        <v>AT7</v>
      </c>
      <c r="S307" t="str">
        <v xml:space="preserve">  IBB110</v>
      </c>
      <c r="T307" t="str">
        <v>ESPAÑA</v>
      </c>
      <c r="U307" t="str">
        <v/>
      </c>
      <c r="V307" t="str">
        <v>TFN</v>
      </c>
      <c r="W307" t="str">
        <v>04/02/2019</v>
      </c>
      <c r="X307">
        <v>72</v>
      </c>
      <c r="Y307" t="str">
        <v>Aerospatiale/Alenia ATR72</v>
      </c>
    </row>
    <row r="308" spans="1:25" x14ac:dyDescent="0.25">
      <c r="A308" t="s">
        <v>1436</v>
      </c>
      <c r="B308" t="s">
        <v>0</v>
      </c>
      <c r="C308" t="s">
        <v>252</v>
      </c>
      <c r="D308" t="s">
        <v>253</v>
      </c>
      <c r="E308" t="s">
        <v>18</v>
      </c>
      <c r="F308" s="5">
        <v>43513</v>
      </c>
      <c r="G308" s="5">
        <v>43548</v>
      </c>
      <c r="H308" s="6">
        <v>0.60763888888888895</v>
      </c>
      <c r="I308" t="s">
        <v>39</v>
      </c>
      <c r="J308" t="s">
        <v>256</v>
      </c>
      <c r="K308" t="s">
        <v>38</v>
      </c>
      <c r="M308" t="s">
        <v>17</v>
      </c>
      <c r="N308" t="str">
        <v>Destino</v>
      </c>
      <c r="O308" t="str">
        <v>GRAN CANARIA</v>
      </c>
      <c r="P308" t="str">
        <v>LPA</v>
      </c>
      <c r="Q308" t="str">
        <v>11:30:00</v>
      </c>
      <c r="R308" t="str">
        <v>AT7</v>
      </c>
      <c r="S308" t="str">
        <v xml:space="preserve">  IBB110</v>
      </c>
      <c r="T308" t="str">
        <v>ESPAÑA</v>
      </c>
      <c r="U308" t="str">
        <v/>
      </c>
      <c r="V308" t="str">
        <v>TFN</v>
      </c>
      <c r="W308" t="str">
        <v>05/02/2019</v>
      </c>
      <c r="X308">
        <v>72</v>
      </c>
      <c r="Y308" t="str">
        <v>Aerospatiale/Alenia ATR72</v>
      </c>
    </row>
    <row r="309" spans="1:25" x14ac:dyDescent="0.25">
      <c r="A309" t="s">
        <v>1436</v>
      </c>
      <c r="B309" t="s">
        <v>0</v>
      </c>
      <c r="C309" t="s">
        <v>252</v>
      </c>
      <c r="D309" t="s">
        <v>253</v>
      </c>
      <c r="E309" t="s">
        <v>13</v>
      </c>
      <c r="F309" s="5">
        <v>43405</v>
      </c>
      <c r="G309" s="5">
        <v>43545</v>
      </c>
      <c r="H309" s="6">
        <v>0.66319444444444442</v>
      </c>
      <c r="I309" t="s">
        <v>39</v>
      </c>
      <c r="J309" t="s">
        <v>255</v>
      </c>
      <c r="K309" t="s">
        <v>38</v>
      </c>
      <c r="M309" t="s">
        <v>17</v>
      </c>
      <c r="N309" t="str">
        <v>Destino</v>
      </c>
      <c r="O309" t="str">
        <v>GRAN CANARIA</v>
      </c>
      <c r="P309" t="str">
        <v>LPA</v>
      </c>
      <c r="Q309" t="str">
        <v>12:00:00</v>
      </c>
      <c r="R309" t="str">
        <v>AT7</v>
      </c>
      <c r="S309" t="str">
        <v xml:space="preserve">  AEA9402</v>
      </c>
      <c r="T309" t="str">
        <v>ESPAÑA</v>
      </c>
      <c r="U309" t="str">
        <v/>
      </c>
      <c r="V309" t="str">
        <v>TFN</v>
      </c>
      <c r="W309" t="str">
        <v>06/02/2019</v>
      </c>
      <c r="X309">
        <v>72</v>
      </c>
      <c r="Y309" t="str">
        <v>Aerospatiale/Alenia ATR72</v>
      </c>
    </row>
    <row r="310" spans="1:25" x14ac:dyDescent="0.25">
      <c r="A310" t="s">
        <v>1436</v>
      </c>
      <c r="B310" t="s">
        <v>0</v>
      </c>
      <c r="C310" t="s">
        <v>258</v>
      </c>
      <c r="D310" t="s">
        <v>259</v>
      </c>
      <c r="E310" t="s">
        <v>48</v>
      </c>
      <c r="F310" s="5">
        <v>43476</v>
      </c>
      <c r="G310" s="5">
        <v>43553</v>
      </c>
      <c r="H310" s="6">
        <v>0.72569444444444453</v>
      </c>
      <c r="I310">
        <v>319</v>
      </c>
      <c r="J310" t="s">
        <v>260</v>
      </c>
      <c r="K310" t="s">
        <v>45</v>
      </c>
      <c r="M310" t="s">
        <v>17</v>
      </c>
      <c r="N310" t="str">
        <v>Destino</v>
      </c>
      <c r="O310" t="str">
        <v>GRAN CANARIA</v>
      </c>
      <c r="P310" t="str">
        <v>LPA</v>
      </c>
      <c r="Q310" t="str">
        <v>12:00:00</v>
      </c>
      <c r="R310" t="str">
        <v>AT7</v>
      </c>
      <c r="S310" t="str">
        <v xml:space="preserve">  AEA9402</v>
      </c>
      <c r="T310" t="str">
        <v>ESPAÑA</v>
      </c>
      <c r="U310" t="str">
        <v/>
      </c>
      <c r="V310" t="str">
        <v>TFN</v>
      </c>
      <c r="W310" t="str">
        <v>05/02/2019</v>
      </c>
      <c r="X310">
        <v>72</v>
      </c>
      <c r="Y310" t="str">
        <v>Aerospatiale/Alenia ATR72</v>
      </c>
    </row>
    <row r="311" spans="1:25" x14ac:dyDescent="0.25">
      <c r="A311" t="s">
        <v>1436</v>
      </c>
      <c r="B311" t="s">
        <v>0</v>
      </c>
      <c r="C311" t="s">
        <v>701</v>
      </c>
      <c r="D311" t="s">
        <v>702</v>
      </c>
      <c r="E311" t="s">
        <v>59</v>
      </c>
      <c r="F311" s="5">
        <v>43465</v>
      </c>
      <c r="G311" s="5">
        <v>43549</v>
      </c>
      <c r="H311" s="6">
        <v>0.6875</v>
      </c>
      <c r="I311" t="s">
        <v>698</v>
      </c>
      <c r="J311" t="s">
        <v>1238</v>
      </c>
      <c r="K311" t="s">
        <v>488</v>
      </c>
      <c r="M311" t="s">
        <v>17</v>
      </c>
      <c r="N311" t="str">
        <v>Destino</v>
      </c>
      <c r="O311" t="str">
        <v>GRAN CANARIA</v>
      </c>
      <c r="P311" t="str">
        <v>LPA</v>
      </c>
      <c r="Q311" t="str">
        <v>12:00:00</v>
      </c>
      <c r="R311" t="str">
        <v>AT7</v>
      </c>
      <c r="S311" t="str">
        <v xml:space="preserve">  AEA9402</v>
      </c>
      <c r="T311" t="str">
        <v>ESPAÑA</v>
      </c>
      <c r="U311" t="str">
        <v/>
      </c>
      <c r="V311" t="str">
        <v>TFN</v>
      </c>
      <c r="W311" t="str">
        <v>04/02/2019</v>
      </c>
      <c r="X311">
        <v>72</v>
      </c>
      <c r="Y311" t="str">
        <v>Aerospatiale/Alenia ATR72</v>
      </c>
    </row>
    <row r="312" spans="1:25" x14ac:dyDescent="0.25">
      <c r="A312" t="s">
        <v>1436</v>
      </c>
      <c r="B312" t="s">
        <v>0</v>
      </c>
      <c r="C312" t="s">
        <v>261</v>
      </c>
      <c r="D312" t="s">
        <v>262</v>
      </c>
      <c r="E312" t="s">
        <v>22</v>
      </c>
      <c r="F312" s="5">
        <v>43407</v>
      </c>
      <c r="G312" s="5">
        <v>43554</v>
      </c>
      <c r="H312" s="6">
        <v>0.73263888888888884</v>
      </c>
      <c r="I312">
        <v>321</v>
      </c>
      <c r="J312" t="s">
        <v>1468</v>
      </c>
      <c r="K312" t="s">
        <v>221</v>
      </c>
      <c r="M312" t="s">
        <v>17</v>
      </c>
      <c r="N312" t="str">
        <v>Destino</v>
      </c>
      <c r="O312" t="str">
        <v>GRAN CANARIA</v>
      </c>
      <c r="P312" t="str">
        <v>LPA</v>
      </c>
      <c r="Q312" t="str">
        <v>12:00:00</v>
      </c>
      <c r="R312" t="str">
        <v>AT7</v>
      </c>
      <c r="S312" t="str">
        <v xml:space="preserve">  AEA9402</v>
      </c>
      <c r="T312" t="str">
        <v>ESPAÑA</v>
      </c>
      <c r="U312" t="str">
        <v/>
      </c>
      <c r="V312" t="str">
        <v>TFN</v>
      </c>
      <c r="W312" t="str">
        <v>08/02/2019</v>
      </c>
      <c r="X312">
        <v>72</v>
      </c>
      <c r="Y312" t="str">
        <v>Aerospatiale/Alenia ATR72</v>
      </c>
    </row>
    <row r="313" spans="1:25" x14ac:dyDescent="0.25">
      <c r="A313" t="s">
        <v>1436</v>
      </c>
      <c r="B313" t="s">
        <v>0</v>
      </c>
      <c r="C313" t="s">
        <v>264</v>
      </c>
      <c r="D313" t="s">
        <v>265</v>
      </c>
      <c r="E313" t="s">
        <v>13</v>
      </c>
      <c r="F313" s="5">
        <v>43510</v>
      </c>
      <c r="G313" s="5">
        <v>43552</v>
      </c>
      <c r="H313" s="6">
        <v>0.51388888888888895</v>
      </c>
      <c r="I313">
        <v>320</v>
      </c>
      <c r="J313" t="s">
        <v>1470</v>
      </c>
      <c r="K313" t="s">
        <v>221</v>
      </c>
      <c r="M313" t="s">
        <v>17</v>
      </c>
      <c r="N313" t="str">
        <v>Destino</v>
      </c>
      <c r="O313" t="str">
        <v>GRAN CANARIA</v>
      </c>
      <c r="P313" t="str">
        <v>LPA</v>
      </c>
      <c r="Q313" t="str">
        <v>12:00:00</v>
      </c>
      <c r="R313" t="str">
        <v>AT7</v>
      </c>
      <c r="S313" t="str">
        <v xml:space="preserve">  AEA9402</v>
      </c>
      <c r="T313" t="str">
        <v>ESPAÑA</v>
      </c>
      <c r="U313" t="str">
        <v/>
      </c>
      <c r="V313" t="str">
        <v>TFN</v>
      </c>
      <c r="W313" t="str">
        <v>07/02/2019</v>
      </c>
      <c r="X313">
        <v>72</v>
      </c>
      <c r="Y313" t="str">
        <v>Aerospatiale/Alenia ATR72</v>
      </c>
    </row>
    <row r="314" spans="1:25" x14ac:dyDescent="0.25">
      <c r="A314" t="s">
        <v>1436</v>
      </c>
      <c r="B314" t="s">
        <v>0</v>
      </c>
      <c r="C314" t="s">
        <v>264</v>
      </c>
      <c r="D314" t="s">
        <v>265</v>
      </c>
      <c r="E314" t="s">
        <v>22</v>
      </c>
      <c r="F314" s="5">
        <v>43407</v>
      </c>
      <c r="G314" s="5">
        <v>43547</v>
      </c>
      <c r="H314" s="6">
        <v>0.66666666666666663</v>
      </c>
      <c r="I314">
        <v>320</v>
      </c>
      <c r="J314" t="s">
        <v>1470</v>
      </c>
      <c r="K314" t="s">
        <v>221</v>
      </c>
      <c r="M314" t="s">
        <v>17</v>
      </c>
      <c r="N314" t="str">
        <v>Destino</v>
      </c>
      <c r="O314" t="str">
        <v>GRAN CANARIA</v>
      </c>
      <c r="P314" t="str">
        <v>LPA</v>
      </c>
      <c r="Q314" t="str">
        <v>12:00:00</v>
      </c>
      <c r="R314" t="str">
        <v>AT7</v>
      </c>
      <c r="S314" t="str">
        <v xml:space="preserve">  AEA9402</v>
      </c>
      <c r="T314" t="str">
        <v>ESPAÑA</v>
      </c>
      <c r="U314" t="str">
        <v/>
      </c>
      <c r="V314" t="str">
        <v>TFN</v>
      </c>
      <c r="W314" t="str">
        <v>10/02/2019</v>
      </c>
      <c r="X314">
        <v>72</v>
      </c>
      <c r="Y314" t="str">
        <v>Aerospatiale/Alenia ATR72</v>
      </c>
    </row>
    <row r="315" spans="1:25" x14ac:dyDescent="0.25">
      <c r="A315" t="s">
        <v>1436</v>
      </c>
      <c r="B315" t="s">
        <v>0</v>
      </c>
      <c r="C315" t="s">
        <v>264</v>
      </c>
      <c r="D315" t="s">
        <v>265</v>
      </c>
      <c r="E315" t="s">
        <v>22</v>
      </c>
      <c r="F315" s="5">
        <v>43505</v>
      </c>
      <c r="G315" s="5">
        <v>43554</v>
      </c>
      <c r="H315" s="6">
        <v>0.72222222222222221</v>
      </c>
      <c r="I315" t="s">
        <v>14</v>
      </c>
      <c r="J315" t="s">
        <v>1471</v>
      </c>
      <c r="K315" t="s">
        <v>221</v>
      </c>
      <c r="M315" t="s">
        <v>17</v>
      </c>
      <c r="N315" t="str">
        <v>Destino</v>
      </c>
      <c r="O315" t="str">
        <v>GRAN CANARIA</v>
      </c>
      <c r="P315" t="str">
        <v>LPA</v>
      </c>
      <c r="Q315" t="str">
        <v>12:00:00</v>
      </c>
      <c r="R315" t="str">
        <v>AT7</v>
      </c>
      <c r="S315" t="str">
        <v xml:space="preserve">  AEA9402</v>
      </c>
      <c r="T315" t="str">
        <v>ESPAÑA</v>
      </c>
      <c r="U315" t="str">
        <v/>
      </c>
      <c r="V315" t="str">
        <v>TFN</v>
      </c>
      <c r="W315" t="str">
        <v>09/02/2019</v>
      </c>
      <c r="X315">
        <v>72</v>
      </c>
      <c r="Y315" t="str">
        <v>Aerospatiale/Alenia ATR72</v>
      </c>
    </row>
    <row r="316" spans="1:25" x14ac:dyDescent="0.25">
      <c r="A316" t="s">
        <v>1436</v>
      </c>
      <c r="B316" t="s">
        <v>0</v>
      </c>
      <c r="C316" t="s">
        <v>264</v>
      </c>
      <c r="D316" t="s">
        <v>265</v>
      </c>
      <c r="E316" t="s">
        <v>19</v>
      </c>
      <c r="F316" s="5">
        <v>43466</v>
      </c>
      <c r="G316" s="5">
        <v>43550</v>
      </c>
      <c r="H316" s="6">
        <v>0.72916666666666663</v>
      </c>
      <c r="I316">
        <v>320</v>
      </c>
      <c r="J316" t="s">
        <v>1470</v>
      </c>
      <c r="K316" t="s">
        <v>221</v>
      </c>
      <c r="M316" t="s">
        <v>17</v>
      </c>
      <c r="N316" t="str">
        <v>Destino</v>
      </c>
      <c r="O316" t="str">
        <v>GRAN CANARIA</v>
      </c>
      <c r="P316" t="str">
        <v>LPA</v>
      </c>
      <c r="Q316" t="str">
        <v>12:00:00</v>
      </c>
      <c r="R316" t="str">
        <v>AT7</v>
      </c>
      <c r="S316" t="str">
        <v xml:space="preserve">  IBB132</v>
      </c>
      <c r="T316" t="str">
        <v>ESPAÑA</v>
      </c>
      <c r="U316" t="str">
        <v/>
      </c>
      <c r="V316" t="str">
        <v>TFN</v>
      </c>
      <c r="W316" t="str">
        <v>09/02/2019</v>
      </c>
      <c r="X316">
        <v>72</v>
      </c>
      <c r="Y316" t="str">
        <v>Aerospatiale/Alenia ATR72</v>
      </c>
    </row>
    <row r="317" spans="1:25" x14ac:dyDescent="0.25">
      <c r="A317" t="s">
        <v>1436</v>
      </c>
      <c r="B317" t="s">
        <v>0</v>
      </c>
      <c r="C317" t="s">
        <v>264</v>
      </c>
      <c r="D317" t="s">
        <v>265</v>
      </c>
      <c r="E317" t="s">
        <v>59</v>
      </c>
      <c r="F317" s="5">
        <v>43458</v>
      </c>
      <c r="G317" s="5">
        <v>43549</v>
      </c>
      <c r="H317" s="6">
        <v>0.85763888888888884</v>
      </c>
      <c r="I317" t="s">
        <v>14</v>
      </c>
      <c r="J317" t="s">
        <v>1469</v>
      </c>
      <c r="K317" t="s">
        <v>221</v>
      </c>
      <c r="M317" t="s">
        <v>17</v>
      </c>
      <c r="N317" t="str">
        <v>Destino</v>
      </c>
      <c r="O317" t="str">
        <v>GRAN CANARIA</v>
      </c>
      <c r="P317" t="str">
        <v>LPA</v>
      </c>
      <c r="Q317" t="str">
        <v>12:00:00</v>
      </c>
      <c r="R317" t="str">
        <v>AT7</v>
      </c>
      <c r="S317" t="str">
        <v xml:space="preserve">  IBB132</v>
      </c>
      <c r="T317" t="str">
        <v>ESPAÑA</v>
      </c>
      <c r="U317" t="str">
        <v/>
      </c>
      <c r="V317" t="str">
        <v>TFN</v>
      </c>
      <c r="W317" t="str">
        <v>07/02/2019</v>
      </c>
      <c r="X317">
        <v>72</v>
      </c>
      <c r="Y317" t="str">
        <v>Aerospatiale/Alenia ATR72</v>
      </c>
    </row>
    <row r="318" spans="1:25" x14ac:dyDescent="0.25">
      <c r="A318" t="s">
        <v>1436</v>
      </c>
      <c r="B318" t="s">
        <v>0</v>
      </c>
      <c r="C318" t="s">
        <v>268</v>
      </c>
      <c r="D318" t="s">
        <v>269</v>
      </c>
      <c r="E318" t="s">
        <v>20</v>
      </c>
      <c r="F318" s="5">
        <v>43509</v>
      </c>
      <c r="G318" s="5">
        <v>43551</v>
      </c>
      <c r="H318" s="6">
        <v>0.69791666666666663</v>
      </c>
      <c r="I318" t="s">
        <v>14</v>
      </c>
      <c r="J318" t="s">
        <v>1472</v>
      </c>
      <c r="K318" t="s">
        <v>270</v>
      </c>
      <c r="L318" t="s">
        <v>138</v>
      </c>
      <c r="M318" t="s">
        <v>17</v>
      </c>
      <c r="N318" t="str">
        <v>Destino</v>
      </c>
      <c r="O318" t="str">
        <v>GRAN CANARIA</v>
      </c>
      <c r="P318" t="str">
        <v>LPA</v>
      </c>
      <c r="Q318" t="str">
        <v>13:00:00</v>
      </c>
      <c r="R318" t="str">
        <v>AT7</v>
      </c>
      <c r="S318" t="str">
        <v xml:space="preserve">  IBB134</v>
      </c>
      <c r="T318" t="str">
        <v>ESPAÑA</v>
      </c>
      <c r="U318" t="str">
        <v/>
      </c>
      <c r="V318" t="str">
        <v>TFN</v>
      </c>
      <c r="W318" t="str">
        <v>04/02/2019</v>
      </c>
      <c r="X318">
        <v>72</v>
      </c>
      <c r="Y318" t="str">
        <v>Aerospatiale/Alenia ATR72</v>
      </c>
    </row>
    <row r="319" spans="1:25" x14ac:dyDescent="0.25">
      <c r="A319" t="s">
        <v>1436</v>
      </c>
      <c r="B319" t="s">
        <v>0</v>
      </c>
      <c r="C319" t="s">
        <v>271</v>
      </c>
      <c r="D319" t="s">
        <v>272</v>
      </c>
      <c r="E319" t="s">
        <v>13</v>
      </c>
      <c r="F319" s="5">
        <v>43468</v>
      </c>
      <c r="G319" s="5">
        <v>43552</v>
      </c>
      <c r="H319" s="6">
        <v>0.31944444444444448</v>
      </c>
      <c r="I319" t="s">
        <v>14</v>
      </c>
      <c r="J319" t="s">
        <v>1473</v>
      </c>
      <c r="K319" t="s">
        <v>66</v>
      </c>
      <c r="M319" t="s">
        <v>17</v>
      </c>
      <c r="N319" t="str">
        <v>Destino</v>
      </c>
      <c r="O319" t="str">
        <v>GRAN CANARIA</v>
      </c>
      <c r="P319" t="str">
        <v>LPA</v>
      </c>
      <c r="Q319" t="str">
        <v>13:00:00</v>
      </c>
      <c r="R319" t="str">
        <v>AT7</v>
      </c>
      <c r="S319" t="str">
        <v xml:space="preserve">  IBB134</v>
      </c>
      <c r="T319" t="str">
        <v>ESPAÑA</v>
      </c>
      <c r="U319" t="str">
        <v/>
      </c>
      <c r="V319" t="str">
        <v>TFN</v>
      </c>
      <c r="W319" t="str">
        <v>07/02/2019</v>
      </c>
      <c r="X319">
        <v>72</v>
      </c>
      <c r="Y319" t="str">
        <v>Aerospatiale/Alenia ATR72</v>
      </c>
    </row>
    <row r="320" spans="1:25" x14ac:dyDescent="0.25">
      <c r="A320" t="s">
        <v>1436</v>
      </c>
      <c r="B320" t="s">
        <v>0</v>
      </c>
      <c r="C320" t="s">
        <v>273</v>
      </c>
      <c r="D320" t="s">
        <v>274</v>
      </c>
      <c r="E320" t="s">
        <v>22</v>
      </c>
      <c r="F320" s="5">
        <v>43484</v>
      </c>
      <c r="G320" s="5">
        <v>43554</v>
      </c>
      <c r="H320" s="6">
        <v>0.3923611111111111</v>
      </c>
      <c r="I320" t="s">
        <v>14</v>
      </c>
      <c r="J320" t="s">
        <v>1474</v>
      </c>
      <c r="K320" t="s">
        <v>16</v>
      </c>
      <c r="M320" t="s">
        <v>17</v>
      </c>
      <c r="N320" t="str">
        <v>Destino</v>
      </c>
      <c r="O320" t="str">
        <v>GRAN CANARIA</v>
      </c>
      <c r="P320" t="str">
        <v>LPA</v>
      </c>
      <c r="Q320" t="str">
        <v>13:00:00</v>
      </c>
      <c r="R320" t="str">
        <v>AT7</v>
      </c>
      <c r="S320" t="str">
        <v xml:space="preserve">  IBB134</v>
      </c>
      <c r="T320" t="str">
        <v>ESPAÑA</v>
      </c>
      <c r="U320" t="str">
        <v/>
      </c>
      <c r="V320" t="str">
        <v>TFN</v>
      </c>
      <c r="W320" t="str">
        <v>06/02/2019</v>
      </c>
      <c r="X320">
        <v>72</v>
      </c>
      <c r="Y320" t="str">
        <v>Aerospatiale/Alenia ATR72</v>
      </c>
    </row>
    <row r="321" spans="1:25" x14ac:dyDescent="0.25">
      <c r="A321" t="s">
        <v>1436</v>
      </c>
      <c r="B321" t="s">
        <v>0</v>
      </c>
      <c r="C321" t="s">
        <v>278</v>
      </c>
      <c r="D321" t="s">
        <v>279</v>
      </c>
      <c r="E321" t="s">
        <v>84</v>
      </c>
      <c r="F321" s="5">
        <v>43478</v>
      </c>
      <c r="G321" s="5">
        <v>43551</v>
      </c>
      <c r="H321" s="6">
        <v>0.2951388888888889</v>
      </c>
      <c r="I321" t="s">
        <v>14</v>
      </c>
      <c r="J321" t="s">
        <v>280</v>
      </c>
      <c r="K321" t="s">
        <v>25</v>
      </c>
      <c r="M321" t="s">
        <v>17</v>
      </c>
      <c r="N321" t="str">
        <v>Destino</v>
      </c>
      <c r="O321" t="str">
        <v>GRAN CANARIA</v>
      </c>
      <c r="P321" t="str">
        <v>LPA</v>
      </c>
      <c r="Q321" t="str">
        <v>13:00:00</v>
      </c>
      <c r="R321" t="str">
        <v>AT7</v>
      </c>
      <c r="S321" t="str">
        <v xml:space="preserve">  IBB134</v>
      </c>
      <c r="T321" t="str">
        <v>ESPAÑA</v>
      </c>
      <c r="U321" t="str">
        <v/>
      </c>
      <c r="V321" t="str">
        <v>TFN</v>
      </c>
      <c r="W321" t="str">
        <v>08/02/2019</v>
      </c>
      <c r="X321">
        <v>72</v>
      </c>
      <c r="Y321" t="str">
        <v>Aerospatiale/Alenia ATR72</v>
      </c>
    </row>
    <row r="322" spans="1:25" x14ac:dyDescent="0.25">
      <c r="A322" t="s">
        <v>1436</v>
      </c>
      <c r="B322" t="s">
        <v>0</v>
      </c>
      <c r="C322" t="s">
        <v>278</v>
      </c>
      <c r="D322" t="s">
        <v>279</v>
      </c>
      <c r="E322" t="s">
        <v>22</v>
      </c>
      <c r="F322" s="5">
        <v>43512</v>
      </c>
      <c r="G322" s="5">
        <v>43554</v>
      </c>
      <c r="H322" s="6">
        <v>0.71180555555555547</v>
      </c>
      <c r="I322">
        <v>320</v>
      </c>
      <c r="J322" t="s">
        <v>281</v>
      </c>
      <c r="K322" t="s">
        <v>25</v>
      </c>
      <c r="M322" t="s">
        <v>17</v>
      </c>
      <c r="N322" t="str">
        <v>Destino</v>
      </c>
      <c r="O322" t="str">
        <v>GRAN CANARIA</v>
      </c>
      <c r="P322" t="str">
        <v>LPA</v>
      </c>
      <c r="Q322" t="str">
        <v>13:00:00</v>
      </c>
      <c r="R322" t="str">
        <v>AT7</v>
      </c>
      <c r="S322" t="str">
        <v xml:space="preserve">  IBB134</v>
      </c>
      <c r="T322" t="str">
        <v>ESPAÑA</v>
      </c>
      <c r="U322" t="str">
        <v/>
      </c>
      <c r="V322" t="str">
        <v>TFN</v>
      </c>
      <c r="W322" t="str">
        <v>05/02/2019</v>
      </c>
      <c r="X322">
        <v>72</v>
      </c>
      <c r="Y322" t="str">
        <v>Aerospatiale/Alenia ATR72</v>
      </c>
    </row>
    <row r="323" spans="1:25" x14ac:dyDescent="0.25">
      <c r="A323" t="s">
        <v>1436</v>
      </c>
      <c r="B323" t="s">
        <v>0</v>
      </c>
      <c r="C323" t="s">
        <v>282</v>
      </c>
      <c r="D323" t="s">
        <v>283</v>
      </c>
      <c r="E323" t="s">
        <v>48</v>
      </c>
      <c r="F323" s="5">
        <v>43406</v>
      </c>
      <c r="G323" s="5">
        <v>43553</v>
      </c>
      <c r="H323" s="6">
        <v>0.2986111111111111</v>
      </c>
      <c r="I323" t="s">
        <v>14</v>
      </c>
      <c r="J323" t="s">
        <v>285</v>
      </c>
      <c r="K323" t="s">
        <v>25</v>
      </c>
      <c r="M323" t="s">
        <v>17</v>
      </c>
      <c r="N323" t="str">
        <v>Destino</v>
      </c>
      <c r="O323" t="str">
        <v>GRAN CANARIA</v>
      </c>
      <c r="P323" t="str">
        <v>LPA</v>
      </c>
      <c r="Q323" t="str">
        <v>13:30:00</v>
      </c>
      <c r="R323" t="str">
        <v>AT7</v>
      </c>
      <c r="S323" t="str">
        <v xml:space="preserve">  IBB172</v>
      </c>
      <c r="T323" t="str">
        <v>ESPAÑA</v>
      </c>
      <c r="U323" t="str">
        <v/>
      </c>
      <c r="V323" t="str">
        <v>TFN</v>
      </c>
      <c r="W323" t="str">
        <v>08/02/2019</v>
      </c>
      <c r="X323">
        <v>72</v>
      </c>
      <c r="Y323" t="str">
        <v>Aerospatiale/Alenia ATR72</v>
      </c>
    </row>
    <row r="324" spans="1:25" x14ac:dyDescent="0.25">
      <c r="A324" t="s">
        <v>1436</v>
      </c>
      <c r="B324" t="s">
        <v>0</v>
      </c>
      <c r="C324" t="s">
        <v>282</v>
      </c>
      <c r="D324" t="s">
        <v>283</v>
      </c>
      <c r="E324" t="s">
        <v>20</v>
      </c>
      <c r="F324" s="5">
        <v>43467</v>
      </c>
      <c r="G324" s="5">
        <v>43551</v>
      </c>
      <c r="H324" s="6">
        <v>0.2986111111111111</v>
      </c>
      <c r="I324" t="s">
        <v>14</v>
      </c>
      <c r="J324" t="s">
        <v>285</v>
      </c>
      <c r="K324" t="s">
        <v>25</v>
      </c>
      <c r="M324" t="s">
        <v>17</v>
      </c>
      <c r="N324" t="str">
        <v>Destino</v>
      </c>
      <c r="O324" t="str">
        <v>GRAN CANARIA</v>
      </c>
      <c r="P324" t="str">
        <v>LPA</v>
      </c>
      <c r="Q324" t="str">
        <v>13:30:00</v>
      </c>
      <c r="R324" t="str">
        <v>AT7</v>
      </c>
      <c r="S324" t="str">
        <v xml:space="preserve">  IBB116</v>
      </c>
      <c r="T324" t="str">
        <v>ESPAÑA</v>
      </c>
      <c r="U324" t="str">
        <v/>
      </c>
      <c r="V324" t="str">
        <v>TFN</v>
      </c>
      <c r="W324" t="str">
        <v>04/02/2019</v>
      </c>
      <c r="X324">
        <v>72</v>
      </c>
      <c r="Y324" t="str">
        <v>Aerospatiale/Alenia ATR72</v>
      </c>
    </row>
    <row r="325" spans="1:25" x14ac:dyDescent="0.25">
      <c r="A325" t="s">
        <v>1436</v>
      </c>
      <c r="B325" t="s">
        <v>0</v>
      </c>
      <c r="C325" t="s">
        <v>282</v>
      </c>
      <c r="D325" t="s">
        <v>283</v>
      </c>
      <c r="E325" t="s">
        <v>59</v>
      </c>
      <c r="F325" s="5">
        <v>43500</v>
      </c>
      <c r="G325" s="5">
        <v>43521</v>
      </c>
      <c r="H325" s="6">
        <v>0.2986111111111111</v>
      </c>
      <c r="I325" t="s">
        <v>14</v>
      </c>
      <c r="J325" t="s">
        <v>285</v>
      </c>
      <c r="K325" t="s">
        <v>25</v>
      </c>
      <c r="M325" t="s">
        <v>17</v>
      </c>
      <c r="N325" t="str">
        <v>Destino</v>
      </c>
      <c r="O325" t="str">
        <v>GRAN CANARIA</v>
      </c>
      <c r="P325" t="str">
        <v>LPA</v>
      </c>
      <c r="Q325" t="str">
        <v>13:40:00</v>
      </c>
      <c r="R325" t="str">
        <v>AT7</v>
      </c>
      <c r="S325" t="str">
        <v xml:space="preserve">  CNF652</v>
      </c>
      <c r="T325" t="str">
        <v>ESPAÑA</v>
      </c>
      <c r="U325" t="str">
        <v/>
      </c>
      <c r="V325" t="str">
        <v>TFN</v>
      </c>
      <c r="W325" t="str">
        <v>10/02/2019</v>
      </c>
      <c r="X325">
        <v>72</v>
      </c>
      <c r="Y325" t="str">
        <v>Aerospatiale/Alenia ATR72</v>
      </c>
    </row>
    <row r="326" spans="1:25" x14ac:dyDescent="0.25">
      <c r="A326" t="s">
        <v>1436</v>
      </c>
      <c r="B326" t="s">
        <v>0</v>
      </c>
      <c r="C326" t="s">
        <v>282</v>
      </c>
      <c r="D326" t="s">
        <v>283</v>
      </c>
      <c r="E326" t="s">
        <v>22</v>
      </c>
      <c r="F326" s="5">
        <v>43407</v>
      </c>
      <c r="G326" s="5">
        <v>43554</v>
      </c>
      <c r="H326" s="6">
        <v>0.36458333333333331</v>
      </c>
      <c r="I326">
        <v>320</v>
      </c>
      <c r="J326" t="s">
        <v>284</v>
      </c>
      <c r="K326" t="s">
        <v>25</v>
      </c>
      <c r="M326" t="s">
        <v>17</v>
      </c>
      <c r="N326" t="str">
        <v>Destino</v>
      </c>
      <c r="O326" t="str">
        <v>GRAN CANARIA</v>
      </c>
      <c r="P326" t="str">
        <v>LPA</v>
      </c>
      <c r="Q326" t="str">
        <v>13:40:00</v>
      </c>
      <c r="R326" t="str">
        <v>AT7</v>
      </c>
      <c r="S326" t="str">
        <v xml:space="preserve">  CNF652</v>
      </c>
      <c r="T326" t="str">
        <v>ESPAÑA</v>
      </c>
      <c r="U326" t="str">
        <v/>
      </c>
      <c r="V326" t="str">
        <v>TFN</v>
      </c>
      <c r="W326" t="str">
        <v>05/02/2019</v>
      </c>
      <c r="X326">
        <v>72</v>
      </c>
      <c r="Y326" t="str">
        <v>Aerospatiale/Alenia ATR72</v>
      </c>
    </row>
    <row r="327" spans="1:25" x14ac:dyDescent="0.25">
      <c r="A327" t="s">
        <v>1436</v>
      </c>
      <c r="B327" t="s">
        <v>0</v>
      </c>
      <c r="C327" t="s">
        <v>282</v>
      </c>
      <c r="D327" t="s">
        <v>283</v>
      </c>
      <c r="E327" t="s">
        <v>19</v>
      </c>
      <c r="F327" s="5">
        <v>43480</v>
      </c>
      <c r="G327" s="5">
        <v>43543</v>
      </c>
      <c r="H327" s="6">
        <v>0.85763888888888884</v>
      </c>
      <c r="I327">
        <v>320</v>
      </c>
      <c r="J327" t="s">
        <v>284</v>
      </c>
      <c r="K327" t="s">
        <v>25</v>
      </c>
      <c r="M327" t="s">
        <v>17</v>
      </c>
      <c r="N327" t="str">
        <v>Destino</v>
      </c>
      <c r="O327" t="str">
        <v>GRAN CANARIA</v>
      </c>
      <c r="P327" t="str">
        <v>LPA</v>
      </c>
      <c r="Q327" t="str">
        <v>13:40:00</v>
      </c>
      <c r="R327" t="str">
        <v>AT7</v>
      </c>
      <c r="S327" t="str">
        <v xml:space="preserve">  CNF652</v>
      </c>
      <c r="T327" t="str">
        <v>ESPAÑA</v>
      </c>
      <c r="U327" t="str">
        <v/>
      </c>
      <c r="V327" t="str">
        <v>TFN</v>
      </c>
      <c r="W327" t="str">
        <v>07/02/2019</v>
      </c>
      <c r="X327">
        <v>72</v>
      </c>
      <c r="Y327" t="str">
        <v>Aerospatiale/Alenia ATR72</v>
      </c>
    </row>
    <row r="328" spans="1:25" x14ac:dyDescent="0.25">
      <c r="A328" t="s">
        <v>1436</v>
      </c>
      <c r="B328" t="s">
        <v>0</v>
      </c>
      <c r="C328" t="s">
        <v>286</v>
      </c>
      <c r="D328" t="s">
        <v>287</v>
      </c>
      <c r="E328" t="s">
        <v>18</v>
      </c>
      <c r="F328" s="5">
        <v>43401</v>
      </c>
      <c r="G328" s="5">
        <v>43548</v>
      </c>
      <c r="H328" s="6">
        <v>0.50694444444444442</v>
      </c>
      <c r="I328" t="s">
        <v>14</v>
      </c>
      <c r="J328" t="s">
        <v>288</v>
      </c>
      <c r="K328" t="s">
        <v>93</v>
      </c>
      <c r="M328" t="s">
        <v>17</v>
      </c>
      <c r="N328" t="str">
        <v>Destino</v>
      </c>
      <c r="O328" t="str">
        <v>GRAN CANARIA</v>
      </c>
      <c r="P328" t="str">
        <v>LPA</v>
      </c>
      <c r="Q328" t="str">
        <v>14:00:00</v>
      </c>
      <c r="R328" t="str">
        <v>AT7</v>
      </c>
      <c r="S328" t="str">
        <v xml:space="preserve">  IBB158</v>
      </c>
      <c r="T328" t="str">
        <v>ESPAÑA</v>
      </c>
      <c r="U328" t="str">
        <v/>
      </c>
      <c r="V328" t="str">
        <v>TFN</v>
      </c>
      <c r="W328" t="str">
        <v>06/02/2019</v>
      </c>
      <c r="X328">
        <v>72</v>
      </c>
      <c r="Y328" t="str">
        <v>Aerospatiale/Alenia ATR72</v>
      </c>
    </row>
    <row r="329" spans="1:25" x14ac:dyDescent="0.25">
      <c r="A329" t="s">
        <v>1436</v>
      </c>
      <c r="B329" t="s">
        <v>0</v>
      </c>
      <c r="C329" t="s">
        <v>286</v>
      </c>
      <c r="D329" t="s">
        <v>287</v>
      </c>
      <c r="E329" t="s">
        <v>22</v>
      </c>
      <c r="F329" s="5">
        <v>43407</v>
      </c>
      <c r="G329" s="5">
        <v>43554</v>
      </c>
      <c r="H329" s="6">
        <v>0.71527777777777779</v>
      </c>
      <c r="I329">
        <v>320</v>
      </c>
      <c r="J329" t="s">
        <v>1475</v>
      </c>
      <c r="K329" t="s">
        <v>93</v>
      </c>
      <c r="M329" t="s">
        <v>17</v>
      </c>
      <c r="N329" t="str">
        <v>Destino</v>
      </c>
      <c r="O329" t="str">
        <v>GRAN CANARIA</v>
      </c>
      <c r="P329" t="str">
        <v>LPA</v>
      </c>
      <c r="Q329" t="str">
        <v>14:00:00</v>
      </c>
      <c r="R329" t="str">
        <v>AT7</v>
      </c>
      <c r="S329" t="str">
        <v xml:space="preserve">  IBB158</v>
      </c>
      <c r="T329" t="str">
        <v>ESPAÑA</v>
      </c>
      <c r="U329" t="str">
        <v/>
      </c>
      <c r="V329" t="str">
        <v>TFN</v>
      </c>
      <c r="W329" t="str">
        <v>08/02/2019</v>
      </c>
      <c r="X329">
        <v>72</v>
      </c>
      <c r="Y329" t="str">
        <v>Aerospatiale/Alenia ATR72</v>
      </c>
    </row>
    <row r="330" spans="1:25" x14ac:dyDescent="0.25">
      <c r="A330" t="s">
        <v>1436</v>
      </c>
      <c r="B330" t="s">
        <v>0</v>
      </c>
      <c r="C330" t="s">
        <v>1476</v>
      </c>
      <c r="D330" t="s">
        <v>1477</v>
      </c>
      <c r="E330" t="s">
        <v>48</v>
      </c>
      <c r="F330" s="5">
        <v>43406</v>
      </c>
      <c r="G330" s="5">
        <v>43553</v>
      </c>
      <c r="H330" s="6">
        <v>0.77430555555555547</v>
      </c>
      <c r="I330">
        <v>320</v>
      </c>
      <c r="J330" t="s">
        <v>1478</v>
      </c>
      <c r="K330" t="s">
        <v>38</v>
      </c>
      <c r="M330" t="s">
        <v>17</v>
      </c>
      <c r="N330" t="str">
        <v>Destino</v>
      </c>
      <c r="O330" t="str">
        <v>GRAN CANARIA</v>
      </c>
      <c r="P330" t="str">
        <v>LPA</v>
      </c>
      <c r="Q330" t="str">
        <v>14:00:00</v>
      </c>
      <c r="R330" t="str">
        <v>AT7</v>
      </c>
      <c r="S330" t="str">
        <v xml:space="preserve">  IBB158</v>
      </c>
      <c r="T330" t="str">
        <v>ESPAÑA</v>
      </c>
      <c r="U330" t="str">
        <v/>
      </c>
      <c r="V330" t="str">
        <v>TFN</v>
      </c>
      <c r="W330" t="str">
        <v>07/02/2019</v>
      </c>
      <c r="X330">
        <v>72</v>
      </c>
      <c r="Y330" t="str">
        <v>Aerospatiale/Alenia ATR72</v>
      </c>
    </row>
    <row r="331" spans="1:25" x14ac:dyDescent="0.25">
      <c r="A331" t="s">
        <v>1436</v>
      </c>
      <c r="B331" t="s">
        <v>0</v>
      </c>
      <c r="C331" t="s">
        <v>1476</v>
      </c>
      <c r="D331" t="s">
        <v>1477</v>
      </c>
      <c r="E331" t="s">
        <v>59</v>
      </c>
      <c r="F331" s="5">
        <v>43465</v>
      </c>
      <c r="G331" s="5">
        <v>43549</v>
      </c>
      <c r="H331" s="6">
        <v>0.77430555555555547</v>
      </c>
      <c r="I331">
        <v>320</v>
      </c>
      <c r="J331" t="s">
        <v>1478</v>
      </c>
      <c r="K331" t="s">
        <v>38</v>
      </c>
      <c r="M331" t="s">
        <v>17</v>
      </c>
      <c r="N331" t="str">
        <v>Destino</v>
      </c>
      <c r="O331" t="str">
        <v>GRAN CANARIA</v>
      </c>
      <c r="P331" t="str">
        <v>LPA</v>
      </c>
      <c r="Q331" t="str">
        <v>14:00:00</v>
      </c>
      <c r="R331" t="str">
        <v>AT7</v>
      </c>
      <c r="S331" t="str">
        <v xml:space="preserve">  IBB158</v>
      </c>
      <c r="T331" t="str">
        <v>ESPAÑA</v>
      </c>
      <c r="U331" t="str">
        <v/>
      </c>
      <c r="V331" t="str">
        <v>TFN</v>
      </c>
      <c r="W331" t="str">
        <v>10/02/2019</v>
      </c>
      <c r="X331">
        <v>72</v>
      </c>
      <c r="Y331" t="str">
        <v>Aerospatiale/Alenia ATR72</v>
      </c>
    </row>
    <row r="332" spans="1:25" x14ac:dyDescent="0.25">
      <c r="A332" t="s">
        <v>1436</v>
      </c>
      <c r="B332" t="s">
        <v>0</v>
      </c>
      <c r="C332" t="s">
        <v>289</v>
      </c>
      <c r="D332" t="s">
        <v>290</v>
      </c>
      <c r="E332" t="s">
        <v>22</v>
      </c>
      <c r="F332" s="5">
        <v>43407</v>
      </c>
      <c r="G332" s="5">
        <v>43554</v>
      </c>
      <c r="H332" s="6">
        <v>0.46527777777777773</v>
      </c>
      <c r="I332" t="s">
        <v>352</v>
      </c>
      <c r="J332" t="s">
        <v>1479</v>
      </c>
      <c r="K332" t="s">
        <v>45</v>
      </c>
      <c r="M332" t="s">
        <v>17</v>
      </c>
      <c r="N332" t="str">
        <v>Destino</v>
      </c>
      <c r="O332" t="str">
        <v>GRAN CANARIA</v>
      </c>
      <c r="P332" t="str">
        <v>LPA</v>
      </c>
      <c r="Q332" t="str">
        <v>14:00:00</v>
      </c>
      <c r="R332" t="str">
        <v>AT7</v>
      </c>
      <c r="S332" t="str">
        <v xml:space="preserve">  IBB158</v>
      </c>
      <c r="T332" t="str">
        <v>ESPAÑA</v>
      </c>
      <c r="U332" t="str">
        <v/>
      </c>
      <c r="V332" t="str">
        <v>TFN</v>
      </c>
      <c r="W332" t="str">
        <v>05/02/2019</v>
      </c>
      <c r="X332">
        <v>72</v>
      </c>
      <c r="Y332" t="str">
        <v>Aerospatiale/Alenia ATR72</v>
      </c>
    </row>
    <row r="333" spans="1:25" x14ac:dyDescent="0.25">
      <c r="A333" t="s">
        <v>1436</v>
      </c>
      <c r="B333" t="s">
        <v>0</v>
      </c>
      <c r="C333" t="s">
        <v>289</v>
      </c>
      <c r="D333" t="s">
        <v>290</v>
      </c>
      <c r="E333" t="s">
        <v>18</v>
      </c>
      <c r="F333" s="5">
        <v>43513</v>
      </c>
      <c r="G333" s="5">
        <v>43513</v>
      </c>
      <c r="H333" s="6">
        <v>0.59375</v>
      </c>
      <c r="I333" t="s">
        <v>106</v>
      </c>
      <c r="J333" t="s">
        <v>1918</v>
      </c>
      <c r="K333" t="s">
        <v>45</v>
      </c>
      <c r="M333" t="s">
        <v>17</v>
      </c>
      <c r="N333" t="str">
        <v>Destino</v>
      </c>
      <c r="O333" t="str">
        <v>GRAN CANARIA</v>
      </c>
      <c r="P333" t="str">
        <v>LPA</v>
      </c>
      <c r="Q333" t="str">
        <v>14:00:00</v>
      </c>
      <c r="R333" t="str">
        <v>AT7</v>
      </c>
      <c r="S333" t="str">
        <v xml:space="preserve">  IBB158</v>
      </c>
      <c r="T333" t="str">
        <v>ESPAÑA</v>
      </c>
      <c r="U333" t="str">
        <v/>
      </c>
      <c r="V333" t="str">
        <v>TFN</v>
      </c>
      <c r="W333" t="str">
        <v>04/02/2019</v>
      </c>
      <c r="X333">
        <v>72</v>
      </c>
      <c r="Y333" t="str">
        <v>Aerospatiale/Alenia ATR72</v>
      </c>
    </row>
    <row r="334" spans="1:25" x14ac:dyDescent="0.25">
      <c r="A334" t="s">
        <v>1436</v>
      </c>
      <c r="B334" t="s">
        <v>0</v>
      </c>
      <c r="C334" t="s">
        <v>289</v>
      </c>
      <c r="D334" t="s">
        <v>290</v>
      </c>
      <c r="E334" t="s">
        <v>48</v>
      </c>
      <c r="F334" s="5">
        <v>43455</v>
      </c>
      <c r="G334" s="5">
        <v>43553</v>
      </c>
      <c r="H334" s="6">
        <v>0.69097222222222221</v>
      </c>
      <c r="I334">
        <v>320</v>
      </c>
      <c r="J334" t="s">
        <v>291</v>
      </c>
      <c r="K334" t="s">
        <v>45</v>
      </c>
      <c r="M334" t="s">
        <v>17</v>
      </c>
      <c r="N334" t="str">
        <v>Destino</v>
      </c>
      <c r="O334" t="str">
        <v>GRAN CANARIA</v>
      </c>
      <c r="P334" t="str">
        <v>LPA</v>
      </c>
      <c r="Q334" t="str">
        <v>14:00:00</v>
      </c>
      <c r="R334" t="str">
        <v>AT7</v>
      </c>
      <c r="S334" t="str">
        <v xml:space="preserve">  IBB158</v>
      </c>
      <c r="T334" t="str">
        <v>ESPAÑA</v>
      </c>
      <c r="U334" t="str">
        <v/>
      </c>
      <c r="V334" t="str">
        <v>TFN</v>
      </c>
      <c r="W334" t="str">
        <v>09/02/2019</v>
      </c>
      <c r="X334">
        <v>72</v>
      </c>
      <c r="Y334" t="str">
        <v>Aerospatiale/Alenia ATR72</v>
      </c>
    </row>
    <row r="335" spans="1:25" x14ac:dyDescent="0.25">
      <c r="A335" t="s">
        <v>1436</v>
      </c>
      <c r="B335" t="s">
        <v>0</v>
      </c>
      <c r="C335" t="s">
        <v>292</v>
      </c>
      <c r="D335" t="s">
        <v>293</v>
      </c>
      <c r="E335" t="s">
        <v>228</v>
      </c>
      <c r="F335" s="5">
        <v>43404</v>
      </c>
      <c r="G335" s="5">
        <v>43552</v>
      </c>
      <c r="H335" s="6">
        <v>0.35069444444444442</v>
      </c>
      <c r="I335" t="s">
        <v>139</v>
      </c>
      <c r="J335" t="s">
        <v>294</v>
      </c>
      <c r="K335" t="s">
        <v>25</v>
      </c>
      <c r="M335" t="s">
        <v>17</v>
      </c>
      <c r="N335" t="str">
        <v>Destino</v>
      </c>
      <c r="O335" t="str">
        <v>GRAN CANARIA</v>
      </c>
      <c r="P335" t="str">
        <v>LPA</v>
      </c>
      <c r="Q335" t="str">
        <v>14:30:00</v>
      </c>
      <c r="R335" t="str">
        <v>AT7</v>
      </c>
      <c r="S335" t="str">
        <v xml:space="preserve">  AEA9418</v>
      </c>
      <c r="T335" t="str">
        <v>ESPAÑA</v>
      </c>
      <c r="U335" t="str">
        <v/>
      </c>
      <c r="V335" t="str">
        <v>TFN</v>
      </c>
      <c r="W335" t="str">
        <v>05/02/2019</v>
      </c>
      <c r="X335">
        <v>72</v>
      </c>
      <c r="Y335" t="str">
        <v>Aerospatiale/Alenia ATR72</v>
      </c>
    </row>
    <row r="336" spans="1:25" x14ac:dyDescent="0.25">
      <c r="A336" t="s">
        <v>1436</v>
      </c>
      <c r="B336" t="s">
        <v>0</v>
      </c>
      <c r="C336" t="s">
        <v>292</v>
      </c>
      <c r="D336" t="s">
        <v>293</v>
      </c>
      <c r="E336" t="s">
        <v>1480</v>
      </c>
      <c r="F336" s="5">
        <v>43462</v>
      </c>
      <c r="G336" s="5">
        <v>43554</v>
      </c>
      <c r="H336" s="6">
        <v>0.35069444444444442</v>
      </c>
      <c r="I336" t="s">
        <v>139</v>
      </c>
      <c r="J336" t="s">
        <v>294</v>
      </c>
      <c r="K336" t="s">
        <v>25</v>
      </c>
      <c r="M336" t="s">
        <v>17</v>
      </c>
      <c r="N336" t="str">
        <v>Destino</v>
      </c>
      <c r="O336" t="str">
        <v>GRAN CANARIA</v>
      </c>
      <c r="P336" t="str">
        <v>LPA</v>
      </c>
      <c r="Q336" t="str">
        <v>14:30:00</v>
      </c>
      <c r="R336" t="str">
        <v>AT7</v>
      </c>
      <c r="S336" t="str">
        <v xml:space="preserve">  AEA9418</v>
      </c>
      <c r="T336" t="str">
        <v>ESPAÑA</v>
      </c>
      <c r="U336" t="str">
        <v/>
      </c>
      <c r="V336" t="str">
        <v>TFN</v>
      </c>
      <c r="W336" t="str">
        <v>04/02/2019</v>
      </c>
      <c r="X336">
        <v>72</v>
      </c>
      <c r="Y336" t="str">
        <v>Aerospatiale/Alenia ATR72</v>
      </c>
    </row>
    <row r="337" spans="1:25" x14ac:dyDescent="0.25">
      <c r="A337" t="s">
        <v>1436</v>
      </c>
      <c r="B337" t="s">
        <v>0</v>
      </c>
      <c r="C337" t="s">
        <v>292</v>
      </c>
      <c r="D337" t="s">
        <v>293</v>
      </c>
      <c r="E337" t="s">
        <v>383</v>
      </c>
      <c r="F337" s="5">
        <v>43402</v>
      </c>
      <c r="G337" s="5">
        <v>43552</v>
      </c>
      <c r="H337" s="6">
        <v>0.47222222222222227</v>
      </c>
      <c r="I337" t="s">
        <v>139</v>
      </c>
      <c r="J337" t="s">
        <v>295</v>
      </c>
      <c r="K337" t="s">
        <v>25</v>
      </c>
      <c r="M337" t="s">
        <v>17</v>
      </c>
      <c r="N337" t="str">
        <v>Destino</v>
      </c>
      <c r="O337" t="str">
        <v>GRAN CANARIA</v>
      </c>
      <c r="P337" t="str">
        <v>LPA</v>
      </c>
      <c r="Q337" t="str">
        <v>14:30:00</v>
      </c>
      <c r="R337" t="str">
        <v>AT7</v>
      </c>
      <c r="S337" t="str">
        <v xml:space="preserve">  AEA9418</v>
      </c>
      <c r="T337" t="str">
        <v>ESPAÑA</v>
      </c>
      <c r="U337" t="str">
        <v/>
      </c>
      <c r="V337" t="str">
        <v>TFN</v>
      </c>
      <c r="W337" t="str">
        <v>08/02/2019</v>
      </c>
      <c r="X337">
        <v>72</v>
      </c>
      <c r="Y337" t="str">
        <v>Aerospatiale/Alenia ATR72</v>
      </c>
    </row>
    <row r="338" spans="1:25" x14ac:dyDescent="0.25">
      <c r="A338" t="s">
        <v>1436</v>
      </c>
      <c r="B338" t="s">
        <v>0</v>
      </c>
      <c r="C338" t="s">
        <v>292</v>
      </c>
      <c r="D338" t="s">
        <v>293</v>
      </c>
      <c r="E338" t="s">
        <v>22</v>
      </c>
      <c r="F338" s="5">
        <v>43477</v>
      </c>
      <c r="G338" s="5">
        <v>43554</v>
      </c>
      <c r="H338" s="6">
        <v>0.47222222222222227</v>
      </c>
      <c r="I338" t="s">
        <v>139</v>
      </c>
      <c r="J338" t="s">
        <v>295</v>
      </c>
      <c r="K338" t="s">
        <v>25</v>
      </c>
      <c r="M338" t="s">
        <v>17</v>
      </c>
      <c r="N338" t="str">
        <v>Destino</v>
      </c>
      <c r="O338" t="str">
        <v>GRAN CANARIA</v>
      </c>
      <c r="P338" t="str">
        <v>LPA</v>
      </c>
      <c r="Q338" t="str">
        <v>14:30:00</v>
      </c>
      <c r="R338" t="str">
        <v>AT7</v>
      </c>
      <c r="S338" t="str">
        <v xml:space="preserve">  AEA9418</v>
      </c>
      <c r="T338" t="str">
        <v>ESPAÑA</v>
      </c>
      <c r="U338" t="str">
        <v/>
      </c>
      <c r="V338" t="str">
        <v>TFN</v>
      </c>
      <c r="W338" t="str">
        <v>07/02/2019</v>
      </c>
      <c r="X338">
        <v>72</v>
      </c>
      <c r="Y338" t="str">
        <v>Aerospatiale/Alenia ATR72</v>
      </c>
    </row>
    <row r="339" spans="1:25" x14ac:dyDescent="0.25">
      <c r="A339" t="s">
        <v>1436</v>
      </c>
      <c r="B339" t="s">
        <v>0</v>
      </c>
      <c r="C339" t="s">
        <v>292</v>
      </c>
      <c r="D339" t="s">
        <v>293</v>
      </c>
      <c r="E339" t="s">
        <v>48</v>
      </c>
      <c r="F339" s="5">
        <v>43406</v>
      </c>
      <c r="G339" s="5">
        <v>43553</v>
      </c>
      <c r="H339" s="6">
        <v>0.47916666666666669</v>
      </c>
      <c r="I339" t="s">
        <v>139</v>
      </c>
      <c r="J339" t="s">
        <v>295</v>
      </c>
      <c r="K339" t="s">
        <v>25</v>
      </c>
      <c r="M339" t="s">
        <v>17</v>
      </c>
      <c r="N339" t="str">
        <v>Destino</v>
      </c>
      <c r="O339" t="str">
        <v>GRAN CANARIA</v>
      </c>
      <c r="P339" t="str">
        <v>LPA</v>
      </c>
      <c r="Q339" t="str">
        <v>14:30:00</v>
      </c>
      <c r="R339" t="str">
        <v>AT7</v>
      </c>
      <c r="S339" t="str">
        <v xml:space="preserve">  IBB148</v>
      </c>
      <c r="T339" t="str">
        <v>ESPAÑA</v>
      </c>
      <c r="U339" t="str">
        <v/>
      </c>
      <c r="V339" t="str">
        <v>TFN</v>
      </c>
      <c r="W339" t="str">
        <v>08/02/2019</v>
      </c>
      <c r="X339">
        <v>72</v>
      </c>
      <c r="Y339" t="str">
        <v>Aerospatiale/Alenia ATR72</v>
      </c>
    </row>
    <row r="340" spans="1:25" x14ac:dyDescent="0.25">
      <c r="A340" t="s">
        <v>1436</v>
      </c>
      <c r="B340" t="s">
        <v>0</v>
      </c>
      <c r="C340" t="s">
        <v>292</v>
      </c>
      <c r="D340" t="s">
        <v>293</v>
      </c>
      <c r="E340" t="s">
        <v>18</v>
      </c>
      <c r="F340" s="5">
        <v>43478</v>
      </c>
      <c r="G340" s="5">
        <v>43548</v>
      </c>
      <c r="H340" s="6">
        <v>0.57986111111111105</v>
      </c>
      <c r="I340" t="s">
        <v>139</v>
      </c>
      <c r="J340" t="s">
        <v>295</v>
      </c>
      <c r="K340" t="s">
        <v>25</v>
      </c>
      <c r="M340" t="s">
        <v>17</v>
      </c>
      <c r="N340" t="str">
        <v>Destino</v>
      </c>
      <c r="O340" t="str">
        <v>GRAN CANARIA</v>
      </c>
      <c r="P340" t="str">
        <v>LPA</v>
      </c>
      <c r="Q340" t="str">
        <v>14:35:00</v>
      </c>
      <c r="R340" t="str">
        <v>AT7</v>
      </c>
      <c r="S340" t="str">
        <v xml:space="preserve">  AEA9418</v>
      </c>
      <c r="T340" t="str">
        <v>ESPAÑA</v>
      </c>
      <c r="U340" t="str">
        <v/>
      </c>
      <c r="V340" t="str">
        <v>TFN</v>
      </c>
      <c r="W340" t="str">
        <v>06/02/2019</v>
      </c>
      <c r="X340">
        <v>72</v>
      </c>
      <c r="Y340" t="str">
        <v>Aerospatiale/Alenia ATR72</v>
      </c>
    </row>
    <row r="341" spans="1:25" x14ac:dyDescent="0.25">
      <c r="A341" t="s">
        <v>1436</v>
      </c>
      <c r="B341" t="s">
        <v>0</v>
      </c>
      <c r="C341" t="s">
        <v>292</v>
      </c>
      <c r="D341" t="s">
        <v>293</v>
      </c>
      <c r="E341" t="s">
        <v>736</v>
      </c>
      <c r="F341" s="5">
        <v>43462</v>
      </c>
      <c r="G341" s="5">
        <v>43553</v>
      </c>
      <c r="H341" s="6">
        <v>0.59027777777777779</v>
      </c>
      <c r="I341" t="s">
        <v>139</v>
      </c>
      <c r="J341" t="s">
        <v>297</v>
      </c>
      <c r="K341" t="s">
        <v>25</v>
      </c>
      <c r="M341" t="s">
        <v>17</v>
      </c>
      <c r="N341" t="str">
        <v>Destino</v>
      </c>
      <c r="O341" t="str">
        <v>GRAN CANARIA</v>
      </c>
      <c r="P341" t="str">
        <v>LPA</v>
      </c>
      <c r="Q341" t="str">
        <v>15:00:00</v>
      </c>
      <c r="R341" t="str">
        <v>AT7</v>
      </c>
      <c r="S341" t="str">
        <v xml:space="preserve">  IBB160</v>
      </c>
      <c r="T341" t="str">
        <v>ESPAÑA</v>
      </c>
      <c r="U341" t="str">
        <v/>
      </c>
      <c r="V341" t="str">
        <v>TFN</v>
      </c>
      <c r="W341" t="str">
        <v>06/02/2019</v>
      </c>
      <c r="X341">
        <v>72</v>
      </c>
      <c r="Y341" t="str">
        <v>Aerospatiale/Alenia ATR72</v>
      </c>
    </row>
    <row r="342" spans="1:25" x14ac:dyDescent="0.25">
      <c r="A342" t="s">
        <v>1436</v>
      </c>
      <c r="B342" t="s">
        <v>0</v>
      </c>
      <c r="C342" t="s">
        <v>292</v>
      </c>
      <c r="D342" t="s">
        <v>293</v>
      </c>
      <c r="E342" t="s">
        <v>163</v>
      </c>
      <c r="F342" s="5">
        <v>43472</v>
      </c>
      <c r="G342" s="5">
        <v>43552</v>
      </c>
      <c r="H342" s="6">
        <v>0.59027777777777779</v>
      </c>
      <c r="I342" t="s">
        <v>139</v>
      </c>
      <c r="J342" t="s">
        <v>297</v>
      </c>
      <c r="K342" t="s">
        <v>25</v>
      </c>
      <c r="M342" t="s">
        <v>17</v>
      </c>
      <c r="N342" t="str">
        <v>Destino</v>
      </c>
      <c r="O342" t="str">
        <v>GRAN CANARIA</v>
      </c>
      <c r="P342" t="str">
        <v>LPA</v>
      </c>
      <c r="Q342" t="str">
        <v>15:00:00</v>
      </c>
      <c r="R342" t="str">
        <v>AT7</v>
      </c>
      <c r="S342" t="str">
        <v xml:space="preserve">  IBB160</v>
      </c>
      <c r="T342" t="str">
        <v>ESPAÑA</v>
      </c>
      <c r="U342" t="str">
        <v/>
      </c>
      <c r="V342" t="str">
        <v>TFN</v>
      </c>
      <c r="W342" t="str">
        <v>08/02/2019</v>
      </c>
      <c r="X342">
        <v>72</v>
      </c>
      <c r="Y342" t="str">
        <v>Aerospatiale/Alenia ATR72</v>
      </c>
    </row>
    <row r="343" spans="1:25" x14ac:dyDescent="0.25">
      <c r="A343" t="s">
        <v>1436</v>
      </c>
      <c r="B343" t="s">
        <v>0</v>
      </c>
      <c r="C343" t="s">
        <v>292</v>
      </c>
      <c r="D343" t="s">
        <v>293</v>
      </c>
      <c r="E343" t="s">
        <v>22</v>
      </c>
      <c r="F343" s="5">
        <v>43498</v>
      </c>
      <c r="G343" s="5">
        <v>43554</v>
      </c>
      <c r="H343" s="6">
        <v>0.59027777777777779</v>
      </c>
      <c r="I343" t="s">
        <v>139</v>
      </c>
      <c r="J343" t="s">
        <v>297</v>
      </c>
      <c r="K343" t="s">
        <v>25</v>
      </c>
      <c r="M343" t="s">
        <v>17</v>
      </c>
      <c r="N343" t="str">
        <v>Destino</v>
      </c>
      <c r="O343" t="str">
        <v>GRAN CANARIA</v>
      </c>
      <c r="P343" t="str">
        <v>LPA</v>
      </c>
      <c r="Q343" t="str">
        <v>15:00:00</v>
      </c>
      <c r="R343" t="str">
        <v>AT7</v>
      </c>
      <c r="S343" t="str">
        <v xml:space="preserve">  IBB160</v>
      </c>
      <c r="T343" t="str">
        <v>ESPAÑA</v>
      </c>
      <c r="U343" t="str">
        <v/>
      </c>
      <c r="V343" t="str">
        <v>TFN</v>
      </c>
      <c r="W343" t="str">
        <v>07/02/2019</v>
      </c>
      <c r="X343">
        <v>72</v>
      </c>
      <c r="Y343" t="str">
        <v>Aerospatiale/Alenia ATR72</v>
      </c>
    </row>
    <row r="344" spans="1:25" x14ac:dyDescent="0.25">
      <c r="A344" t="s">
        <v>1436</v>
      </c>
      <c r="B344" t="s">
        <v>0</v>
      </c>
      <c r="C344" t="s">
        <v>292</v>
      </c>
      <c r="D344" t="s">
        <v>293</v>
      </c>
      <c r="E344" t="s">
        <v>13</v>
      </c>
      <c r="F344" s="5">
        <v>43475</v>
      </c>
      <c r="G344" s="5">
        <v>43552</v>
      </c>
      <c r="H344" s="6">
        <v>0.61111111111111105</v>
      </c>
      <c r="I344" t="s">
        <v>139</v>
      </c>
      <c r="J344" t="s">
        <v>296</v>
      </c>
      <c r="K344" t="s">
        <v>25</v>
      </c>
      <c r="M344" t="s">
        <v>17</v>
      </c>
      <c r="N344" t="str">
        <v>Destino</v>
      </c>
      <c r="O344" t="str">
        <v>GRAN CANARIA</v>
      </c>
      <c r="P344" t="str">
        <v>LPA</v>
      </c>
      <c r="Q344" t="str">
        <v>15:00:00</v>
      </c>
      <c r="R344" t="str">
        <v>AT7</v>
      </c>
      <c r="S344" t="str">
        <v xml:space="preserve">  IBB160</v>
      </c>
      <c r="T344" t="str">
        <v>ESPAÑA</v>
      </c>
      <c r="U344" t="str">
        <v/>
      </c>
      <c r="V344" t="str">
        <v>TFN</v>
      </c>
      <c r="W344" t="str">
        <v>09/02/2019</v>
      </c>
      <c r="X344">
        <v>72</v>
      </c>
      <c r="Y344" t="str">
        <v>Aerospatiale/Alenia ATR72</v>
      </c>
    </row>
    <row r="345" spans="1:25" x14ac:dyDescent="0.25">
      <c r="A345" t="s">
        <v>1436</v>
      </c>
      <c r="B345" t="s">
        <v>0</v>
      </c>
      <c r="C345" t="s">
        <v>292</v>
      </c>
      <c r="D345" t="s">
        <v>293</v>
      </c>
      <c r="E345" t="s">
        <v>167</v>
      </c>
      <c r="F345" s="5">
        <v>43402</v>
      </c>
      <c r="G345" s="5">
        <v>43551</v>
      </c>
      <c r="H345" s="6">
        <v>0.63888888888888895</v>
      </c>
      <c r="I345" t="s">
        <v>139</v>
      </c>
      <c r="J345" t="s">
        <v>296</v>
      </c>
      <c r="K345" t="s">
        <v>25</v>
      </c>
      <c r="M345" t="s">
        <v>17</v>
      </c>
      <c r="N345" t="str">
        <v>Destino</v>
      </c>
      <c r="O345" t="str">
        <v>GRAN CANARIA</v>
      </c>
      <c r="P345" t="str">
        <v>LPA</v>
      </c>
      <c r="Q345" t="str">
        <v>15:00:00</v>
      </c>
      <c r="R345" t="str">
        <v>AT7</v>
      </c>
      <c r="S345" t="str">
        <v xml:space="preserve">  IBB160</v>
      </c>
      <c r="T345" t="str">
        <v>ESPAÑA</v>
      </c>
      <c r="U345" t="str">
        <v/>
      </c>
      <c r="V345" t="str">
        <v>TFN</v>
      </c>
      <c r="W345" t="str">
        <v>05/02/2019</v>
      </c>
      <c r="X345">
        <v>72</v>
      </c>
      <c r="Y345" t="str">
        <v>Aerospatiale/Alenia ATR72</v>
      </c>
    </row>
    <row r="346" spans="1:25" x14ac:dyDescent="0.25">
      <c r="A346" t="s">
        <v>1436</v>
      </c>
      <c r="B346" t="s">
        <v>0</v>
      </c>
      <c r="C346" t="s">
        <v>292</v>
      </c>
      <c r="D346" t="s">
        <v>293</v>
      </c>
      <c r="E346" t="s">
        <v>18</v>
      </c>
      <c r="F346" s="5">
        <v>43478</v>
      </c>
      <c r="G346" s="5">
        <v>43548</v>
      </c>
      <c r="H346" s="6">
        <v>0.65277777777777779</v>
      </c>
      <c r="I346" t="s">
        <v>139</v>
      </c>
      <c r="J346" t="s">
        <v>296</v>
      </c>
      <c r="K346" t="s">
        <v>25</v>
      </c>
      <c r="M346" t="s">
        <v>17</v>
      </c>
      <c r="N346" t="str">
        <v>Destino</v>
      </c>
      <c r="O346" t="str">
        <v>GRAN CANARIA</v>
      </c>
      <c r="P346" t="str">
        <v>LPA</v>
      </c>
      <c r="Q346" t="str">
        <v>15:00:00</v>
      </c>
      <c r="R346" t="str">
        <v>AT7</v>
      </c>
      <c r="S346" t="str">
        <v xml:space="preserve">  IBB160</v>
      </c>
      <c r="T346" t="str">
        <v>ESPAÑA</v>
      </c>
      <c r="U346" t="str">
        <v/>
      </c>
      <c r="V346" t="str">
        <v>TFN</v>
      </c>
      <c r="W346" t="str">
        <v>04/02/2019</v>
      </c>
      <c r="X346">
        <v>72</v>
      </c>
      <c r="Y346" t="str">
        <v>Aerospatiale/Alenia ATR72</v>
      </c>
    </row>
    <row r="347" spans="1:25" x14ac:dyDescent="0.25">
      <c r="A347" t="s">
        <v>1436</v>
      </c>
      <c r="B347" t="s">
        <v>0</v>
      </c>
      <c r="C347" t="s">
        <v>292</v>
      </c>
      <c r="D347" t="s">
        <v>293</v>
      </c>
      <c r="E347" t="s">
        <v>18</v>
      </c>
      <c r="F347" s="5">
        <v>43506</v>
      </c>
      <c r="G347" s="5">
        <v>43520</v>
      </c>
      <c r="H347" s="6">
        <v>0.6875</v>
      </c>
      <c r="I347" t="s">
        <v>139</v>
      </c>
      <c r="J347" t="s">
        <v>300</v>
      </c>
      <c r="K347" t="s">
        <v>25</v>
      </c>
      <c r="M347" t="s">
        <v>17</v>
      </c>
      <c r="N347" t="str">
        <v>Destino</v>
      </c>
      <c r="O347" t="str">
        <v>GRAN CANARIA</v>
      </c>
      <c r="P347" t="str">
        <v>LPA</v>
      </c>
      <c r="Q347" t="str">
        <v>15:40:00</v>
      </c>
      <c r="R347" t="str">
        <v>AT7</v>
      </c>
      <c r="S347" t="str">
        <v xml:space="preserve">  CNF644</v>
      </c>
      <c r="T347" t="str">
        <v>ESPAÑA</v>
      </c>
      <c r="U347" t="str">
        <v/>
      </c>
      <c r="V347" t="str">
        <v>TFN</v>
      </c>
      <c r="W347" t="str">
        <v>06/02/2019</v>
      </c>
      <c r="X347">
        <v>72</v>
      </c>
      <c r="Y347" t="str">
        <v>Aerospatiale/Alenia ATR72</v>
      </c>
    </row>
    <row r="348" spans="1:25" x14ac:dyDescent="0.25">
      <c r="A348" t="s">
        <v>1436</v>
      </c>
      <c r="B348" t="s">
        <v>0</v>
      </c>
      <c r="C348" t="s">
        <v>292</v>
      </c>
      <c r="D348" t="s">
        <v>293</v>
      </c>
      <c r="E348" t="s">
        <v>22</v>
      </c>
      <c r="F348" s="5">
        <v>43477</v>
      </c>
      <c r="G348" s="5">
        <v>43554</v>
      </c>
      <c r="H348" s="6">
        <v>0.69097222222222221</v>
      </c>
      <c r="I348" t="s">
        <v>139</v>
      </c>
      <c r="J348" t="s">
        <v>296</v>
      </c>
      <c r="K348" t="s">
        <v>25</v>
      </c>
      <c r="M348" t="s">
        <v>17</v>
      </c>
      <c r="N348" t="str">
        <v>Destino</v>
      </c>
      <c r="O348" t="str">
        <v>GRAN CANARIA</v>
      </c>
      <c r="P348" t="str">
        <v>LPA</v>
      </c>
      <c r="Q348" t="str">
        <v>16:00:00</v>
      </c>
      <c r="R348" t="str">
        <v>AT7</v>
      </c>
      <c r="S348" t="str">
        <v xml:space="preserve">  IBB166</v>
      </c>
      <c r="T348" t="str">
        <v>ESPAÑA</v>
      </c>
      <c r="U348" t="str">
        <v/>
      </c>
      <c r="V348" t="str">
        <v>TFN</v>
      </c>
      <c r="W348" t="str">
        <v>08/02/2019</v>
      </c>
      <c r="X348">
        <v>72</v>
      </c>
      <c r="Y348" t="str">
        <v>Aerospatiale/Alenia ATR72</v>
      </c>
    </row>
    <row r="349" spans="1:25" x14ac:dyDescent="0.25">
      <c r="A349" t="s">
        <v>1436</v>
      </c>
      <c r="B349" t="s">
        <v>0</v>
      </c>
      <c r="C349" t="s">
        <v>292</v>
      </c>
      <c r="D349" t="s">
        <v>293</v>
      </c>
      <c r="E349" t="s">
        <v>18</v>
      </c>
      <c r="F349" s="5">
        <v>43478</v>
      </c>
      <c r="G349" s="5">
        <v>43548</v>
      </c>
      <c r="H349" s="6">
        <v>0.69444444444444453</v>
      </c>
      <c r="I349" t="s">
        <v>139</v>
      </c>
      <c r="J349" t="s">
        <v>299</v>
      </c>
      <c r="K349" t="s">
        <v>25</v>
      </c>
      <c r="M349" t="s">
        <v>17</v>
      </c>
      <c r="N349" t="str">
        <v>Destino</v>
      </c>
      <c r="O349" t="str">
        <v>GRAN CANARIA</v>
      </c>
      <c r="P349" t="str">
        <v>LPA</v>
      </c>
      <c r="Q349" t="str">
        <v>16:00:00</v>
      </c>
      <c r="R349" t="str">
        <v>AT7</v>
      </c>
      <c r="S349" t="str">
        <v xml:space="preserve">  IBB166</v>
      </c>
      <c r="T349" t="str">
        <v>ESPAÑA</v>
      </c>
      <c r="U349" t="str">
        <v/>
      </c>
      <c r="V349" t="str">
        <v>TFN</v>
      </c>
      <c r="W349" t="str">
        <v>07/02/2019</v>
      </c>
      <c r="X349">
        <v>72</v>
      </c>
      <c r="Y349" t="str">
        <v>Aerospatiale/Alenia ATR72</v>
      </c>
    </row>
    <row r="350" spans="1:25" x14ac:dyDescent="0.25">
      <c r="A350" t="s">
        <v>1436</v>
      </c>
      <c r="B350" t="s">
        <v>0</v>
      </c>
      <c r="C350" t="s">
        <v>292</v>
      </c>
      <c r="D350" t="s">
        <v>293</v>
      </c>
      <c r="E350" t="s">
        <v>48</v>
      </c>
      <c r="F350" s="5">
        <v>43448</v>
      </c>
      <c r="G350" s="5">
        <v>43553</v>
      </c>
      <c r="H350" s="6">
        <v>0.70138888888888884</v>
      </c>
      <c r="I350" t="s">
        <v>139</v>
      </c>
      <c r="J350" t="s">
        <v>300</v>
      </c>
      <c r="K350" t="s">
        <v>25</v>
      </c>
      <c r="M350" t="s">
        <v>17</v>
      </c>
      <c r="N350" t="str">
        <v>Destino</v>
      </c>
      <c r="O350" t="str">
        <v>GRAN CANARIA</v>
      </c>
      <c r="P350" t="str">
        <v>LPA</v>
      </c>
      <c r="Q350" t="str">
        <v>16:00:00</v>
      </c>
      <c r="R350" t="str">
        <v>AT7</v>
      </c>
      <c r="S350" t="str">
        <v xml:space="preserve">  IBB166</v>
      </c>
      <c r="T350" t="str">
        <v>ESPAÑA</v>
      </c>
      <c r="U350" t="str">
        <v/>
      </c>
      <c r="V350" t="str">
        <v>TFN</v>
      </c>
      <c r="W350" t="str">
        <v>06/02/2019</v>
      </c>
      <c r="X350">
        <v>72</v>
      </c>
      <c r="Y350" t="str">
        <v>Aerospatiale/Alenia ATR72</v>
      </c>
    </row>
    <row r="351" spans="1:25" x14ac:dyDescent="0.25">
      <c r="A351" t="s">
        <v>1436</v>
      </c>
      <c r="B351" t="s">
        <v>0</v>
      </c>
      <c r="C351" t="s">
        <v>292</v>
      </c>
      <c r="D351" t="s">
        <v>293</v>
      </c>
      <c r="E351" t="s">
        <v>841</v>
      </c>
      <c r="F351" s="5">
        <v>43401</v>
      </c>
      <c r="G351" s="5">
        <v>43554</v>
      </c>
      <c r="H351" s="6">
        <v>0.73263888888888884</v>
      </c>
      <c r="I351" t="s">
        <v>139</v>
      </c>
      <c r="J351" t="s">
        <v>301</v>
      </c>
      <c r="K351" t="s">
        <v>25</v>
      </c>
      <c r="M351" t="s">
        <v>17</v>
      </c>
      <c r="N351" t="str">
        <v>Destino</v>
      </c>
      <c r="O351" t="str">
        <v>GRAN CANARIA</v>
      </c>
      <c r="P351" t="str">
        <v>LPA</v>
      </c>
      <c r="Q351" t="str">
        <v>16:00:00</v>
      </c>
      <c r="R351" t="str">
        <v>AT7</v>
      </c>
      <c r="S351" t="str">
        <v xml:space="preserve">  IBB166</v>
      </c>
      <c r="T351" t="str">
        <v>ESPAÑA</v>
      </c>
      <c r="U351" t="str">
        <v/>
      </c>
      <c r="V351" t="str">
        <v>TFN</v>
      </c>
      <c r="W351" t="str">
        <v>10/02/2019</v>
      </c>
      <c r="X351">
        <v>72</v>
      </c>
      <c r="Y351" t="str">
        <v>Aerospatiale/Alenia ATR72</v>
      </c>
    </row>
    <row r="352" spans="1:25" x14ac:dyDescent="0.25">
      <c r="A352" t="s">
        <v>1436</v>
      </c>
      <c r="B352" t="s">
        <v>0</v>
      </c>
      <c r="C352" t="s">
        <v>292</v>
      </c>
      <c r="D352" t="s">
        <v>293</v>
      </c>
      <c r="E352" t="s">
        <v>20</v>
      </c>
      <c r="F352" s="5">
        <v>43453</v>
      </c>
      <c r="G352" s="5">
        <v>43551</v>
      </c>
      <c r="H352" s="6">
        <v>0.73263888888888884</v>
      </c>
      <c r="I352" t="s">
        <v>139</v>
      </c>
      <c r="J352" t="s">
        <v>301</v>
      </c>
      <c r="K352" t="s">
        <v>25</v>
      </c>
      <c r="M352" t="s">
        <v>17</v>
      </c>
      <c r="N352" t="str">
        <v>Destino</v>
      </c>
      <c r="O352" t="str">
        <v>GRAN CANARIA</v>
      </c>
      <c r="P352" t="str">
        <v>LPA</v>
      </c>
      <c r="Q352" t="str">
        <v>16:00:00</v>
      </c>
      <c r="R352" t="str">
        <v>AT7</v>
      </c>
      <c r="S352" t="str">
        <v xml:space="preserve">  IBB166</v>
      </c>
      <c r="T352" t="str">
        <v>ESPAÑA</v>
      </c>
      <c r="U352" t="str">
        <v/>
      </c>
      <c r="V352" t="str">
        <v>TFN</v>
      </c>
      <c r="W352" t="str">
        <v>05/02/2019</v>
      </c>
      <c r="X352">
        <v>72</v>
      </c>
      <c r="Y352" t="str">
        <v>Aerospatiale/Alenia ATR72</v>
      </c>
    </row>
    <row r="353" spans="1:25" x14ac:dyDescent="0.25">
      <c r="A353" t="s">
        <v>1436</v>
      </c>
      <c r="B353" t="s">
        <v>0</v>
      </c>
      <c r="C353" t="s">
        <v>292</v>
      </c>
      <c r="D353" t="s">
        <v>293</v>
      </c>
      <c r="E353" t="s">
        <v>59</v>
      </c>
      <c r="F353" s="5">
        <v>43472</v>
      </c>
      <c r="G353" s="5">
        <v>43549</v>
      </c>
      <c r="H353" s="6">
        <v>0.77777777777777779</v>
      </c>
      <c r="I353" t="s">
        <v>139</v>
      </c>
      <c r="J353" t="s">
        <v>302</v>
      </c>
      <c r="K353" t="s">
        <v>25</v>
      </c>
      <c r="M353" t="s">
        <v>17</v>
      </c>
      <c r="N353" t="str">
        <v>Destino</v>
      </c>
      <c r="O353" t="str">
        <v>GRAN CANARIA</v>
      </c>
      <c r="P353" t="str">
        <v>LPA</v>
      </c>
      <c r="Q353" t="str">
        <v>16:00:00</v>
      </c>
      <c r="R353" t="str">
        <v>AT7</v>
      </c>
      <c r="S353" t="str">
        <v xml:space="preserve">  IBB166</v>
      </c>
      <c r="T353" t="str">
        <v>ESPAÑA</v>
      </c>
      <c r="U353" t="str">
        <v/>
      </c>
      <c r="V353" t="str">
        <v>TFN</v>
      </c>
      <c r="W353" t="str">
        <v>04/02/2019</v>
      </c>
      <c r="X353">
        <v>72</v>
      </c>
      <c r="Y353" t="str">
        <v>Aerospatiale/Alenia ATR72</v>
      </c>
    </row>
    <row r="354" spans="1:25" x14ac:dyDescent="0.25">
      <c r="A354" t="s">
        <v>1436</v>
      </c>
      <c r="B354" t="s">
        <v>0</v>
      </c>
      <c r="C354" t="s">
        <v>292</v>
      </c>
      <c r="D354" t="s">
        <v>293</v>
      </c>
      <c r="E354" t="s">
        <v>19</v>
      </c>
      <c r="F354" s="5">
        <v>43410</v>
      </c>
      <c r="G354" s="5">
        <v>43550</v>
      </c>
      <c r="H354" s="6">
        <v>0.78472222222222221</v>
      </c>
      <c r="I354" t="s">
        <v>139</v>
      </c>
      <c r="J354" t="s">
        <v>302</v>
      </c>
      <c r="K354" t="s">
        <v>25</v>
      </c>
      <c r="M354" t="s">
        <v>17</v>
      </c>
      <c r="N354" t="str">
        <v>Destino</v>
      </c>
      <c r="O354" t="str">
        <v>GRAN CANARIA</v>
      </c>
      <c r="P354" t="str">
        <v>LPA</v>
      </c>
      <c r="Q354" t="str">
        <v>16:25:00</v>
      </c>
      <c r="R354" t="str">
        <v>AT7</v>
      </c>
      <c r="S354" t="str">
        <v xml:space="preserve">  IBB172</v>
      </c>
      <c r="T354" t="str">
        <v>ESPAÑA</v>
      </c>
      <c r="U354" t="str">
        <v/>
      </c>
      <c r="V354" t="str">
        <v>TFN</v>
      </c>
      <c r="W354" t="str">
        <v>10/02/2019</v>
      </c>
      <c r="X354">
        <v>72</v>
      </c>
      <c r="Y354" t="str">
        <v>Aerospatiale/Alenia ATR72</v>
      </c>
    </row>
    <row r="355" spans="1:25" x14ac:dyDescent="0.25">
      <c r="A355" t="s">
        <v>1436</v>
      </c>
      <c r="B355" t="s">
        <v>0</v>
      </c>
      <c r="C355" t="s">
        <v>292</v>
      </c>
      <c r="D355" t="s">
        <v>293</v>
      </c>
      <c r="E355" t="s">
        <v>48</v>
      </c>
      <c r="F355" s="5">
        <v>43406</v>
      </c>
      <c r="G355" s="5">
        <v>43553</v>
      </c>
      <c r="H355" s="6">
        <v>0.80208333333333337</v>
      </c>
      <c r="I355" t="s">
        <v>139</v>
      </c>
      <c r="J355" t="s">
        <v>302</v>
      </c>
      <c r="K355" t="s">
        <v>25</v>
      </c>
      <c r="M355" t="s">
        <v>17</v>
      </c>
      <c r="N355" t="str">
        <v>Destino</v>
      </c>
      <c r="O355" t="str">
        <v>GRAN CANARIA</v>
      </c>
      <c r="P355" t="str">
        <v>LPA</v>
      </c>
      <c r="Q355" t="str">
        <v>16:30:00</v>
      </c>
      <c r="R355" t="str">
        <v>AT7</v>
      </c>
      <c r="S355" t="str">
        <v xml:space="preserve">  AEA9406</v>
      </c>
      <c r="T355" t="str">
        <v>ESPAÑA</v>
      </c>
      <c r="U355" t="str">
        <v/>
      </c>
      <c r="V355" t="str">
        <v>TFN</v>
      </c>
      <c r="W355" t="str">
        <v>06/02/2019</v>
      </c>
      <c r="X355">
        <v>72</v>
      </c>
      <c r="Y355" t="str">
        <v>Aerospatiale/Alenia ATR72</v>
      </c>
    </row>
    <row r="356" spans="1:25" x14ac:dyDescent="0.25">
      <c r="A356" t="s">
        <v>1436</v>
      </c>
      <c r="B356" t="s">
        <v>0</v>
      </c>
      <c r="C356" t="s">
        <v>292</v>
      </c>
      <c r="D356" t="s">
        <v>293</v>
      </c>
      <c r="E356" t="s">
        <v>20</v>
      </c>
      <c r="F356" s="5">
        <v>43404</v>
      </c>
      <c r="G356" s="5">
        <v>43551</v>
      </c>
      <c r="H356" s="6">
        <v>0.80555555555555547</v>
      </c>
      <c r="I356" t="s">
        <v>139</v>
      </c>
      <c r="J356" t="s">
        <v>302</v>
      </c>
      <c r="K356" t="s">
        <v>25</v>
      </c>
      <c r="M356" t="s">
        <v>17</v>
      </c>
      <c r="N356" t="str">
        <v>Destino</v>
      </c>
      <c r="O356" t="str">
        <v>GRAN CANARIA</v>
      </c>
      <c r="P356" t="str">
        <v>LPA</v>
      </c>
      <c r="Q356" t="str">
        <v>16:30:00</v>
      </c>
      <c r="R356" t="str">
        <v>AT7</v>
      </c>
      <c r="S356" t="str">
        <v xml:space="preserve">  AEA9406</v>
      </c>
      <c r="T356" t="str">
        <v>ESPAÑA</v>
      </c>
      <c r="U356" t="str">
        <v/>
      </c>
      <c r="V356" t="str">
        <v>TFN</v>
      </c>
      <c r="W356" t="str">
        <v>05/02/2019</v>
      </c>
      <c r="X356">
        <v>72</v>
      </c>
      <c r="Y356" t="str">
        <v>Aerospatiale/Alenia ATR72</v>
      </c>
    </row>
    <row r="357" spans="1:25" x14ac:dyDescent="0.25">
      <c r="A357" t="s">
        <v>1436</v>
      </c>
      <c r="B357" t="s">
        <v>0</v>
      </c>
      <c r="C357" t="s">
        <v>292</v>
      </c>
      <c r="D357" t="s">
        <v>293</v>
      </c>
      <c r="E357" t="s">
        <v>18</v>
      </c>
      <c r="F357" s="5">
        <v>43478</v>
      </c>
      <c r="G357" s="5">
        <v>43548</v>
      </c>
      <c r="H357" s="6">
        <v>0.80555555555555547</v>
      </c>
      <c r="I357" t="s">
        <v>139</v>
      </c>
      <c r="J357" t="s">
        <v>302</v>
      </c>
      <c r="K357" t="s">
        <v>25</v>
      </c>
      <c r="M357" t="s">
        <v>17</v>
      </c>
      <c r="N357" t="str">
        <v>Destino</v>
      </c>
      <c r="O357" t="str">
        <v>GRAN CANARIA</v>
      </c>
      <c r="P357" t="str">
        <v>LPA</v>
      </c>
      <c r="Q357" t="str">
        <v>16:30:00</v>
      </c>
      <c r="R357" t="str">
        <v>AT7</v>
      </c>
      <c r="S357" t="str">
        <v xml:space="preserve">  AEA9406</v>
      </c>
      <c r="T357" t="str">
        <v>ESPAÑA</v>
      </c>
      <c r="U357" t="str">
        <v/>
      </c>
      <c r="V357" t="str">
        <v>TFN</v>
      </c>
      <c r="W357" t="str">
        <v>04/02/2019</v>
      </c>
      <c r="X357">
        <v>72</v>
      </c>
      <c r="Y357" t="str">
        <v>Aerospatiale/Alenia ATR72</v>
      </c>
    </row>
    <row r="358" spans="1:25" x14ac:dyDescent="0.25">
      <c r="A358" t="s">
        <v>1436</v>
      </c>
      <c r="B358" t="s">
        <v>0</v>
      </c>
      <c r="C358" t="s">
        <v>292</v>
      </c>
      <c r="D358" t="s">
        <v>293</v>
      </c>
      <c r="E358" t="s">
        <v>13</v>
      </c>
      <c r="F358" s="5">
        <v>43503</v>
      </c>
      <c r="G358" s="5">
        <v>43524</v>
      </c>
      <c r="H358" s="6">
        <v>0.80555555555555547</v>
      </c>
      <c r="I358" t="s">
        <v>139</v>
      </c>
      <c r="J358" t="s">
        <v>302</v>
      </c>
      <c r="K358" t="s">
        <v>25</v>
      </c>
      <c r="M358" t="s">
        <v>17</v>
      </c>
      <c r="N358" t="str">
        <v>Destino</v>
      </c>
      <c r="O358" t="str">
        <v>GRAN CANARIA</v>
      </c>
      <c r="P358" t="str">
        <v>LPA</v>
      </c>
      <c r="Q358" t="str">
        <v>16:30:00</v>
      </c>
      <c r="R358" t="str">
        <v>AT7</v>
      </c>
      <c r="S358" t="str">
        <v xml:space="preserve">  AEA9406</v>
      </c>
      <c r="T358" t="str">
        <v>ESPAÑA</v>
      </c>
      <c r="U358" t="str">
        <v/>
      </c>
      <c r="V358" t="str">
        <v>TFN</v>
      </c>
      <c r="W358" t="str">
        <v>08/02/2019</v>
      </c>
      <c r="X358">
        <v>72</v>
      </c>
      <c r="Y358" t="str">
        <v>Aerospatiale/Alenia ATR72</v>
      </c>
    </row>
    <row r="359" spans="1:25" x14ac:dyDescent="0.25">
      <c r="A359" t="s">
        <v>1436</v>
      </c>
      <c r="B359" t="s">
        <v>0</v>
      </c>
      <c r="C359" t="s">
        <v>292</v>
      </c>
      <c r="D359" t="s">
        <v>293</v>
      </c>
      <c r="E359" t="s">
        <v>383</v>
      </c>
      <c r="F359" s="5">
        <v>43402</v>
      </c>
      <c r="G359" s="5">
        <v>43552</v>
      </c>
      <c r="H359" s="6">
        <v>0.85416666666666663</v>
      </c>
      <c r="I359" t="s">
        <v>139</v>
      </c>
      <c r="J359" t="s">
        <v>303</v>
      </c>
      <c r="K359" t="s">
        <v>25</v>
      </c>
      <c r="M359" t="s">
        <v>17</v>
      </c>
      <c r="N359" t="str">
        <v>Destino</v>
      </c>
      <c r="O359" t="str">
        <v>GRAN CANARIA</v>
      </c>
      <c r="P359" t="str">
        <v>LPA</v>
      </c>
      <c r="Q359" t="str">
        <v>16:30:00</v>
      </c>
      <c r="R359" t="str">
        <v>AT7</v>
      </c>
      <c r="S359" t="str">
        <v xml:space="preserve">  AEA9406</v>
      </c>
      <c r="T359" t="str">
        <v>ESPAÑA</v>
      </c>
      <c r="U359" t="str">
        <v/>
      </c>
      <c r="V359" t="str">
        <v>TFN</v>
      </c>
      <c r="W359" t="str">
        <v>07/02/2019</v>
      </c>
      <c r="X359">
        <v>72</v>
      </c>
      <c r="Y359" t="str">
        <v>Aerospatiale/Alenia ATR72</v>
      </c>
    </row>
    <row r="360" spans="1:25" x14ac:dyDescent="0.25">
      <c r="A360" t="s">
        <v>1436</v>
      </c>
      <c r="B360" t="s">
        <v>0</v>
      </c>
      <c r="C360" t="s">
        <v>292</v>
      </c>
      <c r="D360" t="s">
        <v>293</v>
      </c>
      <c r="E360" t="s">
        <v>48</v>
      </c>
      <c r="F360" s="5">
        <v>43406</v>
      </c>
      <c r="G360" s="5">
        <v>43518</v>
      </c>
      <c r="H360" s="6">
        <v>0.85416666666666663</v>
      </c>
      <c r="I360" t="s">
        <v>139</v>
      </c>
      <c r="J360" t="s">
        <v>303</v>
      </c>
      <c r="K360" t="s">
        <v>25</v>
      </c>
      <c r="M360" t="s">
        <v>17</v>
      </c>
      <c r="N360" t="str">
        <v>Destino</v>
      </c>
      <c r="O360" t="str">
        <v>GRAN CANARIA</v>
      </c>
      <c r="P360" t="str">
        <v>LPA</v>
      </c>
      <c r="Q360" t="str">
        <v>16:30:00</v>
      </c>
      <c r="R360" t="str">
        <v>AT7</v>
      </c>
      <c r="S360" t="str">
        <v xml:space="preserve">  AEA9406</v>
      </c>
      <c r="T360" t="str">
        <v>ESPAÑA</v>
      </c>
      <c r="U360" t="str">
        <v/>
      </c>
      <c r="V360" t="str">
        <v>TFN</v>
      </c>
      <c r="W360" t="str">
        <v>10/02/2019</v>
      </c>
      <c r="X360">
        <v>72</v>
      </c>
      <c r="Y360" t="str">
        <v>Aerospatiale/Alenia ATR72</v>
      </c>
    </row>
    <row r="361" spans="1:25" x14ac:dyDescent="0.25">
      <c r="A361" t="s">
        <v>1436</v>
      </c>
      <c r="B361" t="s">
        <v>0</v>
      </c>
      <c r="C361" t="s">
        <v>292</v>
      </c>
      <c r="D361" t="s">
        <v>293</v>
      </c>
      <c r="E361" t="s">
        <v>52</v>
      </c>
      <c r="F361" s="5">
        <v>43477</v>
      </c>
      <c r="G361" s="5">
        <v>43554</v>
      </c>
      <c r="H361" s="6">
        <v>0.85416666666666663</v>
      </c>
      <c r="I361" t="s">
        <v>139</v>
      </c>
      <c r="J361" t="s">
        <v>303</v>
      </c>
      <c r="K361" t="s">
        <v>25</v>
      </c>
      <c r="M361" t="s">
        <v>17</v>
      </c>
      <c r="N361" t="str">
        <v>Destino</v>
      </c>
      <c r="O361" t="str">
        <v>GRAN CANARIA</v>
      </c>
      <c r="P361" t="str">
        <v>LPA</v>
      </c>
      <c r="Q361" t="str">
        <v>17:00:00</v>
      </c>
      <c r="R361" t="str">
        <v>AT7</v>
      </c>
      <c r="S361" t="str">
        <v xml:space="preserve">  IBB170</v>
      </c>
      <c r="T361" t="str">
        <v>ESPAÑA</v>
      </c>
      <c r="U361" t="str">
        <v/>
      </c>
      <c r="V361" t="str">
        <v>TFN</v>
      </c>
      <c r="W361" t="str">
        <v>06/02/2019</v>
      </c>
      <c r="X361">
        <v>72</v>
      </c>
      <c r="Y361" t="str">
        <v>Aerospatiale/Alenia ATR72</v>
      </c>
    </row>
    <row r="362" spans="1:25" x14ac:dyDescent="0.25">
      <c r="A362" t="s">
        <v>1436</v>
      </c>
      <c r="B362" t="s">
        <v>0</v>
      </c>
      <c r="C362" t="s">
        <v>292</v>
      </c>
      <c r="D362" t="s">
        <v>293</v>
      </c>
      <c r="E362" t="s">
        <v>95</v>
      </c>
      <c r="F362" s="5">
        <v>43405</v>
      </c>
      <c r="G362" s="5">
        <v>43554</v>
      </c>
      <c r="H362" s="6">
        <v>0.88888888888888884</v>
      </c>
      <c r="I362" t="s">
        <v>139</v>
      </c>
      <c r="J362" t="s">
        <v>300</v>
      </c>
      <c r="K362" t="s">
        <v>25</v>
      </c>
      <c r="M362" t="s">
        <v>17</v>
      </c>
      <c r="N362" t="str">
        <v>Destino</v>
      </c>
      <c r="O362" t="str">
        <v>GRAN CANARIA</v>
      </c>
      <c r="P362" t="str">
        <v>LPA</v>
      </c>
      <c r="Q362" t="str">
        <v>17:00:00</v>
      </c>
      <c r="R362" t="str">
        <v>AT7</v>
      </c>
      <c r="S362" t="str">
        <v xml:space="preserve">  IBB170</v>
      </c>
      <c r="T362" t="str">
        <v>ESPAÑA</v>
      </c>
      <c r="U362" t="str">
        <v/>
      </c>
      <c r="V362" t="str">
        <v>TFN</v>
      </c>
      <c r="W362" t="str">
        <v>07/02/2019</v>
      </c>
      <c r="X362">
        <v>72</v>
      </c>
      <c r="Y362" t="str">
        <v>Aerospatiale/Alenia ATR72</v>
      </c>
    </row>
    <row r="363" spans="1:25" x14ac:dyDescent="0.25">
      <c r="A363" t="s">
        <v>1436</v>
      </c>
      <c r="B363" t="s">
        <v>0</v>
      </c>
      <c r="C363" t="s">
        <v>292</v>
      </c>
      <c r="D363" t="s">
        <v>293</v>
      </c>
      <c r="E363" t="s">
        <v>48</v>
      </c>
      <c r="F363" s="5">
        <v>43406</v>
      </c>
      <c r="G363" s="5">
        <v>43553</v>
      </c>
      <c r="H363" s="6">
        <v>0.91319444444444453</v>
      </c>
      <c r="I363" t="s">
        <v>139</v>
      </c>
      <c r="J363" t="s">
        <v>304</v>
      </c>
      <c r="K363" t="s">
        <v>25</v>
      </c>
      <c r="M363" t="s">
        <v>17</v>
      </c>
      <c r="N363" t="str">
        <v>Destino</v>
      </c>
      <c r="O363" t="str">
        <v>GRAN CANARIA</v>
      </c>
      <c r="P363" t="str">
        <v>LPA</v>
      </c>
      <c r="Q363" t="str">
        <v>17:00:00</v>
      </c>
      <c r="R363" t="str">
        <v>AT7</v>
      </c>
      <c r="S363" t="str">
        <v xml:space="preserve">  IBB170</v>
      </c>
      <c r="T363" t="str">
        <v>ESPAÑA</v>
      </c>
      <c r="U363" t="str">
        <v/>
      </c>
      <c r="V363" t="str">
        <v>TFN</v>
      </c>
      <c r="W363" t="str">
        <v>08/02/2019</v>
      </c>
      <c r="X363">
        <v>72</v>
      </c>
      <c r="Y363" t="str">
        <v>Aerospatiale/Alenia ATR72</v>
      </c>
    </row>
    <row r="364" spans="1:25" x14ac:dyDescent="0.25">
      <c r="A364" t="s">
        <v>1436</v>
      </c>
      <c r="B364" t="s">
        <v>0</v>
      </c>
      <c r="C364" t="s">
        <v>292</v>
      </c>
      <c r="D364" t="s">
        <v>293</v>
      </c>
      <c r="E364" t="s">
        <v>18</v>
      </c>
      <c r="F364" s="5">
        <v>43478</v>
      </c>
      <c r="G364" s="5">
        <v>43548</v>
      </c>
      <c r="H364" s="6">
        <v>0.91666666666666663</v>
      </c>
      <c r="I364" t="s">
        <v>139</v>
      </c>
      <c r="J364" t="s">
        <v>304</v>
      </c>
      <c r="K364" t="s">
        <v>25</v>
      </c>
      <c r="M364" t="s">
        <v>17</v>
      </c>
      <c r="N364" t="str">
        <v>Destino</v>
      </c>
      <c r="O364" t="str">
        <v>GRAN CANARIA</v>
      </c>
      <c r="P364" t="str">
        <v>LPA</v>
      </c>
      <c r="Q364" t="str">
        <v>17:00:00</v>
      </c>
      <c r="R364" t="str">
        <v>AT7</v>
      </c>
      <c r="S364" t="str">
        <v xml:space="preserve">  IBB170</v>
      </c>
      <c r="T364" t="str">
        <v>ESPAÑA</v>
      </c>
      <c r="U364" t="str">
        <v/>
      </c>
      <c r="V364" t="str">
        <v>TFN</v>
      </c>
      <c r="W364" t="str">
        <v>10/02/2019</v>
      </c>
      <c r="X364">
        <v>72</v>
      </c>
      <c r="Y364" t="str">
        <v>Aerospatiale/Alenia ATR72</v>
      </c>
    </row>
    <row r="365" spans="1:25" x14ac:dyDescent="0.25">
      <c r="A365" t="s">
        <v>1436</v>
      </c>
      <c r="B365" t="s">
        <v>0</v>
      </c>
      <c r="C365" t="s">
        <v>306</v>
      </c>
      <c r="D365" t="s">
        <v>307</v>
      </c>
      <c r="E365" t="s">
        <v>22</v>
      </c>
      <c r="F365" s="5">
        <v>43477</v>
      </c>
      <c r="G365" s="5">
        <v>43533</v>
      </c>
      <c r="H365" s="6">
        <v>0.41319444444444442</v>
      </c>
      <c r="I365">
        <v>319</v>
      </c>
      <c r="J365" t="s">
        <v>1834</v>
      </c>
      <c r="K365" t="s">
        <v>221</v>
      </c>
      <c r="M365" t="s">
        <v>17</v>
      </c>
      <c r="N365" t="str">
        <v>Destino</v>
      </c>
      <c r="O365" t="str">
        <v>GRAN CANARIA</v>
      </c>
      <c r="P365" t="str">
        <v>LPA</v>
      </c>
      <c r="Q365" t="str">
        <v>17:00:00</v>
      </c>
      <c r="R365" t="str">
        <v>AT7</v>
      </c>
      <c r="S365" t="str">
        <v xml:space="preserve">  IBB170</v>
      </c>
      <c r="T365" t="str">
        <v>ESPAÑA</v>
      </c>
      <c r="U365" t="str">
        <v/>
      </c>
      <c r="V365" t="str">
        <v>TFN</v>
      </c>
      <c r="W365" t="str">
        <v>09/02/2019</v>
      </c>
      <c r="X365">
        <v>72</v>
      </c>
      <c r="Y365" t="str">
        <v>Aerospatiale/Alenia ATR72</v>
      </c>
    </row>
    <row r="366" spans="1:25" x14ac:dyDescent="0.25">
      <c r="A366" t="s">
        <v>1436</v>
      </c>
      <c r="B366" t="s">
        <v>0</v>
      </c>
      <c r="C366" t="s">
        <v>308</v>
      </c>
      <c r="D366" t="s">
        <v>309</v>
      </c>
      <c r="E366" t="s">
        <v>59</v>
      </c>
      <c r="F366" s="5">
        <v>43472</v>
      </c>
      <c r="G366" s="5">
        <v>43549</v>
      </c>
      <c r="H366" s="6">
        <v>0.30555555555555552</v>
      </c>
      <c r="I366" t="s">
        <v>14</v>
      </c>
      <c r="J366" t="s">
        <v>310</v>
      </c>
      <c r="K366" t="s">
        <v>25</v>
      </c>
      <c r="M366" t="s">
        <v>17</v>
      </c>
      <c r="N366" t="str">
        <v>Destino</v>
      </c>
      <c r="O366" t="str">
        <v>GRAN CANARIA</v>
      </c>
      <c r="P366" t="str">
        <v>LPA</v>
      </c>
      <c r="Q366" t="str">
        <v>17:00:00</v>
      </c>
      <c r="R366" t="str">
        <v>AT7</v>
      </c>
      <c r="S366" t="str">
        <v xml:space="preserve">  IBB170</v>
      </c>
      <c r="T366" t="str">
        <v>ESPAÑA</v>
      </c>
      <c r="U366" t="str">
        <v/>
      </c>
      <c r="V366" t="str">
        <v>TFN</v>
      </c>
      <c r="W366" t="str">
        <v>04/02/2019</v>
      </c>
      <c r="X366">
        <v>72</v>
      </c>
      <c r="Y366" t="str">
        <v>Aerospatiale/Alenia ATR72</v>
      </c>
    </row>
    <row r="367" spans="1:25" x14ac:dyDescent="0.25">
      <c r="A367" t="s">
        <v>1436</v>
      </c>
      <c r="B367" t="s">
        <v>0</v>
      </c>
      <c r="C367" t="s">
        <v>308</v>
      </c>
      <c r="D367" t="s">
        <v>309</v>
      </c>
      <c r="E367" t="s">
        <v>48</v>
      </c>
      <c r="F367" s="5">
        <v>43497</v>
      </c>
      <c r="G367" s="5">
        <v>43518</v>
      </c>
      <c r="H367" s="6">
        <v>0.76388888888888884</v>
      </c>
      <c r="I367" t="s">
        <v>14</v>
      </c>
      <c r="J367" t="s">
        <v>310</v>
      </c>
      <c r="K367" t="s">
        <v>25</v>
      </c>
      <c r="M367" t="s">
        <v>17</v>
      </c>
      <c r="N367" t="str">
        <v>Destino</v>
      </c>
      <c r="O367" t="str">
        <v>GRAN CANARIA</v>
      </c>
      <c r="P367" t="str">
        <v>LPA</v>
      </c>
      <c r="Q367" t="str">
        <v>17:00:00</v>
      </c>
      <c r="R367" t="str">
        <v>AT7</v>
      </c>
      <c r="S367" t="str">
        <v xml:space="preserve">  IBB170</v>
      </c>
      <c r="T367" t="str">
        <v>ESPAÑA</v>
      </c>
      <c r="U367" t="str">
        <v/>
      </c>
      <c r="V367" t="str">
        <v>TFN</v>
      </c>
      <c r="W367" t="str">
        <v>05/02/2019</v>
      </c>
      <c r="X367">
        <v>72</v>
      </c>
      <c r="Y367" t="str">
        <v>Aerospatiale/Alenia ATR72</v>
      </c>
    </row>
    <row r="368" spans="1:25" x14ac:dyDescent="0.25">
      <c r="A368" t="s">
        <v>1436</v>
      </c>
      <c r="B368" t="s">
        <v>0</v>
      </c>
      <c r="C368" t="s">
        <v>1481</v>
      </c>
      <c r="D368" t="s">
        <v>1482</v>
      </c>
      <c r="E368" t="s">
        <v>19</v>
      </c>
      <c r="F368" s="5">
        <v>43466</v>
      </c>
      <c r="G368" s="5">
        <v>43550</v>
      </c>
      <c r="H368" s="6">
        <v>0.71527777777777779</v>
      </c>
      <c r="I368">
        <v>320</v>
      </c>
      <c r="J368" t="s">
        <v>1483</v>
      </c>
      <c r="K368" t="s">
        <v>66</v>
      </c>
      <c r="M368" t="s">
        <v>17</v>
      </c>
      <c r="N368" t="str">
        <v>Destino</v>
      </c>
      <c r="O368" t="str">
        <v>GRAN CANARIA</v>
      </c>
      <c r="P368" t="str">
        <v>LPA</v>
      </c>
      <c r="Q368" t="str">
        <v>17:30:00</v>
      </c>
      <c r="R368" t="str">
        <v>AT7</v>
      </c>
      <c r="S368" t="str">
        <v xml:space="preserve">  IBB176</v>
      </c>
      <c r="T368" t="str">
        <v>ESPAÑA</v>
      </c>
      <c r="U368" t="str">
        <v/>
      </c>
      <c r="V368" t="str">
        <v>TFN</v>
      </c>
      <c r="W368" t="str">
        <v>06/02/2019</v>
      </c>
      <c r="X368">
        <v>72</v>
      </c>
      <c r="Y368" t="str">
        <v>Aerospatiale/Alenia ATR72</v>
      </c>
    </row>
    <row r="369" spans="1:25" x14ac:dyDescent="0.25">
      <c r="A369" t="s">
        <v>1436</v>
      </c>
      <c r="B369" t="s">
        <v>0</v>
      </c>
      <c r="C369" t="s">
        <v>1481</v>
      </c>
      <c r="D369" t="s">
        <v>1482</v>
      </c>
      <c r="E369" t="s">
        <v>22</v>
      </c>
      <c r="F369" s="5">
        <v>43407</v>
      </c>
      <c r="G369" s="5">
        <v>43547</v>
      </c>
      <c r="H369" s="6">
        <v>0.77777777777777779</v>
      </c>
      <c r="I369">
        <v>320</v>
      </c>
      <c r="J369" t="s">
        <v>1483</v>
      </c>
      <c r="K369" t="s">
        <v>66</v>
      </c>
      <c r="M369" t="s">
        <v>17</v>
      </c>
      <c r="N369" t="str">
        <v>Destino</v>
      </c>
      <c r="O369" t="str">
        <v>GRAN CANARIA</v>
      </c>
      <c r="P369" t="str">
        <v>LPA</v>
      </c>
      <c r="Q369" t="str">
        <v>17:30:00</v>
      </c>
      <c r="R369" t="str">
        <v>AT7</v>
      </c>
      <c r="S369" t="str">
        <v xml:space="preserve">  IBB176</v>
      </c>
      <c r="T369" t="str">
        <v>ESPAÑA</v>
      </c>
      <c r="U369" t="str">
        <v/>
      </c>
      <c r="V369" t="str">
        <v>TFN</v>
      </c>
      <c r="W369" t="str">
        <v>07/02/2019</v>
      </c>
      <c r="X369">
        <v>72</v>
      </c>
      <c r="Y369" t="str">
        <v>Aerospatiale/Alenia ATR72</v>
      </c>
    </row>
    <row r="370" spans="1:25" x14ac:dyDescent="0.25">
      <c r="A370" t="s">
        <v>1436</v>
      </c>
      <c r="B370" t="s">
        <v>0</v>
      </c>
      <c r="C370" t="s">
        <v>457</v>
      </c>
      <c r="D370" t="s">
        <v>458</v>
      </c>
      <c r="E370" t="s">
        <v>19</v>
      </c>
      <c r="F370" s="5">
        <v>43452</v>
      </c>
      <c r="G370" s="5">
        <v>43550</v>
      </c>
      <c r="H370" s="6">
        <v>0.4513888888888889</v>
      </c>
      <c r="I370" t="s">
        <v>39</v>
      </c>
      <c r="J370" t="s">
        <v>1484</v>
      </c>
      <c r="K370" t="s">
        <v>460</v>
      </c>
      <c r="M370" t="s">
        <v>17</v>
      </c>
      <c r="N370" t="str">
        <v>Destino</v>
      </c>
      <c r="O370" t="str">
        <v>GRAN CANARIA</v>
      </c>
      <c r="P370" t="str">
        <v>LPA</v>
      </c>
      <c r="Q370" t="str">
        <v>18:00:00</v>
      </c>
      <c r="R370" t="str">
        <v>AT7</v>
      </c>
      <c r="S370" t="str">
        <v xml:space="preserve">  IBB178</v>
      </c>
      <c r="T370" t="str">
        <v>ESPAÑA</v>
      </c>
      <c r="U370" t="str">
        <v/>
      </c>
      <c r="V370" t="str">
        <v>TFN</v>
      </c>
      <c r="W370" t="str">
        <v>08/02/2019</v>
      </c>
      <c r="X370">
        <v>72</v>
      </c>
      <c r="Y370" t="str">
        <v>Aerospatiale/Alenia ATR72</v>
      </c>
    </row>
    <row r="371" spans="1:25" x14ac:dyDescent="0.25">
      <c r="A371" t="s">
        <v>1436</v>
      </c>
      <c r="B371" t="s">
        <v>0</v>
      </c>
      <c r="C371" t="s">
        <v>457</v>
      </c>
      <c r="D371" t="s">
        <v>458</v>
      </c>
      <c r="E371" t="s">
        <v>22</v>
      </c>
      <c r="F371" s="5">
        <v>43498</v>
      </c>
      <c r="G371" s="5">
        <v>43526</v>
      </c>
      <c r="H371" s="6">
        <v>0.72569444444444453</v>
      </c>
      <c r="I371">
        <v>320</v>
      </c>
      <c r="J371" t="s">
        <v>1485</v>
      </c>
      <c r="K371" t="s">
        <v>460</v>
      </c>
      <c r="M371" t="s">
        <v>17</v>
      </c>
      <c r="N371" t="str">
        <v>Destino</v>
      </c>
      <c r="O371" t="str">
        <v>GRAN CANARIA</v>
      </c>
      <c r="P371" t="str">
        <v>LPA</v>
      </c>
      <c r="Q371" t="str">
        <v>18:00:00</v>
      </c>
      <c r="R371" t="str">
        <v>AT7</v>
      </c>
      <c r="S371" t="str">
        <v xml:space="preserve">  IBB178</v>
      </c>
      <c r="T371" t="str">
        <v>ESPAÑA</v>
      </c>
      <c r="U371" t="str">
        <v/>
      </c>
      <c r="V371" t="str">
        <v>TFN</v>
      </c>
      <c r="W371" t="str">
        <v>05/02/2019</v>
      </c>
      <c r="X371">
        <v>72</v>
      </c>
      <c r="Y371" t="str">
        <v>Aerospatiale/Alenia ATR72</v>
      </c>
    </row>
    <row r="372" spans="1:25" x14ac:dyDescent="0.25">
      <c r="A372" t="s">
        <v>1436</v>
      </c>
      <c r="B372" t="s">
        <v>0</v>
      </c>
      <c r="C372" t="s">
        <v>311</v>
      </c>
      <c r="D372" t="s">
        <v>312</v>
      </c>
      <c r="E372" t="s">
        <v>22</v>
      </c>
      <c r="F372" s="5">
        <v>43407</v>
      </c>
      <c r="G372" s="5">
        <v>43554</v>
      </c>
      <c r="H372" s="6">
        <v>0.45833333333333331</v>
      </c>
      <c r="I372" t="s">
        <v>14</v>
      </c>
      <c r="J372" t="s">
        <v>313</v>
      </c>
      <c r="K372" t="s">
        <v>45</v>
      </c>
      <c r="M372" t="s">
        <v>17</v>
      </c>
      <c r="N372" t="str">
        <v>Destino</v>
      </c>
      <c r="O372" t="str">
        <v>GRAN CANARIA</v>
      </c>
      <c r="P372" t="str">
        <v>LPA</v>
      </c>
      <c r="Q372" t="str">
        <v>18:00:00</v>
      </c>
      <c r="R372" t="str">
        <v>AT7</v>
      </c>
      <c r="S372" t="str">
        <v xml:space="preserve">  IBB178</v>
      </c>
      <c r="T372" t="str">
        <v>ESPAÑA</v>
      </c>
      <c r="U372" t="str">
        <v/>
      </c>
      <c r="V372" t="str">
        <v>TFN</v>
      </c>
      <c r="W372" t="str">
        <v>06/02/2019</v>
      </c>
      <c r="X372">
        <v>72</v>
      </c>
      <c r="Y372" t="str">
        <v>Aerospatiale/Alenia ATR72</v>
      </c>
    </row>
    <row r="373" spans="1:25" x14ac:dyDescent="0.25">
      <c r="A373" t="s">
        <v>1436</v>
      </c>
      <c r="B373" t="s">
        <v>0</v>
      </c>
      <c r="C373" t="s">
        <v>311</v>
      </c>
      <c r="D373" t="s">
        <v>312</v>
      </c>
      <c r="E373" t="s">
        <v>19</v>
      </c>
      <c r="F373" s="5">
        <v>43466</v>
      </c>
      <c r="G373" s="5">
        <v>43550</v>
      </c>
      <c r="H373" s="6">
        <v>0.69444444444444453</v>
      </c>
      <c r="I373" t="s">
        <v>14</v>
      </c>
      <c r="J373" t="s">
        <v>313</v>
      </c>
      <c r="K373" t="s">
        <v>45</v>
      </c>
      <c r="M373" t="s">
        <v>17</v>
      </c>
      <c r="N373" t="str">
        <v>Destino</v>
      </c>
      <c r="O373" t="str">
        <v>GRAN CANARIA</v>
      </c>
      <c r="P373" t="str">
        <v>LPA</v>
      </c>
      <c r="Q373" t="str">
        <v>18:00:00</v>
      </c>
      <c r="R373" t="str">
        <v>AT7</v>
      </c>
      <c r="S373" t="str">
        <v xml:space="preserve">  IBB178</v>
      </c>
      <c r="T373" t="str">
        <v>ESPAÑA</v>
      </c>
      <c r="U373" t="str">
        <v/>
      </c>
      <c r="V373" t="str">
        <v>TFN</v>
      </c>
      <c r="W373" t="str">
        <v>07/02/2019</v>
      </c>
      <c r="X373">
        <v>72</v>
      </c>
      <c r="Y373" t="str">
        <v>Aerospatiale/Alenia ATR72</v>
      </c>
    </row>
    <row r="374" spans="1:25" x14ac:dyDescent="0.25">
      <c r="A374" t="s">
        <v>1436</v>
      </c>
      <c r="B374" t="s">
        <v>0</v>
      </c>
      <c r="C374" t="s">
        <v>318</v>
      </c>
      <c r="D374" t="s">
        <v>319</v>
      </c>
      <c r="E374" t="s">
        <v>18</v>
      </c>
      <c r="F374" s="5">
        <v>43401</v>
      </c>
      <c r="G374" s="5">
        <v>43548</v>
      </c>
      <c r="H374" s="6">
        <v>0.46527777777777773</v>
      </c>
      <c r="I374">
        <v>320</v>
      </c>
      <c r="J374" t="s">
        <v>321</v>
      </c>
      <c r="K374" t="s">
        <v>34</v>
      </c>
      <c r="M374" t="s">
        <v>17</v>
      </c>
      <c r="N374" t="str">
        <v>Destino</v>
      </c>
      <c r="O374" t="str">
        <v>GRAN CANARIA</v>
      </c>
      <c r="P374" t="str">
        <v>LPA</v>
      </c>
      <c r="Q374" t="str">
        <v>18:00:00</v>
      </c>
      <c r="R374" t="str">
        <v>AT7</v>
      </c>
      <c r="S374" t="str">
        <v xml:space="preserve">  IBB178</v>
      </c>
      <c r="T374" t="str">
        <v>ESPAÑA</v>
      </c>
      <c r="U374" t="str">
        <v/>
      </c>
      <c r="V374" t="str">
        <v>TFN</v>
      </c>
      <c r="W374" t="str">
        <v>10/02/2019</v>
      </c>
      <c r="X374">
        <v>72</v>
      </c>
      <c r="Y374" t="str">
        <v>Aerospatiale/Alenia ATR72</v>
      </c>
    </row>
    <row r="375" spans="1:25" x14ac:dyDescent="0.25">
      <c r="A375" t="s">
        <v>1436</v>
      </c>
      <c r="B375" t="s">
        <v>0</v>
      </c>
      <c r="C375" t="s">
        <v>318</v>
      </c>
      <c r="D375" t="s">
        <v>319</v>
      </c>
      <c r="E375" t="s">
        <v>22</v>
      </c>
      <c r="F375" s="5">
        <v>43456</v>
      </c>
      <c r="G375" s="5">
        <v>43554</v>
      </c>
      <c r="H375" s="6">
        <v>0.5</v>
      </c>
      <c r="I375">
        <v>320</v>
      </c>
      <c r="J375" t="s">
        <v>320</v>
      </c>
      <c r="K375" t="s">
        <v>34</v>
      </c>
      <c r="M375" t="s">
        <v>17</v>
      </c>
      <c r="N375" t="str">
        <v>Destino</v>
      </c>
      <c r="O375" t="str">
        <v>GRAN CANARIA</v>
      </c>
      <c r="P375" t="str">
        <v>LPA</v>
      </c>
      <c r="Q375" t="str">
        <v>18:00:00</v>
      </c>
      <c r="R375" t="str">
        <v>AT7</v>
      </c>
      <c r="S375" t="str">
        <v xml:space="preserve">  IBB178</v>
      </c>
      <c r="T375" t="str">
        <v>ESPAÑA</v>
      </c>
      <c r="U375" t="str">
        <v/>
      </c>
      <c r="V375" t="str">
        <v>TFN</v>
      </c>
      <c r="W375" t="str">
        <v>09/02/2019</v>
      </c>
      <c r="X375">
        <v>72</v>
      </c>
      <c r="Y375" t="str">
        <v>Aerospatiale/Alenia ATR72</v>
      </c>
    </row>
    <row r="376" spans="1:25" x14ac:dyDescent="0.25">
      <c r="A376" t="s">
        <v>1436</v>
      </c>
      <c r="B376" t="s">
        <v>0</v>
      </c>
      <c r="C376" t="s">
        <v>318</v>
      </c>
      <c r="D376" t="s">
        <v>319</v>
      </c>
      <c r="E376" t="s">
        <v>19</v>
      </c>
      <c r="F376" s="5">
        <v>43403</v>
      </c>
      <c r="G376" s="5">
        <v>43550</v>
      </c>
      <c r="H376" s="6">
        <v>0.5625</v>
      </c>
      <c r="I376">
        <v>320</v>
      </c>
      <c r="J376" t="s">
        <v>321</v>
      </c>
      <c r="K376" t="s">
        <v>34</v>
      </c>
      <c r="M376" t="s">
        <v>17</v>
      </c>
      <c r="N376" t="str">
        <v>Destino</v>
      </c>
      <c r="O376" t="str">
        <v>GRAN CANARIA</v>
      </c>
      <c r="P376" t="str">
        <v>LPA</v>
      </c>
      <c r="Q376" t="str">
        <v>18:00:00</v>
      </c>
      <c r="R376" t="str">
        <v>AT7</v>
      </c>
      <c r="S376" t="str">
        <v xml:space="preserve">  IBB178</v>
      </c>
      <c r="T376" t="str">
        <v>ESPAÑA</v>
      </c>
      <c r="U376" t="str">
        <v/>
      </c>
      <c r="V376" t="str">
        <v>TFN</v>
      </c>
      <c r="W376" t="str">
        <v>04/02/2019</v>
      </c>
      <c r="X376">
        <v>72</v>
      </c>
      <c r="Y376" t="str">
        <v>Aerospatiale/Alenia ATR72</v>
      </c>
    </row>
    <row r="377" spans="1:25" x14ac:dyDescent="0.25">
      <c r="A377" t="s">
        <v>1436</v>
      </c>
      <c r="B377" t="s">
        <v>0</v>
      </c>
      <c r="C377" t="s">
        <v>318</v>
      </c>
      <c r="D377" t="s">
        <v>319</v>
      </c>
      <c r="E377" t="s">
        <v>13</v>
      </c>
      <c r="F377" s="5">
        <v>43405</v>
      </c>
      <c r="G377" s="5">
        <v>43552</v>
      </c>
      <c r="H377" s="6">
        <v>0.73611111111111116</v>
      </c>
      <c r="I377">
        <v>320</v>
      </c>
      <c r="J377" t="s">
        <v>321</v>
      </c>
      <c r="K377" t="s">
        <v>34</v>
      </c>
      <c r="M377" t="s">
        <v>17</v>
      </c>
      <c r="N377" t="str">
        <v>Destino</v>
      </c>
      <c r="O377" t="str">
        <v>GRAN CANARIA</v>
      </c>
      <c r="P377" t="str">
        <v>LPA</v>
      </c>
      <c r="Q377" t="str">
        <v>18:30:00</v>
      </c>
      <c r="R377" t="str">
        <v>AT7</v>
      </c>
      <c r="S377" t="str">
        <v xml:space="preserve">  AEA9420</v>
      </c>
      <c r="T377" t="str">
        <v>ESPAÑA</v>
      </c>
      <c r="U377" t="str">
        <v/>
      </c>
      <c r="V377" t="str">
        <v>TFN</v>
      </c>
      <c r="W377" t="str">
        <v>06/02/2019</v>
      </c>
      <c r="X377">
        <v>72</v>
      </c>
      <c r="Y377" t="str">
        <v>Aerospatiale/Alenia ATR72</v>
      </c>
    </row>
    <row r="378" spans="1:25" x14ac:dyDescent="0.25">
      <c r="A378" t="s">
        <v>1436</v>
      </c>
      <c r="B378" t="s">
        <v>0</v>
      </c>
      <c r="C378" t="s">
        <v>11</v>
      </c>
      <c r="D378" t="s">
        <v>12</v>
      </c>
      <c r="E378" t="s">
        <v>13</v>
      </c>
      <c r="F378" s="5">
        <v>43447</v>
      </c>
      <c r="G378" s="5">
        <v>43552</v>
      </c>
      <c r="H378" s="6">
        <v>0.41319444444444442</v>
      </c>
      <c r="I378" t="s">
        <v>14</v>
      </c>
      <c r="J378" t="s">
        <v>1486</v>
      </c>
      <c r="K378" t="s">
        <v>16</v>
      </c>
      <c r="M378" t="s">
        <v>80</v>
      </c>
      <c r="N378" t="str">
        <v>Destino</v>
      </c>
      <c r="O378" t="str">
        <v>GRAN CANARIA</v>
      </c>
      <c r="P378" t="str">
        <v>LPA</v>
      </c>
      <c r="Q378" t="str">
        <v>18:30:00</v>
      </c>
      <c r="R378" t="str">
        <v>AT7</v>
      </c>
      <c r="S378" t="str">
        <v xml:space="preserve">  AEA9420</v>
      </c>
      <c r="T378" t="str">
        <v>ESPAÑA</v>
      </c>
      <c r="U378" t="str">
        <v/>
      </c>
      <c r="V378" t="str">
        <v>TFN</v>
      </c>
      <c r="W378" t="str">
        <v>05/02/2019</v>
      </c>
      <c r="X378">
        <v>72</v>
      </c>
      <c r="Y378" t="str">
        <v>Aerospatiale/Alenia ATR72</v>
      </c>
    </row>
    <row r="379" spans="1:25" x14ac:dyDescent="0.25">
      <c r="A379" t="s">
        <v>1436</v>
      </c>
      <c r="B379" t="s">
        <v>0</v>
      </c>
      <c r="C379" t="s">
        <v>11</v>
      </c>
      <c r="D379" t="s">
        <v>12</v>
      </c>
      <c r="E379" t="s">
        <v>18</v>
      </c>
      <c r="F379" s="5">
        <v>43401</v>
      </c>
      <c r="G379" s="5">
        <v>43548</v>
      </c>
      <c r="H379" s="6">
        <v>0.44097222222222227</v>
      </c>
      <c r="I379" t="s">
        <v>14</v>
      </c>
      <c r="J379" t="s">
        <v>322</v>
      </c>
      <c r="K379" t="s">
        <v>16</v>
      </c>
      <c r="M379" t="s">
        <v>80</v>
      </c>
      <c r="N379" t="str">
        <v>Destino</v>
      </c>
      <c r="O379" t="str">
        <v>GRAN CANARIA</v>
      </c>
      <c r="P379" t="str">
        <v>LPA</v>
      </c>
      <c r="Q379" t="str">
        <v>18:30:00</v>
      </c>
      <c r="R379" t="str">
        <v>AT7</v>
      </c>
      <c r="S379" t="str">
        <v xml:space="preserve">  AEA9420</v>
      </c>
      <c r="T379" t="str">
        <v>ESPAÑA</v>
      </c>
      <c r="U379" t="str">
        <v/>
      </c>
      <c r="V379" t="str">
        <v>TFN</v>
      </c>
      <c r="W379" t="str">
        <v>04/02/2019</v>
      </c>
      <c r="X379">
        <v>72</v>
      </c>
      <c r="Y379" t="str">
        <v>Aerospatiale/Alenia ATR72</v>
      </c>
    </row>
    <row r="380" spans="1:25" x14ac:dyDescent="0.25">
      <c r="A380" t="s">
        <v>1436</v>
      </c>
      <c r="B380" t="s">
        <v>0</v>
      </c>
      <c r="C380" t="s">
        <v>11</v>
      </c>
      <c r="D380" t="s">
        <v>12</v>
      </c>
      <c r="E380" t="s">
        <v>19</v>
      </c>
      <c r="F380" s="5">
        <v>43459</v>
      </c>
      <c r="G380" s="5">
        <v>43550</v>
      </c>
      <c r="H380" s="6">
        <v>0.46875</v>
      </c>
      <c r="I380" t="s">
        <v>14</v>
      </c>
      <c r="J380" t="s">
        <v>1487</v>
      </c>
      <c r="K380" t="s">
        <v>16</v>
      </c>
      <c r="M380" t="s">
        <v>80</v>
      </c>
      <c r="N380" t="str">
        <v>Destino</v>
      </c>
      <c r="O380" t="str">
        <v>GRAN CANARIA</v>
      </c>
      <c r="P380" t="str">
        <v>LPA</v>
      </c>
      <c r="Q380" t="str">
        <v>18:30:00</v>
      </c>
      <c r="R380" t="str">
        <v>AT7</v>
      </c>
      <c r="S380" t="str">
        <v xml:space="preserve">  AEA9420</v>
      </c>
      <c r="T380" t="str">
        <v>ESPAÑA</v>
      </c>
      <c r="U380" t="str">
        <v/>
      </c>
      <c r="V380" t="str">
        <v>TFN</v>
      </c>
      <c r="W380" t="str">
        <v>08/02/2019</v>
      </c>
      <c r="X380">
        <v>72</v>
      </c>
      <c r="Y380" t="str">
        <v>Aerospatiale/Alenia ATR72</v>
      </c>
    </row>
    <row r="381" spans="1:25" x14ac:dyDescent="0.25">
      <c r="A381" t="s">
        <v>1436</v>
      </c>
      <c r="B381" t="s">
        <v>0</v>
      </c>
      <c r="C381" t="s">
        <v>11</v>
      </c>
      <c r="D381" t="s">
        <v>12</v>
      </c>
      <c r="E381" t="s">
        <v>18</v>
      </c>
      <c r="F381" s="5">
        <v>43415</v>
      </c>
      <c r="G381" s="5">
        <v>43548</v>
      </c>
      <c r="H381" s="6">
        <v>0.51041666666666663</v>
      </c>
      <c r="I381">
        <v>320</v>
      </c>
      <c r="J381" t="s">
        <v>1488</v>
      </c>
      <c r="K381" t="s">
        <v>16</v>
      </c>
      <c r="M381" t="s">
        <v>80</v>
      </c>
      <c r="N381" t="str">
        <v>Destino</v>
      </c>
      <c r="O381" t="str">
        <v>GRAN CANARIA</v>
      </c>
      <c r="P381" t="str">
        <v>LPA</v>
      </c>
      <c r="Q381" t="str">
        <v>18:30:00</v>
      </c>
      <c r="R381" t="str">
        <v>AT7</v>
      </c>
      <c r="S381" t="str">
        <v xml:space="preserve">  AEA9420</v>
      </c>
      <c r="T381" t="str">
        <v>ESPAÑA</v>
      </c>
      <c r="U381" t="str">
        <v/>
      </c>
      <c r="V381" t="str">
        <v>TFN</v>
      </c>
      <c r="W381" t="str">
        <v>07/02/2019</v>
      </c>
      <c r="X381">
        <v>72</v>
      </c>
      <c r="Y381" t="str">
        <v>Aerospatiale/Alenia ATR72</v>
      </c>
    </row>
    <row r="382" spans="1:25" x14ac:dyDescent="0.25">
      <c r="A382" t="s">
        <v>1436</v>
      </c>
      <c r="B382" t="s">
        <v>0</v>
      </c>
      <c r="C382" t="s">
        <v>11</v>
      </c>
      <c r="D382" t="s">
        <v>12</v>
      </c>
      <c r="E382" t="s">
        <v>20</v>
      </c>
      <c r="F382" s="5">
        <v>43467</v>
      </c>
      <c r="G382" s="5">
        <v>43551</v>
      </c>
      <c r="H382" s="6">
        <v>0.51041666666666663</v>
      </c>
      <c r="I382">
        <v>320</v>
      </c>
      <c r="J382" t="s">
        <v>1488</v>
      </c>
      <c r="K382" t="s">
        <v>16</v>
      </c>
      <c r="M382" t="s">
        <v>80</v>
      </c>
      <c r="N382" t="str">
        <v>Destino</v>
      </c>
      <c r="O382" t="str">
        <v>GRAN CANARIA</v>
      </c>
      <c r="P382" t="str">
        <v>LPA</v>
      </c>
      <c r="Q382" t="str">
        <v>18:30:00</v>
      </c>
      <c r="R382" t="str">
        <v>AT7</v>
      </c>
      <c r="S382" t="str">
        <v xml:space="preserve">  AEA9420</v>
      </c>
      <c r="T382" t="str">
        <v>ESPAÑA</v>
      </c>
      <c r="U382" t="str">
        <v/>
      </c>
      <c r="V382" t="str">
        <v>TFN</v>
      </c>
      <c r="W382" t="str">
        <v>10/02/2019</v>
      </c>
      <c r="X382">
        <v>72</v>
      </c>
      <c r="Y382" t="str">
        <v>Aerospatiale/Alenia ATR72</v>
      </c>
    </row>
    <row r="383" spans="1:25" x14ac:dyDescent="0.25">
      <c r="A383" t="s">
        <v>1436</v>
      </c>
      <c r="B383" t="s">
        <v>0</v>
      </c>
      <c r="C383" t="s">
        <v>11</v>
      </c>
      <c r="D383" t="s">
        <v>12</v>
      </c>
      <c r="E383" t="s">
        <v>18</v>
      </c>
      <c r="F383" s="5">
        <v>43513</v>
      </c>
      <c r="G383" s="5">
        <v>43513</v>
      </c>
      <c r="H383" s="6">
        <v>0.56944444444444442</v>
      </c>
      <c r="I383" t="s">
        <v>14</v>
      </c>
      <c r="J383" t="s">
        <v>1646</v>
      </c>
      <c r="K383" t="s">
        <v>16</v>
      </c>
      <c r="L383" t="s">
        <v>275</v>
      </c>
      <c r="M383" t="s">
        <v>80</v>
      </c>
      <c r="N383" t="str">
        <v>Destino</v>
      </c>
      <c r="O383" t="str">
        <v>GRAN CANARIA</v>
      </c>
      <c r="P383" t="str">
        <v>LPA</v>
      </c>
      <c r="Q383" t="str">
        <v>18:30:00</v>
      </c>
      <c r="R383" t="str">
        <v>AT7</v>
      </c>
      <c r="S383" t="str">
        <v xml:space="preserve">  AEA9420</v>
      </c>
      <c r="T383" t="str">
        <v>ESPAÑA</v>
      </c>
      <c r="U383" t="str">
        <v/>
      </c>
      <c r="V383" t="str">
        <v>TFN</v>
      </c>
      <c r="W383" t="str">
        <v>09/02/2019</v>
      </c>
      <c r="X383">
        <v>72</v>
      </c>
      <c r="Y383" t="str">
        <v>Aerospatiale/Alenia ATR72</v>
      </c>
    </row>
    <row r="384" spans="1:25" x14ac:dyDescent="0.25">
      <c r="A384" t="s">
        <v>1436</v>
      </c>
      <c r="B384" t="s">
        <v>0</v>
      </c>
      <c r="C384" t="s">
        <v>11</v>
      </c>
      <c r="D384" t="s">
        <v>12</v>
      </c>
      <c r="E384" t="s">
        <v>22</v>
      </c>
      <c r="F384" s="5">
        <v>43407</v>
      </c>
      <c r="G384" s="5">
        <v>43554</v>
      </c>
      <c r="H384" s="6">
        <v>0.68055555555555547</v>
      </c>
      <c r="I384">
        <v>320</v>
      </c>
      <c r="J384" t="s">
        <v>323</v>
      </c>
      <c r="K384" t="s">
        <v>16</v>
      </c>
      <c r="M384" t="s">
        <v>80</v>
      </c>
      <c r="N384" t="str">
        <v>Destino</v>
      </c>
      <c r="O384" t="str">
        <v>GRAN CANARIA</v>
      </c>
      <c r="P384" t="str">
        <v>LPA</v>
      </c>
      <c r="Q384" t="str">
        <v>18:30:00</v>
      </c>
      <c r="R384" t="str">
        <v>AT7</v>
      </c>
      <c r="S384" t="str">
        <v xml:space="preserve">  IBB174</v>
      </c>
      <c r="T384" t="str">
        <v>ESPAÑA</v>
      </c>
      <c r="U384" t="str">
        <v/>
      </c>
      <c r="V384" t="str">
        <v>TFN</v>
      </c>
      <c r="W384" t="str">
        <v>07/02/2019</v>
      </c>
      <c r="X384">
        <v>72</v>
      </c>
      <c r="Y384" t="str">
        <v>Aerospatiale/Alenia ATR72</v>
      </c>
    </row>
    <row r="385" spans="1:25" x14ac:dyDescent="0.25">
      <c r="A385" t="s">
        <v>1436</v>
      </c>
      <c r="B385" t="s">
        <v>0</v>
      </c>
      <c r="C385" t="s">
        <v>11</v>
      </c>
      <c r="D385" t="s">
        <v>12</v>
      </c>
      <c r="E385" t="s">
        <v>13</v>
      </c>
      <c r="F385" s="5">
        <v>43405</v>
      </c>
      <c r="G385" s="5">
        <v>43552</v>
      </c>
      <c r="H385" s="6">
        <v>0.77430555555555547</v>
      </c>
      <c r="I385" t="s">
        <v>14</v>
      </c>
      <c r="J385" t="s">
        <v>322</v>
      </c>
      <c r="K385" t="s">
        <v>16</v>
      </c>
      <c r="M385" t="s">
        <v>80</v>
      </c>
      <c r="N385" t="str">
        <v>Destino</v>
      </c>
      <c r="O385" t="str">
        <v>GRAN CANARIA</v>
      </c>
      <c r="P385" t="str">
        <v>LPA</v>
      </c>
      <c r="Q385" t="str">
        <v>19:20:00</v>
      </c>
      <c r="R385" t="str">
        <v>AT7</v>
      </c>
      <c r="S385" t="str">
        <v xml:space="preserve">  CNF668</v>
      </c>
      <c r="T385" t="str">
        <v>ESPAÑA</v>
      </c>
      <c r="U385" t="str">
        <v/>
      </c>
      <c r="V385" t="str">
        <v>TFN</v>
      </c>
      <c r="W385" t="str">
        <v>06/02/2019</v>
      </c>
      <c r="X385">
        <v>72</v>
      </c>
      <c r="Y385" t="str">
        <v>Aerospatiale/Alenia ATR72</v>
      </c>
    </row>
    <row r="386" spans="1:25" x14ac:dyDescent="0.25">
      <c r="A386" t="s">
        <v>1436</v>
      </c>
      <c r="B386" t="s">
        <v>0</v>
      </c>
      <c r="C386" t="s">
        <v>11</v>
      </c>
      <c r="D386" t="s">
        <v>12</v>
      </c>
      <c r="E386" t="s">
        <v>18</v>
      </c>
      <c r="F386" s="5">
        <v>43513</v>
      </c>
      <c r="G386" s="5">
        <v>43548</v>
      </c>
      <c r="H386" s="6">
        <v>0.86805555555555547</v>
      </c>
      <c r="I386" t="s">
        <v>14</v>
      </c>
      <c r="J386" t="s">
        <v>1439</v>
      </c>
      <c r="K386" t="s">
        <v>16</v>
      </c>
      <c r="M386" t="s">
        <v>80</v>
      </c>
      <c r="N386" t="str">
        <v>Destino</v>
      </c>
      <c r="O386" t="str">
        <v>GRAN CANARIA</v>
      </c>
      <c r="P386" t="str">
        <v>LPA</v>
      </c>
      <c r="Q386" t="str">
        <v>19:20:00</v>
      </c>
      <c r="R386" t="str">
        <v>AT7</v>
      </c>
      <c r="S386" t="str">
        <v xml:space="preserve">  CNF668</v>
      </c>
      <c r="T386" t="str">
        <v>ESPAÑA</v>
      </c>
      <c r="U386" t="str">
        <v/>
      </c>
      <c r="V386" t="str">
        <v>TFN</v>
      </c>
      <c r="W386" t="str">
        <v>08/02/2019</v>
      </c>
      <c r="X386">
        <v>72</v>
      </c>
      <c r="Y386" t="str">
        <v>Aerospatiale/Alenia ATR72</v>
      </c>
    </row>
    <row r="387" spans="1:25" x14ac:dyDescent="0.25">
      <c r="A387" t="s">
        <v>1436</v>
      </c>
      <c r="B387" t="s">
        <v>0</v>
      </c>
      <c r="C387" t="s">
        <v>27</v>
      </c>
      <c r="D387" t="s">
        <v>28</v>
      </c>
      <c r="E387" t="s">
        <v>1489</v>
      </c>
      <c r="F387" s="5">
        <v>43402</v>
      </c>
      <c r="G387" s="5">
        <v>43554</v>
      </c>
      <c r="H387" s="6">
        <v>0.55555555555555558</v>
      </c>
      <c r="I387">
        <v>320</v>
      </c>
      <c r="J387" t="s">
        <v>324</v>
      </c>
      <c r="K387" t="s">
        <v>25</v>
      </c>
      <c r="M387" t="s">
        <v>80</v>
      </c>
      <c r="N387" t="str">
        <v>Destino</v>
      </c>
      <c r="O387" t="str">
        <v>GRAN CANARIA</v>
      </c>
      <c r="P387" t="str">
        <v>LPA</v>
      </c>
      <c r="Q387" t="str">
        <v>19:20:00</v>
      </c>
      <c r="R387" t="str">
        <v>AT7</v>
      </c>
      <c r="S387" t="str">
        <v xml:space="preserve">  CNF668</v>
      </c>
      <c r="T387" t="str">
        <v>ESPAÑA</v>
      </c>
      <c r="U387" t="str">
        <v/>
      </c>
      <c r="V387" t="str">
        <v>TFN</v>
      </c>
      <c r="W387" t="str">
        <v>07/02/2019</v>
      </c>
      <c r="X387">
        <v>72</v>
      </c>
      <c r="Y387" t="str">
        <v>Aerospatiale/Alenia ATR72</v>
      </c>
    </row>
    <row r="388" spans="1:25" x14ac:dyDescent="0.25">
      <c r="A388" t="s">
        <v>1436</v>
      </c>
      <c r="B388" t="s">
        <v>0</v>
      </c>
      <c r="C388" t="s">
        <v>27</v>
      </c>
      <c r="D388" t="s">
        <v>28</v>
      </c>
      <c r="E388" t="s">
        <v>18</v>
      </c>
      <c r="F388" s="5">
        <v>43436</v>
      </c>
      <c r="G388" s="5">
        <v>43548</v>
      </c>
      <c r="H388" s="6">
        <v>0.55555555555555558</v>
      </c>
      <c r="I388">
        <v>320</v>
      </c>
      <c r="J388" t="s">
        <v>324</v>
      </c>
      <c r="K388" t="s">
        <v>25</v>
      </c>
      <c r="M388" t="s">
        <v>80</v>
      </c>
      <c r="N388" t="str">
        <v>Destino</v>
      </c>
      <c r="O388" t="str">
        <v>GRAN CANARIA</v>
      </c>
      <c r="P388" t="str">
        <v>LPA</v>
      </c>
      <c r="Q388" t="str">
        <v>19:20:00</v>
      </c>
      <c r="R388" t="str">
        <v>AT7</v>
      </c>
      <c r="S388" t="str">
        <v xml:space="preserve">  CNF668</v>
      </c>
      <c r="T388" t="str">
        <v>ESPAÑA</v>
      </c>
      <c r="U388" t="str">
        <v/>
      </c>
      <c r="V388" t="str">
        <v>TFN</v>
      </c>
      <c r="W388" t="str">
        <v>10/02/2019</v>
      </c>
      <c r="X388">
        <v>72</v>
      </c>
      <c r="Y388" t="str">
        <v>Aerospatiale/Alenia ATR72</v>
      </c>
    </row>
    <row r="389" spans="1:25" x14ac:dyDescent="0.25">
      <c r="A389" t="s">
        <v>1436</v>
      </c>
      <c r="B389" t="s">
        <v>0</v>
      </c>
      <c r="C389" t="s">
        <v>27</v>
      </c>
      <c r="D389" t="s">
        <v>28</v>
      </c>
      <c r="E389" t="s">
        <v>19</v>
      </c>
      <c r="F389" s="5">
        <v>43466</v>
      </c>
      <c r="G389" s="5">
        <v>43550</v>
      </c>
      <c r="H389" s="6">
        <v>0.80555555555555547</v>
      </c>
      <c r="I389" t="s">
        <v>14</v>
      </c>
      <c r="J389" t="s">
        <v>326</v>
      </c>
      <c r="K389" t="s">
        <v>25</v>
      </c>
      <c r="M389" t="s">
        <v>80</v>
      </c>
      <c r="N389" t="str">
        <v>Destino</v>
      </c>
      <c r="O389" t="str">
        <v>GRAN CANARIA</v>
      </c>
      <c r="P389" t="str">
        <v>LPA</v>
      </c>
      <c r="Q389" t="str">
        <v>19:20:00</v>
      </c>
      <c r="R389" t="str">
        <v>AT7</v>
      </c>
      <c r="S389" t="str">
        <v xml:space="preserve">  CNF668</v>
      </c>
      <c r="T389" t="str">
        <v>ESPAÑA</v>
      </c>
      <c r="U389" t="str">
        <v/>
      </c>
      <c r="V389" t="str">
        <v>TFN</v>
      </c>
      <c r="W389" t="str">
        <v>09/02/2019</v>
      </c>
      <c r="X389">
        <v>72</v>
      </c>
      <c r="Y389" t="str">
        <v>Aerospatiale/Alenia ATR72</v>
      </c>
    </row>
    <row r="390" spans="1:25" x14ac:dyDescent="0.25">
      <c r="A390" t="s">
        <v>1436</v>
      </c>
      <c r="B390" t="s">
        <v>0</v>
      </c>
      <c r="C390" t="s">
        <v>27</v>
      </c>
      <c r="D390" t="s">
        <v>28</v>
      </c>
      <c r="E390" t="s">
        <v>190</v>
      </c>
      <c r="F390" s="5">
        <v>43406</v>
      </c>
      <c r="G390" s="5">
        <v>43554</v>
      </c>
      <c r="H390" s="6">
        <v>0.82291666666666663</v>
      </c>
      <c r="I390" t="s">
        <v>14</v>
      </c>
      <c r="J390" t="s">
        <v>326</v>
      </c>
      <c r="K390" t="s">
        <v>25</v>
      </c>
      <c r="M390" t="s">
        <v>80</v>
      </c>
      <c r="N390" t="str">
        <v>Destino</v>
      </c>
      <c r="O390" t="str">
        <v>GRAN CANARIA</v>
      </c>
      <c r="P390" t="str">
        <v>LPA</v>
      </c>
      <c r="Q390" t="str">
        <v>19:30:00</v>
      </c>
      <c r="R390" t="str">
        <v>AT7</v>
      </c>
      <c r="S390" t="str">
        <v xml:space="preserve">  IBB182</v>
      </c>
      <c r="T390" t="str">
        <v>ESPAÑA</v>
      </c>
      <c r="U390" t="str">
        <v/>
      </c>
      <c r="V390" t="str">
        <v>TFN</v>
      </c>
      <c r="W390" t="str">
        <v>10/02/2019</v>
      </c>
      <c r="X390">
        <v>72</v>
      </c>
      <c r="Y390" t="str">
        <v>Aerospatiale/Alenia ATR72</v>
      </c>
    </row>
    <row r="391" spans="1:25" x14ac:dyDescent="0.25">
      <c r="A391" t="s">
        <v>1436</v>
      </c>
      <c r="B391" t="s">
        <v>0</v>
      </c>
      <c r="C391" t="s">
        <v>27</v>
      </c>
      <c r="D391" t="s">
        <v>28</v>
      </c>
      <c r="E391" t="s">
        <v>59</v>
      </c>
      <c r="F391" s="5">
        <v>43472</v>
      </c>
      <c r="G391" s="5">
        <v>43549</v>
      </c>
      <c r="H391" s="6">
        <v>0.82291666666666663</v>
      </c>
      <c r="I391" t="s">
        <v>14</v>
      </c>
      <c r="J391" t="s">
        <v>326</v>
      </c>
      <c r="K391" t="s">
        <v>25</v>
      </c>
      <c r="M391" t="s">
        <v>80</v>
      </c>
      <c r="N391" t="str">
        <v>Destino</v>
      </c>
      <c r="O391" t="str">
        <v>GRAN CANARIA</v>
      </c>
      <c r="P391" t="str">
        <v>LPA</v>
      </c>
      <c r="Q391" t="str">
        <v>20:30:00</v>
      </c>
      <c r="R391" t="str">
        <v>AT7</v>
      </c>
      <c r="S391" t="str">
        <v xml:space="preserve">  AEA9408</v>
      </c>
      <c r="T391" t="str">
        <v>ESPAÑA</v>
      </c>
      <c r="U391" t="str">
        <v/>
      </c>
      <c r="V391" t="str">
        <v>TFN</v>
      </c>
      <c r="W391" t="str">
        <v>06/02/2019</v>
      </c>
      <c r="X391">
        <v>72</v>
      </c>
      <c r="Y391" t="str">
        <v>Aerospatiale/Alenia ATR72</v>
      </c>
    </row>
    <row r="392" spans="1:25" x14ac:dyDescent="0.25">
      <c r="A392" t="s">
        <v>1436</v>
      </c>
      <c r="B392" t="s">
        <v>0</v>
      </c>
      <c r="C392" t="s">
        <v>31</v>
      </c>
      <c r="D392" t="s">
        <v>32</v>
      </c>
      <c r="E392" t="s">
        <v>19</v>
      </c>
      <c r="F392" s="5">
        <v>43438</v>
      </c>
      <c r="G392" s="5">
        <v>43550</v>
      </c>
      <c r="H392" s="6">
        <v>0.54513888888888895</v>
      </c>
      <c r="I392">
        <v>320</v>
      </c>
      <c r="J392" t="s">
        <v>327</v>
      </c>
      <c r="K392" t="s">
        <v>34</v>
      </c>
      <c r="M392" t="s">
        <v>80</v>
      </c>
      <c r="N392" t="str">
        <v>Destino</v>
      </c>
      <c r="O392" t="str">
        <v>GRAN CANARIA</v>
      </c>
      <c r="P392" t="str">
        <v>LPA</v>
      </c>
      <c r="Q392" t="str">
        <v>20:30:00</v>
      </c>
      <c r="R392" t="str">
        <v>AT7</v>
      </c>
      <c r="S392" t="str">
        <v xml:space="preserve">  AEA9408</v>
      </c>
      <c r="T392" t="str">
        <v>ESPAÑA</v>
      </c>
      <c r="U392" t="str">
        <v/>
      </c>
      <c r="V392" t="str">
        <v>TFN</v>
      </c>
      <c r="W392" t="str">
        <v>08/02/2019</v>
      </c>
      <c r="X392">
        <v>72</v>
      </c>
      <c r="Y392" t="str">
        <v>Aerospatiale/Alenia ATR72</v>
      </c>
    </row>
    <row r="393" spans="1:25" x14ac:dyDescent="0.25">
      <c r="A393" t="s">
        <v>1436</v>
      </c>
      <c r="B393" t="s">
        <v>0</v>
      </c>
      <c r="C393" t="s">
        <v>31</v>
      </c>
      <c r="D393" t="s">
        <v>32</v>
      </c>
      <c r="E393" t="s">
        <v>22</v>
      </c>
      <c r="F393" s="5">
        <v>43407</v>
      </c>
      <c r="G393" s="5">
        <v>43554</v>
      </c>
      <c r="H393" s="6">
        <v>0.73611111111111116</v>
      </c>
      <c r="I393">
        <v>320</v>
      </c>
      <c r="J393" t="s">
        <v>327</v>
      </c>
      <c r="K393" t="s">
        <v>34</v>
      </c>
      <c r="M393" t="s">
        <v>80</v>
      </c>
      <c r="N393" t="str">
        <v>Destino</v>
      </c>
      <c r="O393" t="str">
        <v>GRAN CANARIA</v>
      </c>
      <c r="P393" t="str">
        <v>LPA</v>
      </c>
      <c r="Q393" t="str">
        <v>20:30:00</v>
      </c>
      <c r="R393" t="str">
        <v>AT7</v>
      </c>
      <c r="S393" t="str">
        <v xml:space="preserve">  AEA9408</v>
      </c>
      <c r="T393" t="str">
        <v>ESPAÑA</v>
      </c>
      <c r="U393" t="str">
        <v/>
      </c>
      <c r="V393" t="str">
        <v>TFN</v>
      </c>
      <c r="W393" t="str">
        <v>07/02/2019</v>
      </c>
      <c r="X393">
        <v>72</v>
      </c>
      <c r="Y393" t="str">
        <v>Aerospatiale/Alenia ATR72</v>
      </c>
    </row>
    <row r="394" spans="1:25" x14ac:dyDescent="0.25">
      <c r="A394" t="s">
        <v>1436</v>
      </c>
      <c r="B394" t="s">
        <v>0</v>
      </c>
      <c r="C394" t="s">
        <v>35</v>
      </c>
      <c r="D394" t="s">
        <v>36</v>
      </c>
      <c r="E394" t="s">
        <v>20</v>
      </c>
      <c r="F394" s="5">
        <v>43411</v>
      </c>
      <c r="G394" s="5">
        <v>43551</v>
      </c>
      <c r="H394" s="6">
        <v>0.65277777777777779</v>
      </c>
      <c r="I394">
        <v>320</v>
      </c>
      <c r="J394" t="s">
        <v>1490</v>
      </c>
      <c r="K394" t="s">
        <v>38</v>
      </c>
      <c r="M394" t="s">
        <v>80</v>
      </c>
      <c r="N394" t="str">
        <v>Destino</v>
      </c>
      <c r="O394" t="str">
        <v>GRAN CANARIA</v>
      </c>
      <c r="P394" t="str">
        <v>LPA</v>
      </c>
      <c r="Q394" t="str">
        <v>20:30:00</v>
      </c>
      <c r="R394" t="str">
        <v>AT7</v>
      </c>
      <c r="S394" t="str">
        <v xml:space="preserve">  AEA9408</v>
      </c>
      <c r="T394" t="str">
        <v>ESPAÑA</v>
      </c>
      <c r="U394" t="str">
        <v/>
      </c>
      <c r="V394" t="str">
        <v>TFN</v>
      </c>
      <c r="W394" t="str">
        <v>10/02/2019</v>
      </c>
      <c r="X394">
        <v>72</v>
      </c>
      <c r="Y394" t="str">
        <v>Aerospatiale/Alenia ATR72</v>
      </c>
    </row>
    <row r="395" spans="1:25" x14ac:dyDescent="0.25">
      <c r="A395" t="s">
        <v>1436</v>
      </c>
      <c r="B395" t="s">
        <v>0</v>
      </c>
      <c r="C395" t="s">
        <v>35</v>
      </c>
      <c r="D395" t="s">
        <v>36</v>
      </c>
      <c r="E395" t="s">
        <v>18</v>
      </c>
      <c r="F395" s="5">
        <v>43401</v>
      </c>
      <c r="G395" s="5">
        <v>43548</v>
      </c>
      <c r="H395" s="6">
        <v>0.67013888888888884</v>
      </c>
      <c r="I395" t="s">
        <v>14</v>
      </c>
      <c r="J395" t="s">
        <v>328</v>
      </c>
      <c r="K395" t="s">
        <v>38</v>
      </c>
      <c r="M395" t="s">
        <v>80</v>
      </c>
      <c r="N395" t="str">
        <v>Destino</v>
      </c>
      <c r="O395" t="str">
        <v>GRAN CANARIA</v>
      </c>
      <c r="P395" t="str">
        <v>LPA</v>
      </c>
      <c r="Q395" t="str">
        <v>20:30:00</v>
      </c>
      <c r="R395" t="str">
        <v>AT7</v>
      </c>
      <c r="S395" t="str">
        <v xml:space="preserve">  AEA9408</v>
      </c>
      <c r="T395" t="str">
        <v>ESPAÑA</v>
      </c>
      <c r="U395" t="str">
        <v/>
      </c>
      <c r="V395" t="str">
        <v>TFN</v>
      </c>
      <c r="W395" t="str">
        <v>09/02/2019</v>
      </c>
      <c r="X395">
        <v>72</v>
      </c>
      <c r="Y395" t="str">
        <v>Aerospatiale/Alenia ATR72</v>
      </c>
    </row>
    <row r="396" spans="1:25" x14ac:dyDescent="0.25">
      <c r="A396" t="s">
        <v>1436</v>
      </c>
      <c r="B396" t="s">
        <v>0</v>
      </c>
      <c r="C396" t="s">
        <v>35</v>
      </c>
      <c r="D396" t="s">
        <v>36</v>
      </c>
      <c r="E396" t="s">
        <v>22</v>
      </c>
      <c r="F396" s="5">
        <v>43407</v>
      </c>
      <c r="G396" s="5">
        <v>43554</v>
      </c>
      <c r="H396" s="6">
        <v>0.67013888888888884</v>
      </c>
      <c r="I396">
        <v>320</v>
      </c>
      <c r="J396" t="s">
        <v>1490</v>
      </c>
      <c r="K396" t="s">
        <v>38</v>
      </c>
      <c r="M396" t="s">
        <v>80</v>
      </c>
      <c r="N396" t="str">
        <v>Destino</v>
      </c>
      <c r="O396" t="str">
        <v>GRAN CANARIA</v>
      </c>
      <c r="P396" t="str">
        <v>LPA</v>
      </c>
      <c r="Q396" t="str">
        <v>20:30:00</v>
      </c>
      <c r="R396" t="str">
        <v>AT7</v>
      </c>
      <c r="S396" t="str">
        <v xml:space="preserve">  AEA9408</v>
      </c>
      <c r="T396" t="str">
        <v>ESPAÑA</v>
      </c>
      <c r="U396" t="str">
        <v/>
      </c>
      <c r="V396" t="str">
        <v>TFN</v>
      </c>
      <c r="W396" t="str">
        <v>05/02/2019</v>
      </c>
      <c r="X396">
        <v>72</v>
      </c>
      <c r="Y396" t="str">
        <v>Aerospatiale/Alenia ATR72</v>
      </c>
    </row>
    <row r="397" spans="1:25" x14ac:dyDescent="0.25">
      <c r="A397" t="s">
        <v>1436</v>
      </c>
      <c r="B397" t="s">
        <v>0</v>
      </c>
      <c r="C397" t="s">
        <v>42</v>
      </c>
      <c r="D397" t="s">
        <v>43</v>
      </c>
      <c r="E397" t="s">
        <v>22</v>
      </c>
      <c r="F397" s="5">
        <v>43407</v>
      </c>
      <c r="G397" s="5">
        <v>43554</v>
      </c>
      <c r="H397" s="6">
        <v>0.46180555555555558</v>
      </c>
      <c r="I397" t="s">
        <v>14</v>
      </c>
      <c r="J397" t="s">
        <v>329</v>
      </c>
      <c r="K397" t="s">
        <v>45</v>
      </c>
      <c r="M397" t="s">
        <v>80</v>
      </c>
      <c r="N397" t="str">
        <v>Destino</v>
      </c>
      <c r="O397" t="str">
        <v>GRAN CANARIA</v>
      </c>
      <c r="P397" t="str">
        <v>LPA</v>
      </c>
      <c r="Q397" t="str">
        <v>20:30:00</v>
      </c>
      <c r="R397" t="str">
        <v>AT7</v>
      </c>
      <c r="S397" t="str">
        <v xml:space="preserve">  AEA9408</v>
      </c>
      <c r="T397" t="str">
        <v>ESPAÑA</v>
      </c>
      <c r="U397" t="str">
        <v/>
      </c>
      <c r="V397" t="str">
        <v>TFN</v>
      </c>
      <c r="W397" t="str">
        <v>04/02/2019</v>
      </c>
      <c r="X397">
        <v>72</v>
      </c>
      <c r="Y397" t="str">
        <v>Aerospatiale/Alenia ATR72</v>
      </c>
    </row>
    <row r="398" spans="1:25" x14ac:dyDescent="0.25">
      <c r="A398" t="s">
        <v>1436</v>
      </c>
      <c r="B398" t="s">
        <v>0</v>
      </c>
      <c r="C398" t="s">
        <v>42</v>
      </c>
      <c r="D398" t="s">
        <v>43</v>
      </c>
      <c r="E398" t="s">
        <v>19</v>
      </c>
      <c r="F398" s="5">
        <v>43466</v>
      </c>
      <c r="G398" s="5">
        <v>43550</v>
      </c>
      <c r="H398" s="6">
        <v>0.46180555555555558</v>
      </c>
      <c r="I398" t="s">
        <v>14</v>
      </c>
      <c r="J398" t="s">
        <v>329</v>
      </c>
      <c r="K398" t="s">
        <v>45</v>
      </c>
      <c r="M398" t="s">
        <v>80</v>
      </c>
      <c r="N398" t="str">
        <v>Destino</v>
      </c>
      <c r="O398" t="str">
        <v>GRAN CANARIA</v>
      </c>
      <c r="P398" t="str">
        <v>LPA</v>
      </c>
      <c r="Q398" t="str">
        <v>20:30:00</v>
      </c>
      <c r="R398" t="str">
        <v>AT7</v>
      </c>
      <c r="S398" t="str">
        <v xml:space="preserve">  IBB122</v>
      </c>
      <c r="T398" t="str">
        <v>ESPAÑA</v>
      </c>
      <c r="U398" t="str">
        <v/>
      </c>
      <c r="V398" t="str">
        <v>TFN</v>
      </c>
      <c r="W398" t="str">
        <v>09/02/2019</v>
      </c>
      <c r="X398">
        <v>72</v>
      </c>
      <c r="Y398" t="str">
        <v>Aerospatiale/Alenia ATR72</v>
      </c>
    </row>
    <row r="399" spans="1:25" x14ac:dyDescent="0.25">
      <c r="A399" t="s">
        <v>1436</v>
      </c>
      <c r="B399" t="s">
        <v>0</v>
      </c>
      <c r="C399" t="s">
        <v>42</v>
      </c>
      <c r="D399" t="s">
        <v>43</v>
      </c>
      <c r="E399" t="s">
        <v>22</v>
      </c>
      <c r="F399" s="5">
        <v>43512</v>
      </c>
      <c r="G399" s="5">
        <v>43512</v>
      </c>
      <c r="H399" s="6">
        <v>0.56944444444444442</v>
      </c>
      <c r="I399">
        <v>319</v>
      </c>
      <c r="J399" t="s">
        <v>1491</v>
      </c>
      <c r="K399" t="s">
        <v>45</v>
      </c>
      <c r="M399" t="s">
        <v>80</v>
      </c>
      <c r="N399" t="str">
        <v>Destino</v>
      </c>
      <c r="O399" t="str">
        <v>GRAN CANARIA</v>
      </c>
      <c r="P399" t="str">
        <v>LPA</v>
      </c>
      <c r="Q399" t="str">
        <v>21:00:00</v>
      </c>
      <c r="R399" t="str">
        <v>AT7</v>
      </c>
      <c r="S399" t="str">
        <v xml:space="preserve">  IBB192</v>
      </c>
      <c r="T399" t="str">
        <v>ESPAÑA</v>
      </c>
      <c r="U399" t="str">
        <v/>
      </c>
      <c r="V399" t="str">
        <v>TFN</v>
      </c>
      <c r="W399" t="str">
        <v>06/02/2019</v>
      </c>
      <c r="X399">
        <v>72</v>
      </c>
      <c r="Y399" t="str">
        <v>Aerospatiale/Alenia ATR72</v>
      </c>
    </row>
    <row r="400" spans="1:25" x14ac:dyDescent="0.25">
      <c r="A400" t="s">
        <v>1436</v>
      </c>
      <c r="B400" t="s">
        <v>0</v>
      </c>
      <c r="C400" t="s">
        <v>42</v>
      </c>
      <c r="D400" t="s">
        <v>43</v>
      </c>
      <c r="E400" t="s">
        <v>19</v>
      </c>
      <c r="F400" s="5">
        <v>43508</v>
      </c>
      <c r="G400" s="5">
        <v>43508</v>
      </c>
      <c r="H400" s="6">
        <v>0.69444444444444453</v>
      </c>
      <c r="I400">
        <v>321</v>
      </c>
      <c r="J400" t="s">
        <v>1491</v>
      </c>
      <c r="K400" t="s">
        <v>45</v>
      </c>
      <c r="M400" t="s">
        <v>80</v>
      </c>
      <c r="N400" t="str">
        <v>Destino</v>
      </c>
      <c r="O400" t="str">
        <v>GRAN CANARIA</v>
      </c>
      <c r="P400" t="str">
        <v>LPA</v>
      </c>
      <c r="Q400" t="str">
        <v>21:00:00</v>
      </c>
      <c r="R400" t="str">
        <v>AT7</v>
      </c>
      <c r="S400" t="str">
        <v xml:space="preserve">  IBB192</v>
      </c>
      <c r="T400" t="str">
        <v>ESPAÑA</v>
      </c>
      <c r="U400" t="str">
        <v/>
      </c>
      <c r="V400" t="str">
        <v>TFN</v>
      </c>
      <c r="W400" t="str">
        <v>08/02/2019</v>
      </c>
      <c r="X400">
        <v>72</v>
      </c>
      <c r="Y400" t="str">
        <v>Aerospatiale/Alenia ATR72</v>
      </c>
    </row>
    <row r="401" spans="1:25" x14ac:dyDescent="0.25">
      <c r="A401" t="s">
        <v>1436</v>
      </c>
      <c r="B401" t="s">
        <v>0</v>
      </c>
      <c r="C401" t="s">
        <v>46</v>
      </c>
      <c r="D401" t="s">
        <v>47</v>
      </c>
      <c r="E401" t="s">
        <v>22</v>
      </c>
      <c r="F401" s="5">
        <v>43449</v>
      </c>
      <c r="G401" s="5">
        <v>43554</v>
      </c>
      <c r="H401" s="6">
        <v>0.34722222222222227</v>
      </c>
      <c r="I401" t="s">
        <v>106</v>
      </c>
      <c r="J401" t="s">
        <v>332</v>
      </c>
      <c r="K401" t="s">
        <v>45</v>
      </c>
      <c r="M401" t="s">
        <v>80</v>
      </c>
      <c r="N401" t="str">
        <v>Destino</v>
      </c>
      <c r="O401" t="str">
        <v>GRAN CANARIA</v>
      </c>
      <c r="P401" t="str">
        <v>LPA</v>
      </c>
      <c r="Q401" t="str">
        <v>21:00:00</v>
      </c>
      <c r="R401" t="str">
        <v>AT7</v>
      </c>
      <c r="S401" t="str">
        <v xml:space="preserve">  IBB192</v>
      </c>
      <c r="T401" t="str">
        <v>ESPAÑA</v>
      </c>
      <c r="U401" t="str">
        <v/>
      </c>
      <c r="V401" t="str">
        <v>TFN</v>
      </c>
      <c r="W401" t="str">
        <v>09/02/2019</v>
      </c>
      <c r="X401">
        <v>72</v>
      </c>
      <c r="Y401" t="str">
        <v>Aerospatiale/Alenia ATR72</v>
      </c>
    </row>
    <row r="402" spans="1:25" x14ac:dyDescent="0.25">
      <c r="A402" t="s">
        <v>1436</v>
      </c>
      <c r="B402" t="s">
        <v>0</v>
      </c>
      <c r="C402" t="s">
        <v>46</v>
      </c>
      <c r="D402" t="s">
        <v>47</v>
      </c>
      <c r="E402" t="s">
        <v>672</v>
      </c>
      <c r="F402" s="5">
        <v>43402</v>
      </c>
      <c r="G402" s="5">
        <v>43554</v>
      </c>
      <c r="H402" s="6">
        <v>0.4375</v>
      </c>
      <c r="I402" t="s">
        <v>14</v>
      </c>
      <c r="J402" t="s">
        <v>1492</v>
      </c>
      <c r="K402" t="s">
        <v>45</v>
      </c>
      <c r="M402" t="s">
        <v>80</v>
      </c>
      <c r="N402" t="str">
        <v>Destino</v>
      </c>
      <c r="O402" t="str">
        <v>GRAN CANARIA</v>
      </c>
      <c r="P402" t="str">
        <v>LPA</v>
      </c>
      <c r="Q402" t="str">
        <v>21:00:00</v>
      </c>
      <c r="R402" t="str">
        <v>AT7</v>
      </c>
      <c r="S402" t="str">
        <v xml:space="preserve">  IBB192</v>
      </c>
      <c r="T402" t="str">
        <v>ESPAÑA</v>
      </c>
      <c r="U402" t="str">
        <v/>
      </c>
      <c r="V402" t="str">
        <v>TFN</v>
      </c>
      <c r="W402" t="str">
        <v>07/02/2019</v>
      </c>
      <c r="X402">
        <v>72</v>
      </c>
      <c r="Y402" t="str">
        <v>Aerospatiale/Alenia ATR72</v>
      </c>
    </row>
    <row r="403" spans="1:25" x14ac:dyDescent="0.25">
      <c r="A403" t="s">
        <v>1436</v>
      </c>
      <c r="B403" t="s">
        <v>0</v>
      </c>
      <c r="C403" t="s">
        <v>46</v>
      </c>
      <c r="D403" t="s">
        <v>47</v>
      </c>
      <c r="E403" t="s">
        <v>13</v>
      </c>
      <c r="F403" s="5">
        <v>43405</v>
      </c>
      <c r="G403" s="5">
        <v>43552</v>
      </c>
      <c r="H403" s="6">
        <v>0.44444444444444442</v>
      </c>
      <c r="I403" t="s">
        <v>14</v>
      </c>
      <c r="J403" t="s">
        <v>1492</v>
      </c>
      <c r="K403" t="s">
        <v>45</v>
      </c>
      <c r="M403" t="s">
        <v>80</v>
      </c>
      <c r="N403" t="str">
        <v>Destino</v>
      </c>
      <c r="O403" t="str">
        <v>GRAN CANARIA</v>
      </c>
      <c r="P403" t="str">
        <v>LPA</v>
      </c>
      <c r="Q403" t="str">
        <v>21:00:00</v>
      </c>
      <c r="R403" t="str">
        <v>AT7</v>
      </c>
      <c r="S403" t="str">
        <v xml:space="preserve">  IBB192</v>
      </c>
      <c r="T403" t="str">
        <v>ESPAÑA</v>
      </c>
      <c r="U403" t="str">
        <v/>
      </c>
      <c r="V403" t="str">
        <v>TFN</v>
      </c>
      <c r="W403" t="str">
        <v>04/02/2019</v>
      </c>
      <c r="X403">
        <v>72</v>
      </c>
      <c r="Y403" t="str">
        <v>Aerospatiale/Alenia ATR72</v>
      </c>
    </row>
    <row r="404" spans="1:25" x14ac:dyDescent="0.25">
      <c r="A404" t="s">
        <v>1436</v>
      </c>
      <c r="B404" t="s">
        <v>0</v>
      </c>
      <c r="C404" t="s">
        <v>46</v>
      </c>
      <c r="D404" t="s">
        <v>47</v>
      </c>
      <c r="E404" t="s">
        <v>59</v>
      </c>
      <c r="F404" s="5">
        <v>43500</v>
      </c>
      <c r="G404" s="5">
        <v>43549</v>
      </c>
      <c r="H404" s="6">
        <v>0.55208333333333337</v>
      </c>
      <c r="I404" t="s">
        <v>331</v>
      </c>
      <c r="J404" t="s">
        <v>332</v>
      </c>
      <c r="K404" t="s">
        <v>45</v>
      </c>
      <c r="M404" t="s">
        <v>80</v>
      </c>
      <c r="N404" t="str">
        <v>Destino</v>
      </c>
      <c r="O404" t="str">
        <v>GRAN CANARIA</v>
      </c>
      <c r="P404" t="str">
        <v>LPA</v>
      </c>
      <c r="Q404" t="str">
        <v>21:00:00</v>
      </c>
      <c r="R404" t="str">
        <v>AT7</v>
      </c>
      <c r="S404" t="str">
        <v xml:space="preserve">  IBB192</v>
      </c>
      <c r="T404" t="str">
        <v>ESPAÑA</v>
      </c>
      <c r="U404" t="str">
        <v/>
      </c>
      <c r="V404" t="str">
        <v>TFN</v>
      </c>
      <c r="W404" t="str">
        <v>10/02/2019</v>
      </c>
      <c r="X404">
        <v>72</v>
      </c>
      <c r="Y404" t="str">
        <v>Aerospatiale/Alenia ATR72</v>
      </c>
    </row>
    <row r="405" spans="1:25" x14ac:dyDescent="0.25">
      <c r="A405" t="s">
        <v>1436</v>
      </c>
      <c r="B405" t="s">
        <v>0</v>
      </c>
      <c r="C405" t="s">
        <v>46</v>
      </c>
      <c r="D405" t="s">
        <v>47</v>
      </c>
      <c r="E405" t="s">
        <v>22</v>
      </c>
      <c r="F405" s="5">
        <v>43498</v>
      </c>
      <c r="G405" s="5">
        <v>43547</v>
      </c>
      <c r="H405" s="6">
        <v>0.58680555555555558</v>
      </c>
      <c r="I405">
        <v>320</v>
      </c>
      <c r="J405" t="s">
        <v>1493</v>
      </c>
      <c r="K405" t="s">
        <v>45</v>
      </c>
      <c r="M405" t="s">
        <v>80</v>
      </c>
      <c r="N405" t="str">
        <v>Destino</v>
      </c>
      <c r="O405" t="str">
        <v>GRAN CANARIA</v>
      </c>
      <c r="P405" t="str">
        <v>LPA</v>
      </c>
      <c r="Q405" t="str">
        <v>21:00:00</v>
      </c>
      <c r="R405" t="str">
        <v>AT7</v>
      </c>
      <c r="S405" t="str">
        <v xml:space="preserve">  IBB192</v>
      </c>
      <c r="T405" t="str">
        <v>ESPAÑA</v>
      </c>
      <c r="U405" t="str">
        <v/>
      </c>
      <c r="V405" t="str">
        <v>TFN</v>
      </c>
      <c r="W405" t="str">
        <v>05/02/2019</v>
      </c>
      <c r="X405">
        <v>72</v>
      </c>
      <c r="Y405" t="str">
        <v>Aerospatiale/Alenia ATR72</v>
      </c>
    </row>
    <row r="406" spans="1:25" x14ac:dyDescent="0.25">
      <c r="A406" t="s">
        <v>1436</v>
      </c>
      <c r="B406" t="s">
        <v>0</v>
      </c>
      <c r="C406" t="s">
        <v>46</v>
      </c>
      <c r="D406" t="s">
        <v>47</v>
      </c>
      <c r="E406" t="s">
        <v>22</v>
      </c>
      <c r="F406" s="5">
        <v>43470</v>
      </c>
      <c r="G406" s="5">
        <v>43554</v>
      </c>
      <c r="H406" s="6">
        <v>0.64236111111111105</v>
      </c>
      <c r="I406">
        <v>319</v>
      </c>
      <c r="J406" t="s">
        <v>330</v>
      </c>
      <c r="K406" t="s">
        <v>45</v>
      </c>
      <c r="M406" t="s">
        <v>80</v>
      </c>
      <c r="N406" t="str">
        <v>Destino</v>
      </c>
      <c r="O406" t="str">
        <v>GRAN CANARIA</v>
      </c>
      <c r="P406" t="str">
        <v>LPA</v>
      </c>
      <c r="Q406" t="str">
        <v>21:30:00</v>
      </c>
      <c r="R406" t="str">
        <v>AT7</v>
      </c>
      <c r="S406" t="str">
        <v xml:space="preserve">  IBB190</v>
      </c>
      <c r="T406" t="str">
        <v>ESPAÑA</v>
      </c>
      <c r="U406" t="str">
        <v/>
      </c>
      <c r="V406" t="str">
        <v>TFN</v>
      </c>
      <c r="W406" t="str">
        <v>10/02/2019</v>
      </c>
      <c r="X406">
        <v>72</v>
      </c>
      <c r="Y406" t="str">
        <v>Aerospatiale/Alenia ATR72</v>
      </c>
    </row>
    <row r="407" spans="1:25" x14ac:dyDescent="0.25">
      <c r="A407" t="s">
        <v>1436</v>
      </c>
      <c r="B407" t="s">
        <v>0</v>
      </c>
      <c r="C407" t="s">
        <v>46</v>
      </c>
      <c r="D407" t="s">
        <v>47</v>
      </c>
      <c r="E407" t="s">
        <v>59</v>
      </c>
      <c r="F407" s="5">
        <v>43493</v>
      </c>
      <c r="G407" s="5">
        <v>43549</v>
      </c>
      <c r="H407" s="6">
        <v>0.64583333333333337</v>
      </c>
      <c r="I407">
        <v>319</v>
      </c>
      <c r="J407" t="s">
        <v>330</v>
      </c>
      <c r="K407" t="s">
        <v>45</v>
      </c>
      <c r="M407" t="s">
        <v>80</v>
      </c>
      <c r="N407" t="str">
        <v>Destino</v>
      </c>
      <c r="O407" t="str">
        <v>GRAN CANARIA</v>
      </c>
      <c r="P407" t="str">
        <v>LPA</v>
      </c>
      <c r="Q407" t="str">
        <v>22:00:00</v>
      </c>
      <c r="R407" t="str">
        <v>AT7</v>
      </c>
      <c r="S407" t="str">
        <v xml:space="preserve">  IBB190</v>
      </c>
      <c r="T407" t="str">
        <v>ESPAÑA</v>
      </c>
      <c r="U407" t="str">
        <v/>
      </c>
      <c r="V407" t="str">
        <v>TFN</v>
      </c>
      <c r="W407" t="str">
        <v>08/02/2019</v>
      </c>
      <c r="X407">
        <v>72</v>
      </c>
      <c r="Y407" t="str">
        <v>Aerospatiale/Alenia ATR72</v>
      </c>
    </row>
    <row r="408" spans="1:25" x14ac:dyDescent="0.25">
      <c r="A408" t="s">
        <v>1436</v>
      </c>
      <c r="B408" t="s">
        <v>0</v>
      </c>
      <c r="C408" t="s">
        <v>46</v>
      </c>
      <c r="D408" t="s">
        <v>47</v>
      </c>
      <c r="E408" t="s">
        <v>19</v>
      </c>
      <c r="F408" s="5">
        <v>43466</v>
      </c>
      <c r="G408" s="5">
        <v>43550</v>
      </c>
      <c r="H408" s="6">
        <v>0.66666666666666663</v>
      </c>
      <c r="I408">
        <v>320</v>
      </c>
      <c r="J408" t="s">
        <v>1493</v>
      </c>
      <c r="K408" t="s">
        <v>45</v>
      </c>
      <c r="M408" t="s">
        <v>80</v>
      </c>
      <c r="N408" t="str">
        <v>Destino</v>
      </c>
      <c r="O408" t="str">
        <v>LA GOMERA</v>
      </c>
      <c r="P408" t="str">
        <v>GMZ</v>
      </c>
      <c r="Q408" t="str">
        <v>09:30:00</v>
      </c>
      <c r="R408" t="str">
        <v>AT7</v>
      </c>
      <c r="S408" t="str">
        <v xml:space="preserve">  IBB651</v>
      </c>
      <c r="T408" t="str">
        <v>ESPAÑA</v>
      </c>
      <c r="U408" t="str">
        <v/>
      </c>
      <c r="V408" t="str">
        <v>TFN</v>
      </c>
      <c r="W408" t="str">
        <v>06/02/2019</v>
      </c>
      <c r="X408">
        <v>72</v>
      </c>
      <c r="Y408" t="str">
        <v>Aerospatiale/Alenia ATR72</v>
      </c>
    </row>
    <row r="409" spans="1:25" x14ac:dyDescent="0.25">
      <c r="A409" t="s">
        <v>1436</v>
      </c>
      <c r="B409" t="s">
        <v>0</v>
      </c>
      <c r="C409" t="s">
        <v>50</v>
      </c>
      <c r="D409" t="s">
        <v>51</v>
      </c>
      <c r="E409" t="s">
        <v>22</v>
      </c>
      <c r="F409" s="5">
        <v>43407</v>
      </c>
      <c r="G409" s="5">
        <v>43554</v>
      </c>
      <c r="H409" s="6">
        <v>0.72916666666666663</v>
      </c>
      <c r="I409">
        <v>320</v>
      </c>
      <c r="J409" t="s">
        <v>333</v>
      </c>
      <c r="K409" t="s">
        <v>25</v>
      </c>
      <c r="M409" t="s">
        <v>80</v>
      </c>
      <c r="N409" t="str">
        <v>Destino</v>
      </c>
      <c r="O409" t="str">
        <v>LA GOMERA</v>
      </c>
      <c r="P409" t="str">
        <v>GMZ</v>
      </c>
      <c r="Q409" t="str">
        <v>09:30:00</v>
      </c>
      <c r="R409" t="str">
        <v>AT7</v>
      </c>
      <c r="S409" t="str">
        <v xml:space="preserve">  IBB651</v>
      </c>
      <c r="T409" t="str">
        <v>ESPAÑA</v>
      </c>
      <c r="U409" t="str">
        <v/>
      </c>
      <c r="V409" t="str">
        <v>TFN</v>
      </c>
      <c r="W409" t="str">
        <v>05/02/2019</v>
      </c>
      <c r="X409">
        <v>72</v>
      </c>
      <c r="Y409" t="str">
        <v>Aerospatiale/Alenia ATR72</v>
      </c>
    </row>
    <row r="410" spans="1:25" x14ac:dyDescent="0.25">
      <c r="A410" t="s">
        <v>1436</v>
      </c>
      <c r="B410" t="s">
        <v>0</v>
      </c>
      <c r="C410" t="s">
        <v>56</v>
      </c>
      <c r="D410" t="s">
        <v>57</v>
      </c>
      <c r="E410" t="s">
        <v>48</v>
      </c>
      <c r="F410" s="5">
        <v>43406</v>
      </c>
      <c r="G410" s="5">
        <v>43553</v>
      </c>
      <c r="H410" s="6">
        <v>0.4826388888888889</v>
      </c>
      <c r="I410" t="s">
        <v>14</v>
      </c>
      <c r="J410" t="s">
        <v>334</v>
      </c>
      <c r="K410" t="s">
        <v>38</v>
      </c>
      <c r="M410" t="s">
        <v>80</v>
      </c>
      <c r="N410" t="str">
        <v>Destino</v>
      </c>
      <c r="O410" t="str">
        <v>LA GOMERA</v>
      </c>
      <c r="P410" t="str">
        <v>GMZ</v>
      </c>
      <c r="Q410" t="str">
        <v>09:30:00</v>
      </c>
      <c r="R410" t="str">
        <v>AT7</v>
      </c>
      <c r="S410" t="str">
        <v xml:space="preserve">  IBB651</v>
      </c>
      <c r="T410" t="str">
        <v>ESPAÑA</v>
      </c>
      <c r="U410" t="str">
        <v/>
      </c>
      <c r="V410" t="str">
        <v>TFN</v>
      </c>
      <c r="W410" t="str">
        <v>04/02/2019</v>
      </c>
      <c r="X410">
        <v>72</v>
      </c>
      <c r="Y410" t="str">
        <v>Aerospatiale/Alenia ATR72</v>
      </c>
    </row>
    <row r="411" spans="1:25" x14ac:dyDescent="0.25">
      <c r="A411" t="s">
        <v>1436</v>
      </c>
      <c r="B411" t="s">
        <v>0</v>
      </c>
      <c r="C411" t="s">
        <v>56</v>
      </c>
      <c r="D411" t="s">
        <v>57</v>
      </c>
      <c r="E411" t="s">
        <v>20</v>
      </c>
      <c r="F411" s="5">
        <v>43411</v>
      </c>
      <c r="G411" s="5">
        <v>43551</v>
      </c>
      <c r="H411" s="6">
        <v>0.61111111111111105</v>
      </c>
      <c r="I411" t="s">
        <v>14</v>
      </c>
      <c r="J411" t="s">
        <v>335</v>
      </c>
      <c r="K411" t="s">
        <v>38</v>
      </c>
      <c r="M411" t="s">
        <v>80</v>
      </c>
      <c r="N411" t="str">
        <v>Destino</v>
      </c>
      <c r="O411" t="str">
        <v>LA GOMERA</v>
      </c>
      <c r="P411" t="str">
        <v>GMZ</v>
      </c>
      <c r="Q411" t="str">
        <v>09:30:00</v>
      </c>
      <c r="R411" t="str">
        <v>AT7</v>
      </c>
      <c r="S411" t="str">
        <v xml:space="preserve">  IBB651</v>
      </c>
      <c r="T411" t="str">
        <v>ESPAÑA</v>
      </c>
      <c r="U411" t="str">
        <v/>
      </c>
      <c r="V411" t="str">
        <v>TFN</v>
      </c>
      <c r="W411" t="str">
        <v>08/02/2019</v>
      </c>
      <c r="X411">
        <v>72</v>
      </c>
      <c r="Y411" t="str">
        <v>Aerospatiale/Alenia ATR72</v>
      </c>
    </row>
    <row r="412" spans="1:25" x14ac:dyDescent="0.25">
      <c r="A412" t="s">
        <v>1436</v>
      </c>
      <c r="B412" t="s">
        <v>0</v>
      </c>
      <c r="C412" t="s">
        <v>56</v>
      </c>
      <c r="D412" t="s">
        <v>57</v>
      </c>
      <c r="E412" t="s">
        <v>22</v>
      </c>
      <c r="F412" s="5">
        <v>43477</v>
      </c>
      <c r="G412" s="5">
        <v>43547</v>
      </c>
      <c r="H412" s="6">
        <v>0.61805555555555558</v>
      </c>
      <c r="I412" t="s">
        <v>14</v>
      </c>
      <c r="J412" t="s">
        <v>335</v>
      </c>
      <c r="K412" t="s">
        <v>38</v>
      </c>
      <c r="M412" t="s">
        <v>80</v>
      </c>
      <c r="N412" t="str">
        <v>Destino</v>
      </c>
      <c r="O412" t="str">
        <v>LA GOMERA</v>
      </c>
      <c r="P412" t="str">
        <v>GMZ</v>
      </c>
      <c r="Q412" t="str">
        <v>09:30:00</v>
      </c>
      <c r="R412" t="str">
        <v>AT7</v>
      </c>
      <c r="S412" t="str">
        <v xml:space="preserve">  IBB651</v>
      </c>
      <c r="T412" t="str">
        <v>ESPAÑA</v>
      </c>
      <c r="U412" t="str">
        <v/>
      </c>
      <c r="V412" t="str">
        <v>TFN</v>
      </c>
      <c r="W412" t="str">
        <v>07/02/2019</v>
      </c>
      <c r="X412">
        <v>72</v>
      </c>
      <c r="Y412" t="str">
        <v>Aerospatiale/Alenia ATR72</v>
      </c>
    </row>
    <row r="413" spans="1:25" x14ac:dyDescent="0.25">
      <c r="A413" t="s">
        <v>1436</v>
      </c>
      <c r="B413" t="s">
        <v>0</v>
      </c>
      <c r="C413" t="s">
        <v>56</v>
      </c>
      <c r="D413" t="s">
        <v>57</v>
      </c>
      <c r="E413" t="s">
        <v>59</v>
      </c>
      <c r="F413" s="5">
        <v>43514</v>
      </c>
      <c r="G413" s="5">
        <v>43549</v>
      </c>
      <c r="H413" s="6">
        <v>0.63888888888888895</v>
      </c>
      <c r="I413">
        <v>320</v>
      </c>
      <c r="J413" t="s">
        <v>336</v>
      </c>
      <c r="K413" t="s">
        <v>38</v>
      </c>
      <c r="M413" t="s">
        <v>80</v>
      </c>
      <c r="N413" t="str">
        <v>Destino</v>
      </c>
      <c r="O413" t="str">
        <v>LA GOMERA</v>
      </c>
      <c r="P413" t="str">
        <v>GMZ</v>
      </c>
      <c r="Q413" t="str">
        <v>09:30:00</v>
      </c>
      <c r="R413" t="str">
        <v>AT7</v>
      </c>
      <c r="S413" t="str">
        <v xml:space="preserve">  IBB651</v>
      </c>
      <c r="T413" t="str">
        <v>ESPAÑA</v>
      </c>
      <c r="U413" t="str">
        <v/>
      </c>
      <c r="V413" t="str">
        <v>TFN</v>
      </c>
      <c r="W413" t="str">
        <v>10/02/2019</v>
      </c>
      <c r="X413">
        <v>72</v>
      </c>
      <c r="Y413" t="str">
        <v>Aerospatiale/Alenia ATR72</v>
      </c>
    </row>
    <row r="414" spans="1:25" x14ac:dyDescent="0.25">
      <c r="A414" t="s">
        <v>1436</v>
      </c>
      <c r="B414" t="s">
        <v>0</v>
      </c>
      <c r="C414" t="s">
        <v>56</v>
      </c>
      <c r="D414" t="s">
        <v>57</v>
      </c>
      <c r="E414" t="s">
        <v>20</v>
      </c>
      <c r="F414" s="5">
        <v>43509</v>
      </c>
      <c r="G414" s="5">
        <v>43544</v>
      </c>
      <c r="H414" s="6">
        <v>0.64930555555555558</v>
      </c>
      <c r="I414" t="s">
        <v>39</v>
      </c>
      <c r="J414" t="s">
        <v>336</v>
      </c>
      <c r="K414" t="s">
        <v>38</v>
      </c>
      <c r="M414" t="s">
        <v>80</v>
      </c>
      <c r="N414" t="str">
        <v>Destino</v>
      </c>
      <c r="O414" t="str">
        <v>LA GOMERA</v>
      </c>
      <c r="P414" t="str">
        <v>GMZ</v>
      </c>
      <c r="Q414" t="str">
        <v>09:30:00</v>
      </c>
      <c r="R414" t="str">
        <v>AT7</v>
      </c>
      <c r="S414" t="str">
        <v xml:space="preserve">  IBB651</v>
      </c>
      <c r="T414" t="str">
        <v>ESPAÑA</v>
      </c>
      <c r="U414" t="str">
        <v/>
      </c>
      <c r="V414" t="str">
        <v>TFN</v>
      </c>
      <c r="W414" t="str">
        <v>09/02/2019</v>
      </c>
      <c r="X414">
        <v>72</v>
      </c>
      <c r="Y414" t="str">
        <v>Aerospatiale/Alenia ATR72</v>
      </c>
    </row>
    <row r="415" spans="1:25" x14ac:dyDescent="0.25">
      <c r="A415" t="s">
        <v>1436</v>
      </c>
      <c r="B415" t="s">
        <v>0</v>
      </c>
      <c r="C415" t="s">
        <v>56</v>
      </c>
      <c r="D415" t="s">
        <v>57</v>
      </c>
      <c r="E415" t="s">
        <v>22</v>
      </c>
      <c r="F415" s="5">
        <v>43456</v>
      </c>
      <c r="G415" s="5">
        <v>43554</v>
      </c>
      <c r="H415" s="6">
        <v>0.73958333333333337</v>
      </c>
      <c r="I415">
        <v>320</v>
      </c>
      <c r="J415" t="s">
        <v>1494</v>
      </c>
      <c r="K415" t="s">
        <v>38</v>
      </c>
      <c r="M415" t="s">
        <v>80</v>
      </c>
      <c r="N415" t="str">
        <v>Destino</v>
      </c>
      <c r="O415" t="str">
        <v>LA GOMERA</v>
      </c>
      <c r="P415" t="str">
        <v>GMZ</v>
      </c>
      <c r="Q415" t="str">
        <v>17:00:00</v>
      </c>
      <c r="R415" t="str">
        <v>AT7</v>
      </c>
      <c r="S415" t="str">
        <v xml:space="preserve">  IBB653</v>
      </c>
      <c r="T415" t="str">
        <v>ESPAÑA</v>
      </c>
      <c r="U415" t="str">
        <v/>
      </c>
      <c r="V415" t="str">
        <v>TFN</v>
      </c>
      <c r="W415" t="str">
        <v>06/02/2019</v>
      </c>
      <c r="X415">
        <v>72</v>
      </c>
      <c r="Y415" t="str">
        <v>Aerospatiale/Alenia ATR72</v>
      </c>
    </row>
    <row r="416" spans="1:25" x14ac:dyDescent="0.25">
      <c r="A416" t="s">
        <v>1436</v>
      </c>
      <c r="B416" t="s">
        <v>0</v>
      </c>
      <c r="C416" t="s">
        <v>56</v>
      </c>
      <c r="D416" t="s">
        <v>57</v>
      </c>
      <c r="E416" t="s">
        <v>59</v>
      </c>
      <c r="F416" s="5">
        <v>43472</v>
      </c>
      <c r="G416" s="5">
        <v>43549</v>
      </c>
      <c r="H416" s="6">
        <v>0.76041666666666663</v>
      </c>
      <c r="I416" t="s">
        <v>14</v>
      </c>
      <c r="J416" t="s">
        <v>334</v>
      </c>
      <c r="K416" t="s">
        <v>38</v>
      </c>
      <c r="M416" t="s">
        <v>80</v>
      </c>
      <c r="N416" t="str">
        <v>Destino</v>
      </c>
      <c r="O416" t="str">
        <v>LA GOMERA</v>
      </c>
      <c r="P416" t="str">
        <v>GMZ</v>
      </c>
      <c r="Q416" t="str">
        <v>17:00:00</v>
      </c>
      <c r="R416" t="str">
        <v>AT7</v>
      </c>
      <c r="S416" t="str">
        <v xml:space="preserve">  IBB653</v>
      </c>
      <c r="T416" t="str">
        <v>ESPAÑA</v>
      </c>
      <c r="U416" t="str">
        <v/>
      </c>
      <c r="V416" t="str">
        <v>TFN</v>
      </c>
      <c r="W416" t="str">
        <v>05/02/2019</v>
      </c>
      <c r="X416">
        <v>72</v>
      </c>
      <c r="Y416" t="str">
        <v>Aerospatiale/Alenia ATR72</v>
      </c>
    </row>
    <row r="417" spans="1:25" x14ac:dyDescent="0.25">
      <c r="A417" t="s">
        <v>1436</v>
      </c>
      <c r="B417" t="s">
        <v>0</v>
      </c>
      <c r="C417" t="s">
        <v>63</v>
      </c>
      <c r="D417" t="s">
        <v>64</v>
      </c>
      <c r="E417" t="s">
        <v>59</v>
      </c>
      <c r="F417" s="5">
        <v>43500</v>
      </c>
      <c r="G417" s="5">
        <v>43514</v>
      </c>
      <c r="H417" s="6">
        <v>0.47569444444444442</v>
      </c>
      <c r="I417" t="s">
        <v>106</v>
      </c>
      <c r="J417" t="s">
        <v>337</v>
      </c>
      <c r="K417" t="s">
        <v>66</v>
      </c>
      <c r="L417" t="s">
        <v>275</v>
      </c>
      <c r="M417" t="s">
        <v>80</v>
      </c>
      <c r="N417" t="str">
        <v>Destino</v>
      </c>
      <c r="O417" t="str">
        <v>LA GOMERA</v>
      </c>
      <c r="P417" t="str">
        <v>GMZ</v>
      </c>
      <c r="Q417" t="str">
        <v>17:00:00</v>
      </c>
      <c r="R417" t="str">
        <v>AT7</v>
      </c>
      <c r="S417" t="str">
        <v xml:space="preserve">  IBB653</v>
      </c>
      <c r="T417" t="str">
        <v>ESPAÑA</v>
      </c>
      <c r="U417" t="str">
        <v/>
      </c>
      <c r="V417" t="str">
        <v>TFN</v>
      </c>
      <c r="W417" t="str">
        <v>04/02/2019</v>
      </c>
      <c r="X417">
        <v>72</v>
      </c>
      <c r="Y417" t="str">
        <v>Aerospatiale/Alenia ATR72</v>
      </c>
    </row>
    <row r="418" spans="1:25" x14ac:dyDescent="0.25">
      <c r="A418" t="s">
        <v>1436</v>
      </c>
      <c r="B418" t="s">
        <v>0</v>
      </c>
      <c r="C418" t="s">
        <v>67</v>
      </c>
      <c r="D418" t="s">
        <v>68</v>
      </c>
      <c r="E418" t="s">
        <v>13</v>
      </c>
      <c r="F418" s="5">
        <v>43510</v>
      </c>
      <c r="G418" s="5">
        <v>43552</v>
      </c>
      <c r="H418" s="6">
        <v>0.4513888888888889</v>
      </c>
      <c r="I418">
        <v>319</v>
      </c>
      <c r="J418" t="s">
        <v>338</v>
      </c>
      <c r="K418" t="s">
        <v>45</v>
      </c>
      <c r="M418" t="s">
        <v>80</v>
      </c>
      <c r="N418" t="str">
        <v>Destino</v>
      </c>
      <c r="O418" t="str">
        <v>LA GOMERA</v>
      </c>
      <c r="P418" t="str">
        <v>GMZ</v>
      </c>
      <c r="Q418" t="str">
        <v>17:00:00</v>
      </c>
      <c r="R418" t="str">
        <v>AT7</v>
      </c>
      <c r="S418" t="str">
        <v xml:space="preserve">  IBB653</v>
      </c>
      <c r="T418" t="str">
        <v>ESPAÑA</v>
      </c>
      <c r="U418" t="str">
        <v/>
      </c>
      <c r="V418" t="str">
        <v>TFN</v>
      </c>
      <c r="W418" t="str">
        <v>08/02/2019</v>
      </c>
      <c r="X418">
        <v>72</v>
      </c>
      <c r="Y418" t="str">
        <v>Aerospatiale/Alenia ATR72</v>
      </c>
    </row>
    <row r="419" spans="1:25" x14ac:dyDescent="0.25">
      <c r="A419" t="s">
        <v>1436</v>
      </c>
      <c r="B419" t="s">
        <v>0</v>
      </c>
      <c r="C419" t="s">
        <v>67</v>
      </c>
      <c r="D419" t="s">
        <v>68</v>
      </c>
      <c r="E419" t="s">
        <v>22</v>
      </c>
      <c r="F419" s="5">
        <v>43491</v>
      </c>
      <c r="G419" s="5">
        <v>43554</v>
      </c>
      <c r="H419" s="6">
        <v>0.56597222222222221</v>
      </c>
      <c r="I419">
        <v>319</v>
      </c>
      <c r="J419" t="s">
        <v>338</v>
      </c>
      <c r="K419" t="s">
        <v>45</v>
      </c>
      <c r="M419" t="s">
        <v>80</v>
      </c>
      <c r="N419" t="str">
        <v>Destino</v>
      </c>
      <c r="O419" t="str">
        <v>LA GOMERA</v>
      </c>
      <c r="P419" t="str">
        <v>GMZ</v>
      </c>
      <c r="Q419" t="str">
        <v>17:00:00</v>
      </c>
      <c r="R419" t="str">
        <v>AT7</v>
      </c>
      <c r="S419" t="str">
        <v xml:space="preserve">  IBB653</v>
      </c>
      <c r="T419" t="str">
        <v>ESPAÑA</v>
      </c>
      <c r="U419" t="str">
        <v/>
      </c>
      <c r="V419" t="str">
        <v>TFN</v>
      </c>
      <c r="W419" t="str">
        <v>07/02/2019</v>
      </c>
      <c r="X419">
        <v>72</v>
      </c>
      <c r="Y419" t="str">
        <v>Aerospatiale/Alenia ATR72</v>
      </c>
    </row>
    <row r="420" spans="1:25" x14ac:dyDescent="0.25">
      <c r="A420" t="s">
        <v>1436</v>
      </c>
      <c r="B420" t="s">
        <v>0</v>
      </c>
      <c r="C420" t="s">
        <v>67</v>
      </c>
      <c r="D420" t="s">
        <v>68</v>
      </c>
      <c r="E420" t="s">
        <v>59</v>
      </c>
      <c r="F420" s="5">
        <v>43472</v>
      </c>
      <c r="G420" s="5">
        <v>43549</v>
      </c>
      <c r="H420" s="6">
        <v>0.6875</v>
      </c>
      <c r="I420">
        <v>319</v>
      </c>
      <c r="J420" t="s">
        <v>338</v>
      </c>
      <c r="K420" t="s">
        <v>45</v>
      </c>
      <c r="M420" t="s">
        <v>80</v>
      </c>
      <c r="N420" t="str">
        <v>Destino</v>
      </c>
      <c r="O420" t="str">
        <v>LA GOMERA</v>
      </c>
      <c r="P420" t="str">
        <v>GMZ</v>
      </c>
      <c r="Q420" t="str">
        <v>17:00:00</v>
      </c>
      <c r="R420" t="str">
        <v>AT7</v>
      </c>
      <c r="S420" t="str">
        <v xml:space="preserve">  IBB653</v>
      </c>
      <c r="T420" t="str">
        <v>ESPAÑA</v>
      </c>
      <c r="U420" t="str">
        <v/>
      </c>
      <c r="V420" t="str">
        <v>TFN</v>
      </c>
      <c r="W420" t="str">
        <v>10/02/2019</v>
      </c>
      <c r="X420">
        <v>72</v>
      </c>
      <c r="Y420" t="str">
        <v>Aerospatiale/Alenia ATR72</v>
      </c>
    </row>
    <row r="421" spans="1:25" x14ac:dyDescent="0.25">
      <c r="A421" t="s">
        <v>1436</v>
      </c>
      <c r="B421" t="s">
        <v>0</v>
      </c>
      <c r="C421" t="s">
        <v>70</v>
      </c>
      <c r="D421" t="s">
        <v>71</v>
      </c>
      <c r="E421" t="s">
        <v>20</v>
      </c>
      <c r="F421" s="5">
        <v>43404</v>
      </c>
      <c r="G421" s="5">
        <v>43551</v>
      </c>
      <c r="H421" s="6">
        <v>0.53472222222222221</v>
      </c>
      <c r="I421">
        <v>320</v>
      </c>
      <c r="J421" t="s">
        <v>339</v>
      </c>
      <c r="K421" t="s">
        <v>38</v>
      </c>
      <c r="M421" t="s">
        <v>80</v>
      </c>
      <c r="N421" t="str">
        <v>Destino</v>
      </c>
      <c r="O421" t="str">
        <v>LA GOMERA</v>
      </c>
      <c r="P421" t="str">
        <v>GMZ</v>
      </c>
      <c r="Q421" t="str">
        <v>17:00:00</v>
      </c>
      <c r="R421" t="str">
        <v>AT7</v>
      </c>
      <c r="S421" t="str">
        <v xml:space="preserve">  IBB653</v>
      </c>
      <c r="T421" t="str">
        <v>ESPAÑA</v>
      </c>
      <c r="U421" t="str">
        <v/>
      </c>
      <c r="V421" t="str">
        <v>TFN</v>
      </c>
      <c r="W421" t="str">
        <v>09/02/2019</v>
      </c>
      <c r="X421">
        <v>72</v>
      </c>
      <c r="Y421" t="str">
        <v>Aerospatiale/Alenia ATR72</v>
      </c>
    </row>
    <row r="422" spans="1:25" x14ac:dyDescent="0.25">
      <c r="A422" t="s">
        <v>1436</v>
      </c>
      <c r="B422" t="s">
        <v>0</v>
      </c>
      <c r="C422" t="s">
        <v>70</v>
      </c>
      <c r="D422" t="s">
        <v>71</v>
      </c>
      <c r="E422" t="s">
        <v>22</v>
      </c>
      <c r="F422" s="5">
        <v>43407</v>
      </c>
      <c r="G422" s="5">
        <v>43554</v>
      </c>
      <c r="H422" s="6">
        <v>0.76388888888888884</v>
      </c>
      <c r="I422">
        <v>320</v>
      </c>
      <c r="J422" t="s">
        <v>339</v>
      </c>
      <c r="K422" t="s">
        <v>38</v>
      </c>
      <c r="M422" t="s">
        <v>80</v>
      </c>
      <c r="N422" t="str">
        <v>Destino</v>
      </c>
      <c r="O422" t="str">
        <v>LA PALMA /STA.CRUZ DE LA PALMA</v>
      </c>
      <c r="P422" t="str">
        <v>SPC</v>
      </c>
      <c r="Q422" t="str">
        <v>07:30:00</v>
      </c>
      <c r="R422" t="str">
        <v>AT7</v>
      </c>
      <c r="S422" t="str">
        <v xml:space="preserve">  IBB605</v>
      </c>
      <c r="T422" t="str">
        <v>ESPAÑA</v>
      </c>
      <c r="U422" t="str">
        <v/>
      </c>
      <c r="V422" t="str">
        <v>TFN</v>
      </c>
      <c r="W422" t="str">
        <v>06/02/2019</v>
      </c>
      <c r="X422">
        <v>72</v>
      </c>
      <c r="Y422" t="str">
        <v>Aerospatiale/Alenia ATR72</v>
      </c>
    </row>
    <row r="423" spans="1:25" x14ac:dyDescent="0.25">
      <c r="A423" t="s">
        <v>1436</v>
      </c>
      <c r="B423" t="s">
        <v>0</v>
      </c>
      <c r="C423" t="s">
        <v>70</v>
      </c>
      <c r="D423" t="s">
        <v>71</v>
      </c>
      <c r="E423" t="s">
        <v>22</v>
      </c>
      <c r="F423" s="5">
        <v>43456</v>
      </c>
      <c r="G423" s="5">
        <v>43554</v>
      </c>
      <c r="H423" s="6">
        <v>0.78472222222222221</v>
      </c>
      <c r="I423" t="s">
        <v>39</v>
      </c>
      <c r="J423" t="s">
        <v>1239</v>
      </c>
      <c r="K423" t="s">
        <v>38</v>
      </c>
      <c r="M423" t="s">
        <v>80</v>
      </c>
      <c r="N423" t="str">
        <v>Destino</v>
      </c>
      <c r="O423" t="str">
        <v>LA PALMA /STA.CRUZ DE LA PALMA</v>
      </c>
      <c r="P423" t="str">
        <v>SPC</v>
      </c>
      <c r="Q423" t="str">
        <v>07:30:00</v>
      </c>
      <c r="R423" t="str">
        <v>AT7</v>
      </c>
      <c r="S423" t="str">
        <v xml:space="preserve">  IBB605</v>
      </c>
      <c r="T423" t="str">
        <v>ESPAÑA</v>
      </c>
      <c r="U423" t="str">
        <v/>
      </c>
      <c r="V423" t="str">
        <v>TFN</v>
      </c>
      <c r="W423" t="str">
        <v>05/02/2019</v>
      </c>
      <c r="X423">
        <v>72</v>
      </c>
      <c r="Y423" t="str">
        <v>Aerospatiale/Alenia ATR72</v>
      </c>
    </row>
    <row r="424" spans="1:25" x14ac:dyDescent="0.25">
      <c r="A424" t="s">
        <v>1436</v>
      </c>
      <c r="B424" t="s">
        <v>0</v>
      </c>
      <c r="C424" t="s">
        <v>76</v>
      </c>
      <c r="D424" t="s">
        <v>77</v>
      </c>
      <c r="E424" t="s">
        <v>20</v>
      </c>
      <c r="F424" s="5">
        <v>43509</v>
      </c>
      <c r="G424" s="5">
        <v>43516</v>
      </c>
      <c r="H424" s="6">
        <v>0.50347222222222221</v>
      </c>
      <c r="I424" t="s">
        <v>698</v>
      </c>
      <c r="J424" t="s">
        <v>1446</v>
      </c>
      <c r="K424" t="s">
        <v>79</v>
      </c>
      <c r="M424" t="s">
        <v>80</v>
      </c>
      <c r="N424" t="str">
        <v>Destino</v>
      </c>
      <c r="O424" t="str">
        <v>LA PALMA /STA.CRUZ DE LA PALMA</v>
      </c>
      <c r="P424" t="str">
        <v>SPC</v>
      </c>
      <c r="Q424" t="str">
        <v>07:30:00</v>
      </c>
      <c r="R424" t="str">
        <v>AT7</v>
      </c>
      <c r="S424" t="str">
        <v xml:space="preserve">  IBB605</v>
      </c>
      <c r="T424" t="str">
        <v>ESPAÑA</v>
      </c>
      <c r="U424" t="str">
        <v/>
      </c>
      <c r="V424" t="str">
        <v>TFN</v>
      </c>
      <c r="W424" t="str">
        <v>04/02/2019</v>
      </c>
      <c r="X424">
        <v>72</v>
      </c>
      <c r="Y424" t="str">
        <v>Aerospatiale/Alenia ATR72</v>
      </c>
    </row>
    <row r="425" spans="1:25" x14ac:dyDescent="0.25">
      <c r="A425" t="s">
        <v>1436</v>
      </c>
      <c r="B425" t="s">
        <v>0</v>
      </c>
      <c r="C425" t="s">
        <v>76</v>
      </c>
      <c r="D425" t="s">
        <v>77</v>
      </c>
      <c r="E425" t="s">
        <v>22</v>
      </c>
      <c r="F425" s="5">
        <v>43407</v>
      </c>
      <c r="G425" s="5">
        <v>43554</v>
      </c>
      <c r="H425" s="6">
        <v>0.61111111111111105</v>
      </c>
      <c r="I425">
        <v>320</v>
      </c>
      <c r="J425" t="s">
        <v>1495</v>
      </c>
      <c r="K425" t="s">
        <v>79</v>
      </c>
      <c r="L425" t="s">
        <v>503</v>
      </c>
      <c r="M425" t="s">
        <v>80</v>
      </c>
      <c r="N425" t="str">
        <v>Destino</v>
      </c>
      <c r="O425" t="str">
        <v>LA PALMA /STA.CRUZ DE LA PALMA</v>
      </c>
      <c r="P425" t="str">
        <v>SPC</v>
      </c>
      <c r="Q425" t="str">
        <v>07:30:00</v>
      </c>
      <c r="R425" t="str">
        <v>AT7</v>
      </c>
      <c r="S425" t="str">
        <v xml:space="preserve">  IBB605</v>
      </c>
      <c r="T425" t="str">
        <v>ESPAÑA</v>
      </c>
      <c r="U425" t="str">
        <v/>
      </c>
      <c r="V425" t="str">
        <v>TFN</v>
      </c>
      <c r="W425" t="str">
        <v>08/02/2019</v>
      </c>
      <c r="X425">
        <v>72</v>
      </c>
      <c r="Y425" t="str">
        <v>Aerospatiale/Alenia ATR72</v>
      </c>
    </row>
    <row r="426" spans="1:25" x14ac:dyDescent="0.25">
      <c r="A426" t="s">
        <v>1436</v>
      </c>
      <c r="B426" t="s">
        <v>0</v>
      </c>
      <c r="C426" t="s">
        <v>76</v>
      </c>
      <c r="D426" t="s">
        <v>77</v>
      </c>
      <c r="E426" t="s">
        <v>22</v>
      </c>
      <c r="F426" s="5">
        <v>43477</v>
      </c>
      <c r="G426" s="5">
        <v>43519</v>
      </c>
      <c r="H426" s="6">
        <v>0.82986111111111116</v>
      </c>
      <c r="I426" t="s">
        <v>81</v>
      </c>
      <c r="J426" t="s">
        <v>1496</v>
      </c>
      <c r="K426" t="s">
        <v>79</v>
      </c>
      <c r="M426" t="s">
        <v>80</v>
      </c>
      <c r="N426" t="str">
        <v>Destino</v>
      </c>
      <c r="O426" t="str">
        <v>LA PALMA /STA.CRUZ DE LA PALMA</v>
      </c>
      <c r="P426" t="str">
        <v>SPC</v>
      </c>
      <c r="Q426" t="str">
        <v>07:30:00</v>
      </c>
      <c r="R426" t="str">
        <v>AT7</v>
      </c>
      <c r="S426" t="str">
        <v xml:space="preserve">  IBB605</v>
      </c>
      <c r="T426" t="str">
        <v>ESPAÑA</v>
      </c>
      <c r="U426" t="str">
        <v/>
      </c>
      <c r="V426" t="str">
        <v>TFN</v>
      </c>
      <c r="W426" t="str">
        <v>07/02/2019</v>
      </c>
      <c r="X426">
        <v>72</v>
      </c>
      <c r="Y426" t="str">
        <v>Aerospatiale/Alenia ATR72</v>
      </c>
    </row>
    <row r="427" spans="1:25" x14ac:dyDescent="0.25">
      <c r="A427" t="s">
        <v>1436</v>
      </c>
      <c r="B427" t="s">
        <v>0</v>
      </c>
      <c r="C427" t="s">
        <v>82</v>
      </c>
      <c r="D427" t="s">
        <v>83</v>
      </c>
      <c r="E427" t="s">
        <v>22</v>
      </c>
      <c r="F427" s="5">
        <v>43407</v>
      </c>
      <c r="G427" s="5">
        <v>43554</v>
      </c>
      <c r="H427" s="6">
        <v>0.72916666666666663</v>
      </c>
      <c r="I427" t="s">
        <v>14</v>
      </c>
      <c r="J427" t="s">
        <v>340</v>
      </c>
      <c r="K427" t="s">
        <v>79</v>
      </c>
      <c r="M427" t="s">
        <v>80</v>
      </c>
      <c r="N427" t="str">
        <v>Destino</v>
      </c>
      <c r="O427" t="str">
        <v>LA PALMA /STA.CRUZ DE LA PALMA</v>
      </c>
      <c r="P427" t="str">
        <v>SPC</v>
      </c>
      <c r="Q427" t="str">
        <v>07:30:00</v>
      </c>
      <c r="R427" t="str">
        <v>AT7</v>
      </c>
      <c r="S427" t="str">
        <v xml:space="preserve">  IBB605</v>
      </c>
      <c r="T427" t="str">
        <v>ESPAÑA</v>
      </c>
      <c r="U427" t="str">
        <v/>
      </c>
      <c r="V427" t="str">
        <v>TFN</v>
      </c>
      <c r="W427" t="str">
        <v>10/02/2019</v>
      </c>
      <c r="X427">
        <v>72</v>
      </c>
      <c r="Y427" t="str">
        <v>Aerospatiale/Alenia ATR72</v>
      </c>
    </row>
    <row r="428" spans="1:25" x14ac:dyDescent="0.25">
      <c r="A428" t="s">
        <v>1436</v>
      </c>
      <c r="B428" t="s">
        <v>0</v>
      </c>
      <c r="C428" t="s">
        <v>341</v>
      </c>
      <c r="D428" t="s">
        <v>342</v>
      </c>
      <c r="E428" t="s">
        <v>18</v>
      </c>
      <c r="F428" s="5">
        <v>43401</v>
      </c>
      <c r="G428" s="5">
        <v>43548</v>
      </c>
      <c r="H428" s="6">
        <v>0.84722222222222221</v>
      </c>
      <c r="I428">
        <v>320</v>
      </c>
      <c r="J428" t="s">
        <v>343</v>
      </c>
      <c r="K428" t="s">
        <v>344</v>
      </c>
      <c r="M428" t="s">
        <v>80</v>
      </c>
      <c r="N428" t="str">
        <v>Destino</v>
      </c>
      <c r="O428" t="str">
        <v>LA PALMA /STA.CRUZ DE LA PALMA</v>
      </c>
      <c r="P428" t="str">
        <v>SPC</v>
      </c>
      <c r="Q428" t="str">
        <v>07:30:00</v>
      </c>
      <c r="R428" t="str">
        <v>AT7</v>
      </c>
      <c r="S428" t="str">
        <v xml:space="preserve">  IBB605</v>
      </c>
      <c r="T428" t="str">
        <v>ESPAÑA</v>
      </c>
      <c r="U428" t="str">
        <v/>
      </c>
      <c r="V428" t="str">
        <v>TFN</v>
      </c>
      <c r="W428" t="str">
        <v>09/02/2019</v>
      </c>
      <c r="X428">
        <v>72</v>
      </c>
      <c r="Y428" t="str">
        <v>Aerospatiale/Alenia ATR72</v>
      </c>
    </row>
    <row r="429" spans="1:25" x14ac:dyDescent="0.25">
      <c r="A429" t="s">
        <v>1436</v>
      </c>
      <c r="B429" t="s">
        <v>0</v>
      </c>
      <c r="C429" t="s">
        <v>986</v>
      </c>
      <c r="D429" t="s">
        <v>987</v>
      </c>
      <c r="E429" t="s">
        <v>18</v>
      </c>
      <c r="F429" s="5">
        <v>43478</v>
      </c>
      <c r="G429" s="5">
        <v>43534</v>
      </c>
      <c r="H429" s="6">
        <v>0.38194444444444442</v>
      </c>
      <c r="I429">
        <v>319</v>
      </c>
      <c r="J429" t="s">
        <v>1835</v>
      </c>
      <c r="K429" t="s">
        <v>221</v>
      </c>
      <c r="M429" t="s">
        <v>80</v>
      </c>
      <c r="N429" t="str">
        <v>Destino</v>
      </c>
      <c r="O429" t="str">
        <v>LA PALMA /STA.CRUZ DE LA PALMA</v>
      </c>
      <c r="P429" t="str">
        <v>SPC</v>
      </c>
      <c r="Q429" t="str">
        <v>07:40:00</v>
      </c>
      <c r="R429" t="str">
        <v>AT7</v>
      </c>
      <c r="S429" t="str">
        <v xml:space="preserve">  AEA9461</v>
      </c>
      <c r="T429" t="str">
        <v>ESPAÑA</v>
      </c>
      <c r="U429" t="str">
        <v/>
      </c>
      <c r="V429" t="str">
        <v>TFN</v>
      </c>
      <c r="W429" t="str">
        <v>06/02/2019</v>
      </c>
      <c r="X429">
        <v>72</v>
      </c>
      <c r="Y429" t="str">
        <v>Aerospatiale/Alenia ATR72</v>
      </c>
    </row>
    <row r="430" spans="1:25" x14ac:dyDescent="0.25">
      <c r="A430" t="s">
        <v>1436</v>
      </c>
      <c r="B430" t="s">
        <v>0</v>
      </c>
      <c r="C430" t="s">
        <v>1232</v>
      </c>
      <c r="D430" t="s">
        <v>128</v>
      </c>
      <c r="E430" t="s">
        <v>13</v>
      </c>
      <c r="F430" s="5">
        <v>43461</v>
      </c>
      <c r="G430" s="5">
        <v>43552</v>
      </c>
      <c r="H430" s="6">
        <v>0.53819444444444442</v>
      </c>
      <c r="I430" t="s">
        <v>14</v>
      </c>
      <c r="J430" t="s">
        <v>1497</v>
      </c>
      <c r="K430" t="s">
        <v>129</v>
      </c>
      <c r="M430" t="s">
        <v>80</v>
      </c>
      <c r="N430" t="str">
        <v>Destino</v>
      </c>
      <c r="O430" t="str">
        <v>LA PALMA /STA.CRUZ DE LA PALMA</v>
      </c>
      <c r="P430" t="str">
        <v>SPC</v>
      </c>
      <c r="Q430" t="str">
        <v>07:40:00</v>
      </c>
      <c r="R430" t="str">
        <v>AT7</v>
      </c>
      <c r="S430" t="str">
        <v xml:space="preserve">  AEA9461</v>
      </c>
      <c r="T430" t="str">
        <v>ESPAÑA</v>
      </c>
      <c r="U430" t="str">
        <v/>
      </c>
      <c r="V430" t="str">
        <v>TFN</v>
      </c>
      <c r="W430" t="str">
        <v>08/02/2019</v>
      </c>
      <c r="X430">
        <v>72</v>
      </c>
      <c r="Y430" t="str">
        <v>Aerospatiale/Alenia ATR72</v>
      </c>
    </row>
    <row r="431" spans="1:25" x14ac:dyDescent="0.25">
      <c r="A431" t="s">
        <v>1436</v>
      </c>
      <c r="B431" t="s">
        <v>0</v>
      </c>
      <c r="C431" t="s">
        <v>88</v>
      </c>
      <c r="D431" t="s">
        <v>89</v>
      </c>
      <c r="E431" t="s">
        <v>22</v>
      </c>
      <c r="F431" s="5">
        <v>43449</v>
      </c>
      <c r="G431" s="5">
        <v>43554</v>
      </c>
      <c r="H431" s="6">
        <v>0.34722222222222227</v>
      </c>
      <c r="I431" t="s">
        <v>106</v>
      </c>
      <c r="J431" t="s">
        <v>345</v>
      </c>
      <c r="K431" t="s">
        <v>45</v>
      </c>
      <c r="M431" t="s">
        <v>80</v>
      </c>
      <c r="N431" t="str">
        <v>Destino</v>
      </c>
      <c r="O431" t="str">
        <v>LA PALMA /STA.CRUZ DE LA PALMA</v>
      </c>
      <c r="P431" t="str">
        <v>SPC</v>
      </c>
      <c r="Q431" t="str">
        <v>07:40:00</v>
      </c>
      <c r="R431" t="str">
        <v>AT7</v>
      </c>
      <c r="S431" t="str">
        <v xml:space="preserve">  AEA9461</v>
      </c>
      <c r="T431" t="str">
        <v>ESPAÑA</v>
      </c>
      <c r="U431" t="str">
        <v/>
      </c>
      <c r="V431" t="str">
        <v>TFN</v>
      </c>
      <c r="W431" t="str">
        <v>10/02/2019</v>
      </c>
      <c r="X431">
        <v>72</v>
      </c>
      <c r="Y431" t="str">
        <v>Aerospatiale/Alenia ATR72</v>
      </c>
    </row>
    <row r="432" spans="1:25" x14ac:dyDescent="0.25">
      <c r="A432" t="s">
        <v>1436</v>
      </c>
      <c r="B432" t="s">
        <v>0</v>
      </c>
      <c r="C432" t="s">
        <v>88</v>
      </c>
      <c r="D432" t="s">
        <v>89</v>
      </c>
      <c r="E432" t="s">
        <v>59</v>
      </c>
      <c r="F432" s="5">
        <v>43500</v>
      </c>
      <c r="G432" s="5">
        <v>43549</v>
      </c>
      <c r="H432" s="6">
        <v>0.43402777777777773</v>
      </c>
      <c r="I432" t="s">
        <v>106</v>
      </c>
      <c r="J432" t="s">
        <v>345</v>
      </c>
      <c r="K432" t="s">
        <v>45</v>
      </c>
      <c r="M432" t="s">
        <v>80</v>
      </c>
      <c r="N432" t="str">
        <v>Destino</v>
      </c>
      <c r="O432" t="str">
        <v>LA PALMA /STA.CRUZ DE LA PALMA</v>
      </c>
      <c r="P432" t="str">
        <v>SPC</v>
      </c>
      <c r="Q432" t="str">
        <v>07:40:00</v>
      </c>
      <c r="R432" t="str">
        <v>AT7</v>
      </c>
      <c r="S432" t="str">
        <v xml:space="preserve">  AEA9461</v>
      </c>
      <c r="T432" t="str">
        <v>ESPAÑA</v>
      </c>
      <c r="U432" t="str">
        <v/>
      </c>
      <c r="V432" t="str">
        <v>TFN</v>
      </c>
      <c r="W432" t="str">
        <v>09/02/2019</v>
      </c>
      <c r="X432">
        <v>72</v>
      </c>
      <c r="Y432" t="str">
        <v>Aerospatiale/Alenia ATR72</v>
      </c>
    </row>
    <row r="433" spans="1:25" x14ac:dyDescent="0.25">
      <c r="A433" t="s">
        <v>1436</v>
      </c>
      <c r="B433" t="s">
        <v>0</v>
      </c>
      <c r="C433" t="s">
        <v>88</v>
      </c>
      <c r="D433" t="s">
        <v>89</v>
      </c>
      <c r="E433" t="s">
        <v>19</v>
      </c>
      <c r="F433" s="5">
        <v>43410</v>
      </c>
      <c r="G433" s="5">
        <v>43550</v>
      </c>
      <c r="H433" s="6">
        <v>0.60416666666666663</v>
      </c>
      <c r="I433" t="s">
        <v>14</v>
      </c>
      <c r="J433" t="s">
        <v>1498</v>
      </c>
      <c r="K433" t="s">
        <v>45</v>
      </c>
      <c r="M433" t="s">
        <v>80</v>
      </c>
      <c r="N433" t="str">
        <v>Destino</v>
      </c>
      <c r="O433" t="str">
        <v>LA PALMA /STA.CRUZ DE LA PALMA</v>
      </c>
      <c r="P433" t="str">
        <v>SPC</v>
      </c>
      <c r="Q433" t="str">
        <v>07:40:00</v>
      </c>
      <c r="R433" t="str">
        <v>AT7</v>
      </c>
      <c r="S433" t="str">
        <v xml:space="preserve">  AEA9461</v>
      </c>
      <c r="T433" t="str">
        <v>ESPAÑA</v>
      </c>
      <c r="U433" t="str">
        <v/>
      </c>
      <c r="V433" t="str">
        <v>TFN</v>
      </c>
      <c r="W433" t="str">
        <v>04/02/2019</v>
      </c>
      <c r="X433">
        <v>72</v>
      </c>
      <c r="Y433" t="str">
        <v>Aerospatiale/Alenia ATR72</v>
      </c>
    </row>
    <row r="434" spans="1:25" x14ac:dyDescent="0.25">
      <c r="A434" t="s">
        <v>1436</v>
      </c>
      <c r="B434" t="s">
        <v>0</v>
      </c>
      <c r="C434" t="s">
        <v>88</v>
      </c>
      <c r="D434" t="s">
        <v>89</v>
      </c>
      <c r="E434" t="s">
        <v>22</v>
      </c>
      <c r="F434" s="5">
        <v>43414</v>
      </c>
      <c r="G434" s="5">
        <v>43554</v>
      </c>
      <c r="H434" s="6">
        <v>0.60763888888888895</v>
      </c>
      <c r="I434">
        <v>319</v>
      </c>
      <c r="J434" t="s">
        <v>1498</v>
      </c>
      <c r="K434" t="s">
        <v>45</v>
      </c>
      <c r="M434" t="s">
        <v>80</v>
      </c>
      <c r="N434" t="str">
        <v>Destino</v>
      </c>
      <c r="O434" t="str">
        <v>LA PALMA /STA.CRUZ DE LA PALMA</v>
      </c>
      <c r="P434" t="str">
        <v>SPC</v>
      </c>
      <c r="Q434" t="str">
        <v>07:40:00</v>
      </c>
      <c r="R434" t="str">
        <v>AT7</v>
      </c>
      <c r="S434" t="str">
        <v xml:space="preserve">  AEA9461</v>
      </c>
      <c r="T434" t="str">
        <v>ESPAÑA</v>
      </c>
      <c r="U434" t="str">
        <v/>
      </c>
      <c r="V434" t="str">
        <v>TFN</v>
      </c>
      <c r="W434" t="str">
        <v>07/02/2019</v>
      </c>
      <c r="X434">
        <v>72</v>
      </c>
      <c r="Y434" t="str">
        <v>Aerospatiale/Alenia ATR72</v>
      </c>
    </row>
    <row r="435" spans="1:25" x14ac:dyDescent="0.25">
      <c r="A435" t="s">
        <v>1436</v>
      </c>
      <c r="B435" t="s">
        <v>0</v>
      </c>
      <c r="C435" t="s">
        <v>346</v>
      </c>
      <c r="D435" t="s">
        <v>347</v>
      </c>
      <c r="E435" t="s">
        <v>22</v>
      </c>
      <c r="F435" s="5">
        <v>43505</v>
      </c>
      <c r="G435" s="5">
        <v>43554</v>
      </c>
      <c r="H435" s="6">
        <v>0.70486111111111116</v>
      </c>
      <c r="I435" t="s">
        <v>81</v>
      </c>
      <c r="J435" t="s">
        <v>348</v>
      </c>
      <c r="K435" t="s">
        <v>45</v>
      </c>
      <c r="M435" t="s">
        <v>80</v>
      </c>
      <c r="N435" t="str">
        <v>Destino</v>
      </c>
      <c r="O435" t="str">
        <v>LA PALMA /STA.CRUZ DE LA PALMA</v>
      </c>
      <c r="P435" t="str">
        <v>SPC</v>
      </c>
      <c r="Q435" t="str">
        <v>07:40:00</v>
      </c>
      <c r="R435" t="str">
        <v>AT7</v>
      </c>
      <c r="S435" t="str">
        <v xml:space="preserve">  AEA9461</v>
      </c>
      <c r="T435" t="str">
        <v>ESPAÑA</v>
      </c>
      <c r="U435" t="str">
        <v/>
      </c>
      <c r="V435" t="str">
        <v>TFN</v>
      </c>
      <c r="W435" t="str">
        <v>05/02/2019</v>
      </c>
      <c r="X435">
        <v>72</v>
      </c>
      <c r="Y435" t="str">
        <v>Aerospatiale/Alenia ATR72</v>
      </c>
    </row>
    <row r="436" spans="1:25" x14ac:dyDescent="0.25">
      <c r="A436" t="s">
        <v>1436</v>
      </c>
      <c r="B436" t="s">
        <v>0</v>
      </c>
      <c r="C436" t="s">
        <v>346</v>
      </c>
      <c r="D436" t="s">
        <v>347</v>
      </c>
      <c r="E436" t="s">
        <v>59</v>
      </c>
      <c r="F436" s="5">
        <v>43472</v>
      </c>
      <c r="G436" s="5">
        <v>43549</v>
      </c>
      <c r="H436" s="6">
        <v>0.72222222222222221</v>
      </c>
      <c r="I436" t="s">
        <v>81</v>
      </c>
      <c r="J436" t="s">
        <v>348</v>
      </c>
      <c r="K436" t="s">
        <v>45</v>
      </c>
      <c r="M436" t="s">
        <v>80</v>
      </c>
      <c r="N436" t="str">
        <v>Destino</v>
      </c>
      <c r="O436" t="str">
        <v>LA PALMA /STA.CRUZ DE LA PALMA</v>
      </c>
      <c r="P436" t="str">
        <v>SPC</v>
      </c>
      <c r="Q436" t="str">
        <v>07:50:00</v>
      </c>
      <c r="R436" t="str">
        <v>AT7</v>
      </c>
      <c r="S436" t="str">
        <v xml:space="preserve">  CNF412</v>
      </c>
      <c r="T436" t="str">
        <v>ESPAÑA</v>
      </c>
      <c r="U436" t="str">
        <v/>
      </c>
      <c r="V436" t="str">
        <v>TFN</v>
      </c>
      <c r="W436" t="str">
        <v>06/02/2019</v>
      </c>
      <c r="X436">
        <v>72</v>
      </c>
      <c r="Y436" t="str">
        <v>Aerospatiale/Alenia ATR72</v>
      </c>
    </row>
    <row r="437" spans="1:25" x14ac:dyDescent="0.25">
      <c r="A437" t="s">
        <v>1436</v>
      </c>
      <c r="B437" t="s">
        <v>0</v>
      </c>
      <c r="C437" t="s">
        <v>96</v>
      </c>
      <c r="D437" t="s">
        <v>97</v>
      </c>
      <c r="E437" t="s">
        <v>190</v>
      </c>
      <c r="F437" s="5">
        <v>43406</v>
      </c>
      <c r="G437" s="5">
        <v>43554</v>
      </c>
      <c r="H437" s="6">
        <v>0.79861111111111116</v>
      </c>
      <c r="I437" t="s">
        <v>14</v>
      </c>
      <c r="J437" t="s">
        <v>350</v>
      </c>
      <c r="K437" t="s">
        <v>93</v>
      </c>
      <c r="M437" t="s">
        <v>80</v>
      </c>
      <c r="N437" t="str">
        <v>Destino</v>
      </c>
      <c r="O437" t="str">
        <v>LA PALMA /STA.CRUZ DE LA PALMA</v>
      </c>
      <c r="P437" t="str">
        <v>SPC</v>
      </c>
      <c r="Q437" t="str">
        <v>07:50:00</v>
      </c>
      <c r="R437" t="str">
        <v>AT7</v>
      </c>
      <c r="S437" t="str">
        <v xml:space="preserve">  CNF412</v>
      </c>
      <c r="T437" t="str">
        <v>ESPAÑA</v>
      </c>
      <c r="U437" t="str">
        <v/>
      </c>
      <c r="V437" t="str">
        <v>TFN</v>
      </c>
      <c r="W437" t="str">
        <v>05/02/2019</v>
      </c>
      <c r="X437">
        <v>72</v>
      </c>
      <c r="Y437" t="str">
        <v>Aerospatiale/Alenia ATR72</v>
      </c>
    </row>
    <row r="438" spans="1:25" x14ac:dyDescent="0.25">
      <c r="A438" t="s">
        <v>1436</v>
      </c>
      <c r="B438" t="s">
        <v>0</v>
      </c>
      <c r="C438" t="s">
        <v>96</v>
      </c>
      <c r="D438" t="s">
        <v>97</v>
      </c>
      <c r="E438" t="s">
        <v>19</v>
      </c>
      <c r="F438" s="5">
        <v>43466</v>
      </c>
      <c r="G438" s="5">
        <v>43550</v>
      </c>
      <c r="H438" s="6">
        <v>0.79861111111111116</v>
      </c>
      <c r="I438">
        <v>320</v>
      </c>
      <c r="J438" t="s">
        <v>349</v>
      </c>
      <c r="K438" t="s">
        <v>93</v>
      </c>
      <c r="M438" t="s">
        <v>80</v>
      </c>
      <c r="N438" t="str">
        <v>Destino</v>
      </c>
      <c r="O438" t="str">
        <v>LA PALMA /STA.CRUZ DE LA PALMA</v>
      </c>
      <c r="P438" t="str">
        <v>SPC</v>
      </c>
      <c r="Q438" t="str">
        <v>07:50:00</v>
      </c>
      <c r="R438" t="str">
        <v>AT7</v>
      </c>
      <c r="S438" t="str">
        <v xml:space="preserve">  CNF412</v>
      </c>
      <c r="T438" t="str">
        <v>ESPAÑA</v>
      </c>
      <c r="U438" t="str">
        <v/>
      </c>
      <c r="V438" t="str">
        <v>TFN</v>
      </c>
      <c r="W438" t="str">
        <v>04/02/2019</v>
      </c>
      <c r="X438">
        <v>72</v>
      </c>
      <c r="Y438" t="str">
        <v>Aerospatiale/Alenia ATR72</v>
      </c>
    </row>
    <row r="439" spans="1:25" x14ac:dyDescent="0.25">
      <c r="A439" t="s">
        <v>1436</v>
      </c>
      <c r="B439" t="s">
        <v>0</v>
      </c>
      <c r="C439" t="s">
        <v>96</v>
      </c>
      <c r="D439" t="s">
        <v>97</v>
      </c>
      <c r="E439" t="s">
        <v>59</v>
      </c>
      <c r="F439" s="5">
        <v>43472</v>
      </c>
      <c r="G439" s="5">
        <v>43549</v>
      </c>
      <c r="H439" s="6">
        <v>0.79861111111111116</v>
      </c>
      <c r="I439" t="s">
        <v>14</v>
      </c>
      <c r="J439" t="s">
        <v>350</v>
      </c>
      <c r="K439" t="s">
        <v>93</v>
      </c>
      <c r="M439" t="s">
        <v>80</v>
      </c>
      <c r="N439" t="str">
        <v>Destino</v>
      </c>
      <c r="O439" t="str">
        <v>LA PALMA /STA.CRUZ DE LA PALMA</v>
      </c>
      <c r="P439" t="str">
        <v>SPC</v>
      </c>
      <c r="Q439" t="str">
        <v>07:50:00</v>
      </c>
      <c r="R439" t="str">
        <v>AT7</v>
      </c>
      <c r="S439" t="str">
        <v xml:space="preserve">  CNF412</v>
      </c>
      <c r="T439" t="str">
        <v>ESPAÑA</v>
      </c>
      <c r="U439" t="str">
        <v/>
      </c>
      <c r="V439" t="str">
        <v>TFN</v>
      </c>
      <c r="W439" t="str">
        <v>08/02/2019</v>
      </c>
      <c r="X439">
        <v>72</v>
      </c>
      <c r="Y439" t="str">
        <v>Aerospatiale/Alenia ATR72</v>
      </c>
    </row>
    <row r="440" spans="1:25" x14ac:dyDescent="0.25">
      <c r="A440" t="s">
        <v>1436</v>
      </c>
      <c r="B440" t="s">
        <v>0</v>
      </c>
      <c r="C440" t="s">
        <v>96</v>
      </c>
      <c r="D440" t="s">
        <v>97</v>
      </c>
      <c r="E440" t="s">
        <v>22</v>
      </c>
      <c r="F440" s="5">
        <v>43407</v>
      </c>
      <c r="G440" s="5">
        <v>43554</v>
      </c>
      <c r="H440" s="6">
        <v>0.80555555555555547</v>
      </c>
      <c r="I440">
        <v>320</v>
      </c>
      <c r="J440" t="s">
        <v>349</v>
      </c>
      <c r="K440" t="s">
        <v>93</v>
      </c>
      <c r="M440" t="s">
        <v>80</v>
      </c>
      <c r="N440" t="str">
        <v>Destino</v>
      </c>
      <c r="O440" t="str">
        <v>LA PALMA /STA.CRUZ DE LA PALMA</v>
      </c>
      <c r="P440" t="str">
        <v>SPC</v>
      </c>
      <c r="Q440" t="str">
        <v>07:50:00</v>
      </c>
      <c r="R440" t="str">
        <v>AT7</v>
      </c>
      <c r="S440" t="str">
        <v xml:space="preserve">  CNF412</v>
      </c>
      <c r="T440" t="str">
        <v>ESPAÑA</v>
      </c>
      <c r="U440" t="str">
        <v/>
      </c>
      <c r="V440" t="str">
        <v>TFN</v>
      </c>
      <c r="W440" t="str">
        <v>10/02/2019</v>
      </c>
      <c r="X440">
        <v>72</v>
      </c>
      <c r="Y440" t="str">
        <v>Aerospatiale/Alenia ATR72</v>
      </c>
    </row>
    <row r="441" spans="1:25" x14ac:dyDescent="0.25">
      <c r="A441" t="s">
        <v>1436</v>
      </c>
      <c r="B441" t="s">
        <v>0</v>
      </c>
      <c r="C441" t="s">
        <v>102</v>
      </c>
      <c r="D441" t="s">
        <v>103</v>
      </c>
      <c r="E441" t="s">
        <v>59</v>
      </c>
      <c r="F441" s="5">
        <v>43402</v>
      </c>
      <c r="G441" s="5">
        <v>43549</v>
      </c>
      <c r="H441" s="6">
        <v>0.43055555555555558</v>
      </c>
      <c r="I441" t="s">
        <v>14</v>
      </c>
      <c r="J441" t="s">
        <v>1499</v>
      </c>
      <c r="K441" t="s">
        <v>45</v>
      </c>
      <c r="M441" t="s">
        <v>80</v>
      </c>
      <c r="N441" t="str">
        <v>Destino</v>
      </c>
      <c r="O441" t="str">
        <v>LA PALMA /STA.CRUZ DE LA PALMA</v>
      </c>
      <c r="P441" t="str">
        <v>SPC</v>
      </c>
      <c r="Q441" t="str">
        <v>07:50:00</v>
      </c>
      <c r="R441" t="str">
        <v>AT7</v>
      </c>
      <c r="S441" t="str">
        <v xml:space="preserve">  CNF412</v>
      </c>
      <c r="T441" t="str">
        <v>ESPAÑA</v>
      </c>
      <c r="U441" t="str">
        <v/>
      </c>
      <c r="V441" t="str">
        <v>TFN</v>
      </c>
      <c r="W441" t="str">
        <v>09/02/2019</v>
      </c>
      <c r="X441">
        <v>72</v>
      </c>
      <c r="Y441" t="str">
        <v>Aerospatiale/Alenia ATR72</v>
      </c>
    </row>
    <row r="442" spans="1:25" x14ac:dyDescent="0.25">
      <c r="A442" t="s">
        <v>1436</v>
      </c>
      <c r="B442" t="s">
        <v>0</v>
      </c>
      <c r="C442" t="s">
        <v>102</v>
      </c>
      <c r="D442" t="s">
        <v>103</v>
      </c>
      <c r="E442" t="s">
        <v>59</v>
      </c>
      <c r="F442" s="5">
        <v>43416</v>
      </c>
      <c r="G442" s="5">
        <v>43514</v>
      </c>
      <c r="H442" s="6">
        <v>0.4375</v>
      </c>
      <c r="I442" t="s">
        <v>106</v>
      </c>
      <c r="J442" t="s">
        <v>351</v>
      </c>
      <c r="K442" t="s">
        <v>45</v>
      </c>
      <c r="M442" t="s">
        <v>80</v>
      </c>
      <c r="N442" t="str">
        <v>Destino</v>
      </c>
      <c r="O442" t="str">
        <v>LA PALMA /STA.CRUZ DE LA PALMA</v>
      </c>
      <c r="P442" t="str">
        <v>SPC</v>
      </c>
      <c r="Q442" t="str">
        <v>07:50:00</v>
      </c>
      <c r="R442" t="str">
        <v>AT7</v>
      </c>
      <c r="S442" t="str">
        <v xml:space="preserve">  CNF412</v>
      </c>
      <c r="T442" t="str">
        <v>ESPAÑA</v>
      </c>
      <c r="U442" t="str">
        <v/>
      </c>
      <c r="V442" t="str">
        <v>TFN</v>
      </c>
      <c r="W442" t="str">
        <v>07/02/2019</v>
      </c>
      <c r="X442">
        <v>72</v>
      </c>
      <c r="Y442" t="str">
        <v>Aerospatiale/Alenia ATR72</v>
      </c>
    </row>
    <row r="443" spans="1:25" x14ac:dyDescent="0.25">
      <c r="A443" t="s">
        <v>1436</v>
      </c>
      <c r="B443" t="s">
        <v>0</v>
      </c>
      <c r="C443" t="s">
        <v>102</v>
      </c>
      <c r="D443" t="s">
        <v>103</v>
      </c>
      <c r="E443" t="s">
        <v>20</v>
      </c>
      <c r="F443" s="5">
        <v>43453</v>
      </c>
      <c r="G443" s="5">
        <v>43551</v>
      </c>
      <c r="H443" s="6">
        <v>0.4375</v>
      </c>
      <c r="I443" t="s">
        <v>106</v>
      </c>
      <c r="J443" t="s">
        <v>351</v>
      </c>
      <c r="K443" t="s">
        <v>45</v>
      </c>
      <c r="M443" t="s">
        <v>80</v>
      </c>
      <c r="N443" t="str">
        <v>Destino</v>
      </c>
      <c r="O443" t="str">
        <v>LA PALMA /STA.CRUZ DE LA PALMA</v>
      </c>
      <c r="P443" t="str">
        <v>SPC</v>
      </c>
      <c r="Q443" t="str">
        <v>08:00:00</v>
      </c>
      <c r="R443" t="str">
        <v>AT7</v>
      </c>
      <c r="S443" t="str">
        <v xml:space="preserve">  IBB607</v>
      </c>
      <c r="T443" t="str">
        <v>ESPAÑA</v>
      </c>
      <c r="U443" t="str">
        <v/>
      </c>
      <c r="V443" t="str">
        <v>TFN</v>
      </c>
      <c r="W443" t="str">
        <v>06/02/2019</v>
      </c>
      <c r="X443">
        <v>72</v>
      </c>
      <c r="Y443" t="str">
        <v>Aerospatiale/Alenia ATR72</v>
      </c>
    </row>
    <row r="444" spans="1:25" x14ac:dyDescent="0.25">
      <c r="A444" t="s">
        <v>1436</v>
      </c>
      <c r="B444" t="s">
        <v>0</v>
      </c>
      <c r="C444" t="s">
        <v>102</v>
      </c>
      <c r="D444" t="s">
        <v>103</v>
      </c>
      <c r="E444" t="s">
        <v>22</v>
      </c>
      <c r="F444" s="5">
        <v>43498</v>
      </c>
      <c r="G444" s="5">
        <v>43519</v>
      </c>
      <c r="H444" s="6">
        <v>0.4375</v>
      </c>
      <c r="I444" t="s">
        <v>106</v>
      </c>
      <c r="J444" t="s">
        <v>351</v>
      </c>
      <c r="K444" t="s">
        <v>45</v>
      </c>
      <c r="M444" t="s">
        <v>80</v>
      </c>
      <c r="N444" t="str">
        <v>Destino</v>
      </c>
      <c r="O444" t="str">
        <v>LA PALMA /STA.CRUZ DE LA PALMA</v>
      </c>
      <c r="P444" t="str">
        <v>SPC</v>
      </c>
      <c r="Q444" t="str">
        <v>08:00:00</v>
      </c>
      <c r="R444" t="str">
        <v>AT7</v>
      </c>
      <c r="S444" t="str">
        <v xml:space="preserve">  IBB607</v>
      </c>
      <c r="T444" t="str">
        <v>ESPAÑA</v>
      </c>
      <c r="U444" t="str">
        <v/>
      </c>
      <c r="V444" t="str">
        <v>TFN</v>
      </c>
      <c r="W444" t="str">
        <v>08/02/2019</v>
      </c>
      <c r="X444">
        <v>72</v>
      </c>
      <c r="Y444" t="str">
        <v>Aerospatiale/Alenia ATR72</v>
      </c>
    </row>
    <row r="445" spans="1:25" x14ac:dyDescent="0.25">
      <c r="A445" t="s">
        <v>1436</v>
      </c>
      <c r="B445" t="s">
        <v>0</v>
      </c>
      <c r="C445" t="s">
        <v>102</v>
      </c>
      <c r="D445" t="s">
        <v>103</v>
      </c>
      <c r="E445" t="s">
        <v>672</v>
      </c>
      <c r="F445" s="5">
        <v>43402</v>
      </c>
      <c r="G445" s="5">
        <v>43554</v>
      </c>
      <c r="H445" s="6">
        <v>0.51736111111111105</v>
      </c>
      <c r="I445" t="s">
        <v>352</v>
      </c>
      <c r="J445" t="s">
        <v>353</v>
      </c>
      <c r="K445" t="s">
        <v>45</v>
      </c>
      <c r="M445" t="s">
        <v>80</v>
      </c>
      <c r="N445" t="str">
        <v>Destino</v>
      </c>
      <c r="O445" t="str">
        <v>LA PALMA /STA.CRUZ DE LA PALMA</v>
      </c>
      <c r="P445" t="str">
        <v>SPC</v>
      </c>
      <c r="Q445" t="str">
        <v>08:00:00</v>
      </c>
      <c r="R445" t="str">
        <v>AT7</v>
      </c>
      <c r="S445" t="str">
        <v xml:space="preserve">  IBB607</v>
      </c>
      <c r="T445" t="str">
        <v>ESPAÑA</v>
      </c>
      <c r="U445" t="str">
        <v/>
      </c>
      <c r="V445" t="str">
        <v>TFN</v>
      </c>
      <c r="W445" t="str">
        <v>07/02/2019</v>
      </c>
      <c r="X445">
        <v>72</v>
      </c>
      <c r="Y445" t="str">
        <v>Aerospatiale/Alenia ATR72</v>
      </c>
    </row>
    <row r="446" spans="1:25" x14ac:dyDescent="0.25">
      <c r="A446" t="s">
        <v>1436</v>
      </c>
      <c r="B446" t="s">
        <v>0</v>
      </c>
      <c r="C446" t="s">
        <v>102</v>
      </c>
      <c r="D446" t="s">
        <v>103</v>
      </c>
      <c r="E446" t="s">
        <v>13</v>
      </c>
      <c r="F446" s="5">
        <v>43496</v>
      </c>
      <c r="G446" s="5">
        <v>43552</v>
      </c>
      <c r="H446" s="6">
        <v>0.51736111111111105</v>
      </c>
      <c r="I446" t="s">
        <v>352</v>
      </c>
      <c r="J446" t="s">
        <v>353</v>
      </c>
      <c r="K446" t="s">
        <v>45</v>
      </c>
      <c r="M446" t="s">
        <v>80</v>
      </c>
      <c r="N446" t="str">
        <v>Destino</v>
      </c>
      <c r="O446" t="str">
        <v>LA PALMA /STA.CRUZ DE LA PALMA</v>
      </c>
      <c r="P446" t="str">
        <v>SPC</v>
      </c>
      <c r="Q446" t="str">
        <v>08:00:00</v>
      </c>
      <c r="R446" t="str">
        <v>AT7</v>
      </c>
      <c r="S446" t="str">
        <v xml:space="preserve">  IBB607</v>
      </c>
      <c r="T446" t="str">
        <v>ESPAÑA</v>
      </c>
      <c r="U446" t="str">
        <v/>
      </c>
      <c r="V446" t="str">
        <v>TFN</v>
      </c>
      <c r="W446" t="str">
        <v>09/02/2019</v>
      </c>
      <c r="X446">
        <v>72</v>
      </c>
      <c r="Y446" t="str">
        <v>Aerospatiale/Alenia ATR72</v>
      </c>
    </row>
    <row r="447" spans="1:25" x14ac:dyDescent="0.25">
      <c r="A447" t="s">
        <v>1436</v>
      </c>
      <c r="B447" t="s">
        <v>0</v>
      </c>
      <c r="C447" t="s">
        <v>102</v>
      </c>
      <c r="D447" t="s">
        <v>103</v>
      </c>
      <c r="E447" t="s">
        <v>13</v>
      </c>
      <c r="F447" s="5">
        <v>43496</v>
      </c>
      <c r="G447" s="5">
        <v>43524</v>
      </c>
      <c r="H447" s="6">
        <v>0.54513888888888895</v>
      </c>
      <c r="I447" t="s">
        <v>39</v>
      </c>
      <c r="J447" t="s">
        <v>354</v>
      </c>
      <c r="K447" t="s">
        <v>45</v>
      </c>
      <c r="M447" t="s">
        <v>80</v>
      </c>
      <c r="N447" t="str">
        <v>Destino</v>
      </c>
      <c r="O447" t="str">
        <v>LA PALMA /STA.CRUZ DE LA PALMA</v>
      </c>
      <c r="P447" t="str">
        <v>SPC</v>
      </c>
      <c r="Q447" t="str">
        <v>08:00:00</v>
      </c>
      <c r="R447" t="str">
        <v>AT7</v>
      </c>
      <c r="S447" t="str">
        <v xml:space="preserve">  IBB607</v>
      </c>
      <c r="T447" t="str">
        <v>ESPAÑA</v>
      </c>
      <c r="U447" t="str">
        <v/>
      </c>
      <c r="V447" t="str">
        <v>TFN</v>
      </c>
      <c r="W447" t="str">
        <v>05/02/2019</v>
      </c>
      <c r="X447">
        <v>72</v>
      </c>
      <c r="Y447" t="str">
        <v>Aerospatiale/Alenia ATR72</v>
      </c>
    </row>
    <row r="448" spans="1:25" x14ac:dyDescent="0.25">
      <c r="A448" t="s">
        <v>1436</v>
      </c>
      <c r="B448" t="s">
        <v>0</v>
      </c>
      <c r="C448" t="s">
        <v>102</v>
      </c>
      <c r="D448" t="s">
        <v>103</v>
      </c>
      <c r="E448" t="s">
        <v>22</v>
      </c>
      <c r="F448" s="5">
        <v>43512</v>
      </c>
      <c r="G448" s="5">
        <v>43540</v>
      </c>
      <c r="H448" s="6">
        <v>0.62847222222222221</v>
      </c>
      <c r="I448" t="s">
        <v>104</v>
      </c>
      <c r="J448" t="s">
        <v>354</v>
      </c>
      <c r="K448" t="s">
        <v>45</v>
      </c>
      <c r="M448" t="s">
        <v>80</v>
      </c>
      <c r="N448" t="str">
        <v>Destino</v>
      </c>
      <c r="O448" t="str">
        <v>LA PALMA /STA.CRUZ DE LA PALMA</v>
      </c>
      <c r="P448" t="str">
        <v>SPC</v>
      </c>
      <c r="Q448" t="str">
        <v>08:00:00</v>
      </c>
      <c r="R448" t="str">
        <v>AT7</v>
      </c>
      <c r="S448" t="str">
        <v xml:space="preserve">  IBB607</v>
      </c>
      <c r="T448" t="str">
        <v>ESPAÑA</v>
      </c>
      <c r="U448" t="str">
        <v/>
      </c>
      <c r="V448" t="str">
        <v>TFN</v>
      </c>
      <c r="W448" t="str">
        <v>04/02/2019</v>
      </c>
      <c r="X448">
        <v>72</v>
      </c>
      <c r="Y448" t="str">
        <v>Aerospatiale/Alenia ATR72</v>
      </c>
    </row>
    <row r="449" spans="1:25" x14ac:dyDescent="0.25">
      <c r="A449" t="s">
        <v>1436</v>
      </c>
      <c r="B449" t="s">
        <v>0</v>
      </c>
      <c r="C449" t="s">
        <v>102</v>
      </c>
      <c r="D449" t="s">
        <v>103</v>
      </c>
      <c r="E449" t="s">
        <v>22</v>
      </c>
      <c r="F449" s="5">
        <v>43407</v>
      </c>
      <c r="G449" s="5">
        <v>43554</v>
      </c>
      <c r="H449" s="6">
        <v>0.70486111111111116</v>
      </c>
      <c r="I449">
        <v>320</v>
      </c>
      <c r="J449" t="s">
        <v>1499</v>
      </c>
      <c r="K449" t="s">
        <v>45</v>
      </c>
      <c r="M449" t="s">
        <v>80</v>
      </c>
      <c r="N449" t="str">
        <v>Destino</v>
      </c>
      <c r="O449" t="str">
        <v>LA PALMA /STA.CRUZ DE LA PALMA</v>
      </c>
      <c r="P449" t="str">
        <v>SPC</v>
      </c>
      <c r="Q449" t="str">
        <v>08:00:00</v>
      </c>
      <c r="R449" t="str">
        <v>AT7</v>
      </c>
      <c r="S449" t="str">
        <v xml:space="preserve">  IBB607</v>
      </c>
      <c r="T449" t="str">
        <v>ESPAÑA</v>
      </c>
      <c r="U449" t="str">
        <v/>
      </c>
      <c r="V449" t="str">
        <v>TFN</v>
      </c>
      <c r="W449" t="str">
        <v>10/02/2019</v>
      </c>
      <c r="X449">
        <v>72</v>
      </c>
      <c r="Y449" t="str">
        <v>Aerospatiale/Alenia ATR72</v>
      </c>
    </row>
    <row r="450" spans="1:25" x14ac:dyDescent="0.25">
      <c r="A450" t="s">
        <v>1436</v>
      </c>
      <c r="B450" t="s">
        <v>0</v>
      </c>
      <c r="C450" t="s">
        <v>102</v>
      </c>
      <c r="D450" t="s">
        <v>103</v>
      </c>
      <c r="E450" t="s">
        <v>13</v>
      </c>
      <c r="F450" s="5">
        <v>43405</v>
      </c>
      <c r="G450" s="5">
        <v>43552</v>
      </c>
      <c r="H450" s="6">
        <v>0.71875</v>
      </c>
      <c r="I450">
        <v>320</v>
      </c>
      <c r="J450" t="s">
        <v>1499</v>
      </c>
      <c r="K450" t="s">
        <v>45</v>
      </c>
      <c r="M450" t="s">
        <v>80</v>
      </c>
      <c r="N450" t="str">
        <v>Destino</v>
      </c>
      <c r="O450" t="str">
        <v>LA PALMA /STA.CRUZ DE LA PALMA</v>
      </c>
      <c r="P450" t="str">
        <v>SPC</v>
      </c>
      <c r="Q450" t="str">
        <v>09:00:00</v>
      </c>
      <c r="R450" t="str">
        <v>AT7</v>
      </c>
      <c r="S450" t="str">
        <v xml:space="preserve">  IBB611</v>
      </c>
      <c r="T450" t="str">
        <v>ESPAÑA</v>
      </c>
      <c r="U450" t="str">
        <v/>
      </c>
      <c r="V450" t="str">
        <v>TFN</v>
      </c>
      <c r="W450" t="str">
        <v>08/02/2019</v>
      </c>
      <c r="X450">
        <v>72</v>
      </c>
      <c r="Y450" t="str">
        <v>Aerospatiale/Alenia ATR72</v>
      </c>
    </row>
    <row r="451" spans="1:25" x14ac:dyDescent="0.25">
      <c r="A451" t="s">
        <v>1436</v>
      </c>
      <c r="B451" t="s">
        <v>0</v>
      </c>
      <c r="C451" t="s">
        <v>102</v>
      </c>
      <c r="D451" t="s">
        <v>103</v>
      </c>
      <c r="E451" t="s">
        <v>48</v>
      </c>
      <c r="F451" s="5">
        <v>43504</v>
      </c>
      <c r="G451" s="5">
        <v>43553</v>
      </c>
      <c r="H451" s="6">
        <v>0.73611111111111116</v>
      </c>
      <c r="I451" t="s">
        <v>106</v>
      </c>
      <c r="J451" t="s">
        <v>351</v>
      </c>
      <c r="K451" t="s">
        <v>45</v>
      </c>
      <c r="M451" t="s">
        <v>80</v>
      </c>
      <c r="N451" t="str">
        <v>Destino</v>
      </c>
      <c r="O451" t="str">
        <v>LA PALMA /STA.CRUZ DE LA PALMA</v>
      </c>
      <c r="P451" t="str">
        <v>SPC</v>
      </c>
      <c r="Q451" t="str">
        <v>09:00:00</v>
      </c>
      <c r="R451" t="str">
        <v>AT7</v>
      </c>
      <c r="S451" t="str">
        <v xml:space="preserve">  IBB611</v>
      </c>
      <c r="T451" t="str">
        <v>ESPAÑA</v>
      </c>
      <c r="U451" t="str">
        <v/>
      </c>
      <c r="V451" t="str">
        <v>TFN</v>
      </c>
      <c r="W451" t="str">
        <v>09/02/2019</v>
      </c>
      <c r="X451">
        <v>72</v>
      </c>
      <c r="Y451" t="str">
        <v>Aerospatiale/Alenia ATR72</v>
      </c>
    </row>
    <row r="452" spans="1:25" x14ac:dyDescent="0.25">
      <c r="A452" t="s">
        <v>1436</v>
      </c>
      <c r="B452" t="s">
        <v>0</v>
      </c>
      <c r="C452" t="s">
        <v>107</v>
      </c>
      <c r="D452" t="s">
        <v>108</v>
      </c>
      <c r="E452" t="s">
        <v>111</v>
      </c>
      <c r="F452" s="5">
        <v>43401</v>
      </c>
      <c r="G452" s="5">
        <v>43552</v>
      </c>
      <c r="H452" s="6">
        <v>0.5</v>
      </c>
      <c r="I452" t="s">
        <v>14</v>
      </c>
      <c r="J452" t="s">
        <v>355</v>
      </c>
      <c r="K452" t="s">
        <v>38</v>
      </c>
      <c r="M452" t="s">
        <v>80</v>
      </c>
      <c r="N452" t="str">
        <v>Destino</v>
      </c>
      <c r="O452" t="str">
        <v>LA PALMA /STA.CRUZ DE LA PALMA</v>
      </c>
      <c r="P452" t="str">
        <v>SPC</v>
      </c>
      <c r="Q452" t="str">
        <v>09:00:00</v>
      </c>
      <c r="R452" t="str">
        <v>AT7</v>
      </c>
      <c r="S452" t="str">
        <v xml:space="preserve">  IBB611</v>
      </c>
      <c r="T452" t="str">
        <v>ESPAÑA</v>
      </c>
      <c r="U452" t="str">
        <v/>
      </c>
      <c r="V452" t="str">
        <v>TFN</v>
      </c>
      <c r="W452" t="str">
        <v>04/02/2019</v>
      </c>
      <c r="X452">
        <v>72</v>
      </c>
      <c r="Y452" t="str">
        <v>Aerospatiale/Alenia ATR72</v>
      </c>
    </row>
    <row r="453" spans="1:25" x14ac:dyDescent="0.25">
      <c r="A453" t="s">
        <v>1436</v>
      </c>
      <c r="B453" t="s">
        <v>0</v>
      </c>
      <c r="C453" t="s">
        <v>107</v>
      </c>
      <c r="D453" t="s">
        <v>108</v>
      </c>
      <c r="E453" t="s">
        <v>22</v>
      </c>
      <c r="F453" s="5">
        <v>43407</v>
      </c>
      <c r="G453" s="5">
        <v>43554</v>
      </c>
      <c r="H453" s="6">
        <v>0.60416666666666663</v>
      </c>
      <c r="I453" t="s">
        <v>39</v>
      </c>
      <c r="J453" t="s">
        <v>357</v>
      </c>
      <c r="K453" t="s">
        <v>38</v>
      </c>
      <c r="M453" t="s">
        <v>80</v>
      </c>
      <c r="N453" t="str">
        <v>Destino</v>
      </c>
      <c r="O453" t="str">
        <v>LA PALMA /STA.CRUZ DE LA PALMA</v>
      </c>
      <c r="P453" t="str">
        <v>SPC</v>
      </c>
      <c r="Q453" t="str">
        <v>09:00:00</v>
      </c>
      <c r="R453" t="str">
        <v>AT7</v>
      </c>
      <c r="S453" t="str">
        <v xml:space="preserve">  IBB611</v>
      </c>
      <c r="T453" t="str">
        <v>ESPAÑA</v>
      </c>
      <c r="U453" t="str">
        <v/>
      </c>
      <c r="V453" t="str">
        <v>TFN</v>
      </c>
      <c r="W453" t="str">
        <v>05/02/2019</v>
      </c>
      <c r="X453">
        <v>72</v>
      </c>
      <c r="Y453" t="str">
        <v>Aerospatiale/Alenia ATR72</v>
      </c>
    </row>
    <row r="454" spans="1:25" x14ac:dyDescent="0.25">
      <c r="A454" t="s">
        <v>1436</v>
      </c>
      <c r="B454" t="s">
        <v>0</v>
      </c>
      <c r="C454" t="s">
        <v>107</v>
      </c>
      <c r="D454" t="s">
        <v>108</v>
      </c>
      <c r="E454" t="s">
        <v>20</v>
      </c>
      <c r="F454" s="5">
        <v>43509</v>
      </c>
      <c r="G454" s="5">
        <v>43551</v>
      </c>
      <c r="H454" s="6">
        <v>0.63888888888888895</v>
      </c>
      <c r="I454" t="s">
        <v>39</v>
      </c>
      <c r="J454" t="s">
        <v>1500</v>
      </c>
      <c r="K454" t="s">
        <v>38</v>
      </c>
      <c r="M454" t="s">
        <v>80</v>
      </c>
      <c r="N454" t="str">
        <v>Destino</v>
      </c>
      <c r="O454" t="str">
        <v>LA PALMA /STA.CRUZ DE LA PALMA</v>
      </c>
      <c r="P454" t="str">
        <v>SPC</v>
      </c>
      <c r="Q454" t="str">
        <v>09:00:00</v>
      </c>
      <c r="R454" t="str">
        <v>AT7</v>
      </c>
      <c r="S454" t="str">
        <v xml:space="preserve">  IBB611</v>
      </c>
      <c r="T454" t="str">
        <v>ESPAÑA</v>
      </c>
      <c r="U454" t="str">
        <v/>
      </c>
      <c r="V454" t="str">
        <v>TFN</v>
      </c>
      <c r="W454" t="str">
        <v>06/02/2019</v>
      </c>
      <c r="X454">
        <v>72</v>
      </c>
      <c r="Y454" t="str">
        <v>Aerospatiale/Alenia ATR72</v>
      </c>
    </row>
    <row r="455" spans="1:25" x14ac:dyDescent="0.25">
      <c r="A455" t="s">
        <v>1436</v>
      </c>
      <c r="B455" t="s">
        <v>0</v>
      </c>
      <c r="C455" t="s">
        <v>107</v>
      </c>
      <c r="D455" t="s">
        <v>108</v>
      </c>
      <c r="E455" t="s">
        <v>22</v>
      </c>
      <c r="F455" s="5">
        <v>43463</v>
      </c>
      <c r="G455" s="5">
        <v>43554</v>
      </c>
      <c r="H455" s="6">
        <v>0.67708333333333337</v>
      </c>
      <c r="I455" t="s">
        <v>14</v>
      </c>
      <c r="J455" t="s">
        <v>356</v>
      </c>
      <c r="K455" t="s">
        <v>38</v>
      </c>
      <c r="M455" t="s">
        <v>80</v>
      </c>
      <c r="N455" t="str">
        <v>Destino</v>
      </c>
      <c r="O455" t="str">
        <v>LA PALMA /STA.CRUZ DE LA PALMA</v>
      </c>
      <c r="P455" t="str">
        <v>SPC</v>
      </c>
      <c r="Q455" t="str">
        <v>09:00:00</v>
      </c>
      <c r="R455" t="str">
        <v>AT7</v>
      </c>
      <c r="S455" t="str">
        <v xml:space="preserve">  IBB611</v>
      </c>
      <c r="T455" t="str">
        <v>ESPAÑA</v>
      </c>
      <c r="U455" t="str">
        <v/>
      </c>
      <c r="V455" t="str">
        <v>TFN</v>
      </c>
      <c r="W455" t="str">
        <v>07/02/2019</v>
      </c>
      <c r="X455">
        <v>72</v>
      </c>
      <c r="Y455" t="str">
        <v>Aerospatiale/Alenia ATR72</v>
      </c>
    </row>
    <row r="456" spans="1:25" x14ac:dyDescent="0.25">
      <c r="A456" t="s">
        <v>1436</v>
      </c>
      <c r="B456" t="s">
        <v>0</v>
      </c>
      <c r="C456" t="s">
        <v>107</v>
      </c>
      <c r="D456" t="s">
        <v>108</v>
      </c>
      <c r="E456" t="s">
        <v>19</v>
      </c>
      <c r="F456" s="5">
        <v>43473</v>
      </c>
      <c r="G456" s="5">
        <v>43550</v>
      </c>
      <c r="H456" s="6">
        <v>0.67708333333333337</v>
      </c>
      <c r="I456" t="s">
        <v>14</v>
      </c>
      <c r="J456" t="s">
        <v>356</v>
      </c>
      <c r="K456" t="s">
        <v>38</v>
      </c>
      <c r="M456" t="s">
        <v>80</v>
      </c>
      <c r="N456" t="str">
        <v>Destino</v>
      </c>
      <c r="O456" t="str">
        <v>LA PALMA /STA.CRUZ DE LA PALMA</v>
      </c>
      <c r="P456" t="str">
        <v>SPC</v>
      </c>
      <c r="Q456" t="str">
        <v>09:45:00</v>
      </c>
      <c r="R456" t="str">
        <v>AT7</v>
      </c>
      <c r="S456" t="str">
        <v xml:space="preserve">  CNF418</v>
      </c>
      <c r="T456" t="str">
        <v>ESPAÑA</v>
      </c>
      <c r="U456" t="str">
        <v/>
      </c>
      <c r="V456" t="str">
        <v>TFN</v>
      </c>
      <c r="W456" t="str">
        <v>06/02/2019</v>
      </c>
      <c r="X456">
        <v>72</v>
      </c>
      <c r="Y456" t="str">
        <v>Aerospatiale/Alenia ATR72</v>
      </c>
    </row>
    <row r="457" spans="1:25" x14ac:dyDescent="0.25">
      <c r="A457" t="s">
        <v>1436</v>
      </c>
      <c r="B457" t="s">
        <v>0</v>
      </c>
      <c r="C457" t="s">
        <v>115</v>
      </c>
      <c r="D457" t="s">
        <v>116</v>
      </c>
      <c r="E457" t="s">
        <v>22</v>
      </c>
      <c r="F457" s="5">
        <v>43407</v>
      </c>
      <c r="G457" s="5">
        <v>43526</v>
      </c>
      <c r="H457" s="6">
        <v>0.63541666666666663</v>
      </c>
      <c r="I457" t="s">
        <v>14</v>
      </c>
      <c r="J457" t="s">
        <v>359</v>
      </c>
      <c r="K457" t="s">
        <v>38</v>
      </c>
      <c r="M457" t="s">
        <v>80</v>
      </c>
      <c r="N457" t="str">
        <v>Destino</v>
      </c>
      <c r="O457" t="str">
        <v>LA PALMA /STA.CRUZ DE LA PALMA</v>
      </c>
      <c r="P457" t="str">
        <v>SPC</v>
      </c>
      <c r="Q457" t="str">
        <v>09:45:00</v>
      </c>
      <c r="R457" t="str">
        <v>AT7</v>
      </c>
      <c r="S457" t="str">
        <v xml:space="preserve">  CNF418</v>
      </c>
      <c r="T457" t="str">
        <v>ESPAÑA</v>
      </c>
      <c r="U457" t="str">
        <v/>
      </c>
      <c r="V457" t="str">
        <v>TFN</v>
      </c>
      <c r="W457" t="str">
        <v>05/02/2019</v>
      </c>
      <c r="X457">
        <v>72</v>
      </c>
      <c r="Y457" t="str">
        <v>Aerospatiale/Alenia ATR72</v>
      </c>
    </row>
    <row r="458" spans="1:25" x14ac:dyDescent="0.25">
      <c r="A458" t="s">
        <v>1436</v>
      </c>
      <c r="B458" t="s">
        <v>0</v>
      </c>
      <c r="C458" t="s">
        <v>115</v>
      </c>
      <c r="D458" t="s">
        <v>116</v>
      </c>
      <c r="E458" t="s">
        <v>19</v>
      </c>
      <c r="F458" s="5">
        <v>43473</v>
      </c>
      <c r="G458" s="5">
        <v>43550</v>
      </c>
      <c r="H458" s="6">
        <v>0.63541666666666663</v>
      </c>
      <c r="I458" t="s">
        <v>14</v>
      </c>
      <c r="J458" t="s">
        <v>359</v>
      </c>
      <c r="K458" t="s">
        <v>38</v>
      </c>
      <c r="M458" t="s">
        <v>80</v>
      </c>
      <c r="N458" t="str">
        <v>Destino</v>
      </c>
      <c r="O458" t="str">
        <v>LA PALMA /STA.CRUZ DE LA PALMA</v>
      </c>
      <c r="P458" t="str">
        <v>SPC</v>
      </c>
      <c r="Q458" t="str">
        <v>09:45:00</v>
      </c>
      <c r="R458" t="str">
        <v>AT7</v>
      </c>
      <c r="S458" t="str">
        <v xml:space="preserve">  CNF418</v>
      </c>
      <c r="T458" t="str">
        <v>ESPAÑA</v>
      </c>
      <c r="U458" t="str">
        <v/>
      </c>
      <c r="V458" t="str">
        <v>TFN</v>
      </c>
      <c r="W458" t="str">
        <v>04/02/2019</v>
      </c>
      <c r="X458">
        <v>72</v>
      </c>
      <c r="Y458" t="str">
        <v>Aerospatiale/Alenia ATR72</v>
      </c>
    </row>
    <row r="459" spans="1:25" x14ac:dyDescent="0.25">
      <c r="A459" t="s">
        <v>1436</v>
      </c>
      <c r="B459" t="s">
        <v>0</v>
      </c>
      <c r="C459" t="s">
        <v>115</v>
      </c>
      <c r="D459" t="s">
        <v>116</v>
      </c>
      <c r="E459" t="s">
        <v>22</v>
      </c>
      <c r="F459" s="5">
        <v>43407</v>
      </c>
      <c r="G459" s="5">
        <v>43554</v>
      </c>
      <c r="H459" s="6">
        <v>0.75</v>
      </c>
      <c r="I459" t="s">
        <v>14</v>
      </c>
      <c r="J459" t="s">
        <v>358</v>
      </c>
      <c r="K459" t="s">
        <v>38</v>
      </c>
      <c r="M459" t="s">
        <v>80</v>
      </c>
      <c r="N459" t="str">
        <v>Destino</v>
      </c>
      <c r="O459" t="str">
        <v>LA PALMA /STA.CRUZ DE LA PALMA</v>
      </c>
      <c r="P459" t="str">
        <v>SPC</v>
      </c>
      <c r="Q459" t="str">
        <v>09:45:00</v>
      </c>
      <c r="R459" t="str">
        <v>AT7</v>
      </c>
      <c r="S459" t="str">
        <v xml:space="preserve">  CNF418</v>
      </c>
      <c r="T459" t="str">
        <v>ESPAÑA</v>
      </c>
      <c r="U459" t="str">
        <v/>
      </c>
      <c r="V459" t="str">
        <v>TFN</v>
      </c>
      <c r="W459" t="str">
        <v>08/02/2019</v>
      </c>
      <c r="X459">
        <v>72</v>
      </c>
      <c r="Y459" t="str">
        <v>Aerospatiale/Alenia ATR72</v>
      </c>
    </row>
    <row r="460" spans="1:25" x14ac:dyDescent="0.25">
      <c r="A460" t="s">
        <v>1436</v>
      </c>
      <c r="B460" t="s">
        <v>0</v>
      </c>
      <c r="C460" t="s">
        <v>115</v>
      </c>
      <c r="D460" t="s">
        <v>116</v>
      </c>
      <c r="E460" t="s">
        <v>19</v>
      </c>
      <c r="F460" s="5">
        <v>43466</v>
      </c>
      <c r="G460" s="5">
        <v>43550</v>
      </c>
      <c r="H460" s="6">
        <v>0.75</v>
      </c>
      <c r="I460" t="s">
        <v>14</v>
      </c>
      <c r="J460" t="s">
        <v>358</v>
      </c>
      <c r="K460" t="s">
        <v>38</v>
      </c>
      <c r="M460" t="s">
        <v>80</v>
      </c>
      <c r="N460" t="str">
        <v>Destino</v>
      </c>
      <c r="O460" t="str">
        <v>LA PALMA /STA.CRUZ DE LA PALMA</v>
      </c>
      <c r="P460" t="str">
        <v>SPC</v>
      </c>
      <c r="Q460" t="str">
        <v>09:45:00</v>
      </c>
      <c r="R460" t="str">
        <v>AT7</v>
      </c>
      <c r="S460" t="str">
        <v xml:space="preserve">  CNF418</v>
      </c>
      <c r="T460" t="str">
        <v>ESPAÑA</v>
      </c>
      <c r="U460" t="str">
        <v/>
      </c>
      <c r="V460" t="str">
        <v>TFN</v>
      </c>
      <c r="W460" t="str">
        <v>07/02/2019</v>
      </c>
      <c r="X460">
        <v>72</v>
      </c>
      <c r="Y460" t="str">
        <v>Aerospatiale/Alenia ATR72</v>
      </c>
    </row>
    <row r="461" spans="1:25" x14ac:dyDescent="0.25">
      <c r="A461" t="s">
        <v>1436</v>
      </c>
      <c r="B461" t="s">
        <v>0</v>
      </c>
      <c r="C461" t="s">
        <v>360</v>
      </c>
      <c r="D461" t="s">
        <v>361</v>
      </c>
      <c r="E461" t="s">
        <v>22</v>
      </c>
      <c r="F461" s="5">
        <v>43463</v>
      </c>
      <c r="G461" s="5">
        <v>43554</v>
      </c>
      <c r="H461" s="6">
        <v>0.79513888888888884</v>
      </c>
      <c r="I461">
        <v>319</v>
      </c>
      <c r="J461" t="s">
        <v>362</v>
      </c>
      <c r="K461" t="s">
        <v>45</v>
      </c>
      <c r="M461" t="s">
        <v>80</v>
      </c>
      <c r="N461" t="str">
        <v>Destino</v>
      </c>
      <c r="O461" t="str">
        <v>LA PALMA /STA.CRUZ DE LA PALMA</v>
      </c>
      <c r="P461" t="str">
        <v>SPC</v>
      </c>
      <c r="Q461" t="str">
        <v>09:45:00</v>
      </c>
      <c r="R461" t="str">
        <v>AT7</v>
      </c>
      <c r="S461" t="str">
        <v xml:space="preserve">  CNF418</v>
      </c>
      <c r="T461" t="str">
        <v>ESPAÑA</v>
      </c>
      <c r="U461" t="str">
        <v/>
      </c>
      <c r="V461" t="str">
        <v>TFN</v>
      </c>
      <c r="W461" t="str">
        <v>10/02/2019</v>
      </c>
      <c r="X461">
        <v>72</v>
      </c>
      <c r="Y461" t="str">
        <v>Aerospatiale/Alenia ATR72</v>
      </c>
    </row>
    <row r="462" spans="1:25" x14ac:dyDescent="0.25">
      <c r="A462" t="s">
        <v>1436</v>
      </c>
      <c r="B462" t="s">
        <v>0</v>
      </c>
      <c r="C462" t="s">
        <v>542</v>
      </c>
      <c r="D462" t="s">
        <v>543</v>
      </c>
      <c r="E462" t="s">
        <v>22</v>
      </c>
      <c r="F462" s="5">
        <v>43470</v>
      </c>
      <c r="G462" s="5">
        <v>43554</v>
      </c>
      <c r="H462" s="6">
        <v>0.57638888888888895</v>
      </c>
      <c r="I462" t="s">
        <v>14</v>
      </c>
      <c r="J462" t="s">
        <v>1501</v>
      </c>
      <c r="K462" t="s">
        <v>544</v>
      </c>
      <c r="M462" t="s">
        <v>80</v>
      </c>
      <c r="N462" t="str">
        <v>Destino</v>
      </c>
      <c r="O462" t="str">
        <v>LA PALMA /STA.CRUZ DE LA PALMA</v>
      </c>
      <c r="P462" t="str">
        <v>SPC</v>
      </c>
      <c r="Q462" t="str">
        <v>09:45:00</v>
      </c>
      <c r="R462" t="str">
        <v>AT7</v>
      </c>
      <c r="S462" t="str">
        <v xml:space="preserve">  CNF418</v>
      </c>
      <c r="T462" t="str">
        <v>ESPAÑA</v>
      </c>
      <c r="U462" t="str">
        <v/>
      </c>
      <c r="V462" t="str">
        <v>TFN</v>
      </c>
      <c r="W462" t="str">
        <v>09/02/2019</v>
      </c>
      <c r="X462">
        <v>72</v>
      </c>
      <c r="Y462" t="str">
        <v>Aerospatiale/Alenia ATR72</v>
      </c>
    </row>
    <row r="463" spans="1:25" x14ac:dyDescent="0.25">
      <c r="A463" t="s">
        <v>1436</v>
      </c>
      <c r="B463" t="s">
        <v>0</v>
      </c>
      <c r="C463" t="s">
        <v>123</v>
      </c>
      <c r="D463" t="s">
        <v>124</v>
      </c>
      <c r="E463" t="s">
        <v>20</v>
      </c>
      <c r="F463" s="5">
        <v>43502</v>
      </c>
      <c r="G463" s="5">
        <v>43530</v>
      </c>
      <c r="H463" s="6">
        <v>0.44097222222222227</v>
      </c>
      <c r="I463" t="s">
        <v>106</v>
      </c>
      <c r="J463" t="s">
        <v>363</v>
      </c>
      <c r="K463" t="s">
        <v>45</v>
      </c>
      <c r="M463" t="s">
        <v>80</v>
      </c>
      <c r="N463" t="str">
        <v>Destino</v>
      </c>
      <c r="O463" t="str">
        <v>LA PALMA /STA.CRUZ DE LA PALMA</v>
      </c>
      <c r="P463" t="str">
        <v>SPC</v>
      </c>
      <c r="Q463" t="str">
        <v>10:00:00</v>
      </c>
      <c r="R463" t="str">
        <v>AT7</v>
      </c>
      <c r="S463" t="str">
        <v xml:space="preserve">  IBB609</v>
      </c>
      <c r="T463" t="str">
        <v>ESPAÑA</v>
      </c>
      <c r="U463" t="str">
        <v/>
      </c>
      <c r="V463" t="str">
        <v>TFN</v>
      </c>
      <c r="W463" t="str">
        <v>06/02/2019</v>
      </c>
      <c r="X463">
        <v>72</v>
      </c>
      <c r="Y463" t="str">
        <v>Aerospatiale/Alenia ATR72</v>
      </c>
    </row>
    <row r="464" spans="1:25" x14ac:dyDescent="0.25">
      <c r="A464" t="s">
        <v>1436</v>
      </c>
      <c r="B464" t="s">
        <v>0</v>
      </c>
      <c r="C464" t="s">
        <v>123</v>
      </c>
      <c r="D464" t="s">
        <v>124</v>
      </c>
      <c r="E464" t="s">
        <v>13</v>
      </c>
      <c r="F464" s="5">
        <v>43510</v>
      </c>
      <c r="G464" s="5">
        <v>43510</v>
      </c>
      <c r="H464" s="6">
        <v>0.54513888888888895</v>
      </c>
      <c r="I464" t="s">
        <v>39</v>
      </c>
      <c r="J464" t="s">
        <v>364</v>
      </c>
      <c r="K464" t="s">
        <v>45</v>
      </c>
      <c r="M464" t="s">
        <v>80</v>
      </c>
      <c r="N464" t="str">
        <v>Destino</v>
      </c>
      <c r="O464" t="str">
        <v>LA PALMA /STA.CRUZ DE LA PALMA</v>
      </c>
      <c r="P464" t="str">
        <v>SPC</v>
      </c>
      <c r="Q464" t="str">
        <v>10:00:00</v>
      </c>
      <c r="R464" t="str">
        <v>AT7</v>
      </c>
      <c r="S464" t="str">
        <v xml:space="preserve">  IBB609</v>
      </c>
      <c r="T464" t="str">
        <v>ESPAÑA</v>
      </c>
      <c r="U464" t="str">
        <v/>
      </c>
      <c r="V464" t="str">
        <v>TFN</v>
      </c>
      <c r="W464" t="str">
        <v>04/02/2019</v>
      </c>
      <c r="X464">
        <v>72</v>
      </c>
      <c r="Y464" t="str">
        <v>Aerospatiale/Alenia ATR72</v>
      </c>
    </row>
    <row r="465" spans="1:25" x14ac:dyDescent="0.25">
      <c r="A465" t="s">
        <v>1436</v>
      </c>
      <c r="B465" t="s">
        <v>0</v>
      </c>
      <c r="C465" t="s">
        <v>123</v>
      </c>
      <c r="D465" t="s">
        <v>124</v>
      </c>
      <c r="E465" t="s">
        <v>59</v>
      </c>
      <c r="F465" s="5">
        <v>43507</v>
      </c>
      <c r="G465" s="5">
        <v>43521</v>
      </c>
      <c r="H465" s="6">
        <v>0.5625</v>
      </c>
      <c r="I465" t="s">
        <v>39</v>
      </c>
      <c r="J465" t="s">
        <v>364</v>
      </c>
      <c r="K465" t="s">
        <v>45</v>
      </c>
      <c r="M465" t="s">
        <v>80</v>
      </c>
      <c r="N465" t="str">
        <v>Destino</v>
      </c>
      <c r="O465" t="str">
        <v>LA PALMA /STA.CRUZ DE LA PALMA</v>
      </c>
      <c r="P465" t="str">
        <v>SPC</v>
      </c>
      <c r="Q465" t="str">
        <v>10:00:00</v>
      </c>
      <c r="R465" t="str">
        <v>AT7</v>
      </c>
      <c r="S465" t="str">
        <v xml:space="preserve">  IBB609</v>
      </c>
      <c r="T465" t="str">
        <v>ESPAÑA</v>
      </c>
      <c r="U465" t="str">
        <v/>
      </c>
      <c r="V465" t="str">
        <v>TFN</v>
      </c>
      <c r="W465" t="str">
        <v>08/02/2019</v>
      </c>
      <c r="X465">
        <v>72</v>
      </c>
      <c r="Y465" t="str">
        <v>Aerospatiale/Alenia ATR72</v>
      </c>
    </row>
    <row r="466" spans="1:25" x14ac:dyDescent="0.25">
      <c r="A466" t="s">
        <v>1436</v>
      </c>
      <c r="B466" t="s">
        <v>0</v>
      </c>
      <c r="C466" t="s">
        <v>123</v>
      </c>
      <c r="D466" t="s">
        <v>124</v>
      </c>
      <c r="E466" t="s">
        <v>19</v>
      </c>
      <c r="F466" s="5">
        <v>43508</v>
      </c>
      <c r="G466" s="5">
        <v>43550</v>
      </c>
      <c r="H466" s="6">
        <v>0.63888888888888895</v>
      </c>
      <c r="I466" t="s">
        <v>39</v>
      </c>
      <c r="J466" t="s">
        <v>364</v>
      </c>
      <c r="K466" t="s">
        <v>45</v>
      </c>
      <c r="M466" t="s">
        <v>80</v>
      </c>
      <c r="N466" t="str">
        <v>Destino</v>
      </c>
      <c r="O466" t="str">
        <v>LA PALMA /STA.CRUZ DE LA PALMA</v>
      </c>
      <c r="P466" t="str">
        <v>SPC</v>
      </c>
      <c r="Q466" t="str">
        <v>10:00:00</v>
      </c>
      <c r="R466" t="str">
        <v>AT7</v>
      </c>
      <c r="S466" t="str">
        <v xml:space="preserve">  IBB609</v>
      </c>
      <c r="T466" t="str">
        <v>ESPAÑA</v>
      </c>
      <c r="U466" t="str">
        <v/>
      </c>
      <c r="V466" t="str">
        <v>TFN</v>
      </c>
      <c r="W466" t="str">
        <v>07/02/2019</v>
      </c>
      <c r="X466">
        <v>72</v>
      </c>
      <c r="Y466" t="str">
        <v>Aerospatiale/Alenia ATR72</v>
      </c>
    </row>
    <row r="467" spans="1:25" x14ac:dyDescent="0.25">
      <c r="A467" t="s">
        <v>1436</v>
      </c>
      <c r="B467" t="s">
        <v>0</v>
      </c>
      <c r="C467" t="s">
        <v>123</v>
      </c>
      <c r="D467" t="s">
        <v>124</v>
      </c>
      <c r="E467" t="s">
        <v>13</v>
      </c>
      <c r="F467" s="5">
        <v>43503</v>
      </c>
      <c r="G467" s="5">
        <v>43510</v>
      </c>
      <c r="H467" s="6">
        <v>0.65277777777777779</v>
      </c>
      <c r="I467" t="s">
        <v>106</v>
      </c>
      <c r="J467" t="s">
        <v>1919</v>
      </c>
      <c r="K467" t="s">
        <v>45</v>
      </c>
      <c r="L467" t="s">
        <v>275</v>
      </c>
      <c r="M467" t="s">
        <v>80</v>
      </c>
      <c r="N467" t="str">
        <v>Destino</v>
      </c>
      <c r="O467" t="str">
        <v>LA PALMA /STA.CRUZ DE LA PALMA</v>
      </c>
      <c r="P467" t="str">
        <v>SPC</v>
      </c>
      <c r="Q467" t="str">
        <v>10:00:00</v>
      </c>
      <c r="R467" t="str">
        <v>AT7</v>
      </c>
      <c r="S467" t="str">
        <v xml:space="preserve">  IBB609</v>
      </c>
      <c r="T467" t="str">
        <v>ESPAÑA</v>
      </c>
      <c r="U467" t="str">
        <v/>
      </c>
      <c r="V467" t="str">
        <v>TFN</v>
      </c>
      <c r="W467" t="str">
        <v>05/02/2019</v>
      </c>
      <c r="X467">
        <v>72</v>
      </c>
      <c r="Y467" t="str">
        <v>Aerospatiale/Alenia ATR72</v>
      </c>
    </row>
    <row r="468" spans="1:25" x14ac:dyDescent="0.25">
      <c r="A468" t="s">
        <v>1436</v>
      </c>
      <c r="B468" t="s">
        <v>0</v>
      </c>
      <c r="C468" t="s">
        <v>123</v>
      </c>
      <c r="D468" t="s">
        <v>124</v>
      </c>
      <c r="E468" t="s">
        <v>22</v>
      </c>
      <c r="F468" s="5">
        <v>43407</v>
      </c>
      <c r="G468" s="5">
        <v>43554</v>
      </c>
      <c r="H468" s="6">
        <v>0.66319444444444442</v>
      </c>
      <c r="I468" t="s">
        <v>104</v>
      </c>
      <c r="J468" t="s">
        <v>364</v>
      </c>
      <c r="K468" t="s">
        <v>45</v>
      </c>
      <c r="M468" t="s">
        <v>80</v>
      </c>
      <c r="N468" t="str">
        <v>Destino</v>
      </c>
      <c r="O468" t="str">
        <v>LA PALMA /STA.CRUZ DE LA PALMA</v>
      </c>
      <c r="P468" t="str">
        <v>SPC</v>
      </c>
      <c r="Q468" t="str">
        <v>10:00:00</v>
      </c>
      <c r="R468" t="str">
        <v>AT7</v>
      </c>
      <c r="S468" t="str">
        <v xml:space="preserve">  IBB609</v>
      </c>
      <c r="T468" t="str">
        <v>ESPAÑA</v>
      </c>
      <c r="U468" t="str">
        <v/>
      </c>
      <c r="V468" t="str">
        <v>TFN</v>
      </c>
      <c r="W468" t="str">
        <v>09/02/2019</v>
      </c>
      <c r="X468">
        <v>72</v>
      </c>
      <c r="Y468" t="str">
        <v>Aerospatiale/Alenia ATR72</v>
      </c>
    </row>
    <row r="469" spans="1:25" x14ac:dyDescent="0.25">
      <c r="A469" t="s">
        <v>1436</v>
      </c>
      <c r="B469" t="s">
        <v>0</v>
      </c>
      <c r="C469" t="s">
        <v>123</v>
      </c>
      <c r="D469" t="s">
        <v>124</v>
      </c>
      <c r="E469" t="s">
        <v>190</v>
      </c>
      <c r="F469" s="5">
        <v>43441</v>
      </c>
      <c r="G469" s="5">
        <v>43554</v>
      </c>
      <c r="H469" s="6">
        <v>0.72916666666666663</v>
      </c>
      <c r="I469" t="s">
        <v>106</v>
      </c>
      <c r="J469" t="s">
        <v>363</v>
      </c>
      <c r="K469" t="s">
        <v>45</v>
      </c>
      <c r="M469" t="s">
        <v>80</v>
      </c>
      <c r="N469" t="str">
        <v>Destino</v>
      </c>
      <c r="O469" t="str">
        <v>LA PALMA /STA.CRUZ DE LA PALMA</v>
      </c>
      <c r="P469" t="str">
        <v>SPC</v>
      </c>
      <c r="Q469" t="str">
        <v>10:00:00</v>
      </c>
      <c r="R469" t="str">
        <v>AT7</v>
      </c>
      <c r="S469" t="str">
        <v xml:space="preserve">  IBB615</v>
      </c>
      <c r="T469" t="str">
        <v>ESPAÑA</v>
      </c>
      <c r="U469" t="str">
        <v/>
      </c>
      <c r="V469" t="str">
        <v>TFN</v>
      </c>
      <c r="W469" t="str">
        <v>10/02/2019</v>
      </c>
      <c r="X469">
        <v>72</v>
      </c>
      <c r="Y469" t="str">
        <v>Aerospatiale/Alenia ATR72</v>
      </c>
    </row>
    <row r="470" spans="1:25" x14ac:dyDescent="0.25">
      <c r="A470" t="s">
        <v>1436</v>
      </c>
      <c r="B470" t="s">
        <v>0</v>
      </c>
      <c r="C470" t="s">
        <v>365</v>
      </c>
      <c r="D470" t="s">
        <v>366</v>
      </c>
      <c r="E470" t="s">
        <v>22</v>
      </c>
      <c r="F470" s="5">
        <v>43449</v>
      </c>
      <c r="G470" s="5">
        <v>43554</v>
      </c>
      <c r="H470" s="6">
        <v>0.68402777777777779</v>
      </c>
      <c r="I470">
        <v>319</v>
      </c>
      <c r="J470" t="s">
        <v>367</v>
      </c>
      <c r="K470" t="s">
        <v>45</v>
      </c>
      <c r="M470" t="s">
        <v>80</v>
      </c>
      <c r="N470" t="str">
        <v>Destino</v>
      </c>
      <c r="O470" t="str">
        <v>LA PALMA /STA.CRUZ DE LA PALMA</v>
      </c>
      <c r="P470" t="str">
        <v>SPC</v>
      </c>
      <c r="Q470" t="str">
        <v>10:30:00</v>
      </c>
      <c r="R470" t="str">
        <v>AT7</v>
      </c>
      <c r="S470" t="str">
        <v xml:space="preserve">  AEA9475</v>
      </c>
      <c r="T470" t="str">
        <v>ESPAÑA</v>
      </c>
      <c r="U470" t="str">
        <v/>
      </c>
      <c r="V470" t="str">
        <v>TFN</v>
      </c>
      <c r="W470" t="str">
        <v>08/02/2019</v>
      </c>
      <c r="X470">
        <v>72</v>
      </c>
      <c r="Y470" t="str">
        <v>Aerospatiale/Alenia ATR72</v>
      </c>
    </row>
    <row r="471" spans="1:25" x14ac:dyDescent="0.25">
      <c r="A471" t="s">
        <v>1436</v>
      </c>
      <c r="B471" t="s">
        <v>0</v>
      </c>
      <c r="C471" t="s">
        <v>584</v>
      </c>
      <c r="D471" t="s">
        <v>585</v>
      </c>
      <c r="E471" t="s">
        <v>19</v>
      </c>
      <c r="F471" s="5">
        <v>43431</v>
      </c>
      <c r="G471" s="5">
        <v>43550</v>
      </c>
      <c r="H471" s="6">
        <v>0.4861111111111111</v>
      </c>
      <c r="I471">
        <v>320</v>
      </c>
      <c r="J471" t="s">
        <v>1502</v>
      </c>
      <c r="K471" t="s">
        <v>34</v>
      </c>
      <c r="M471" t="s">
        <v>80</v>
      </c>
      <c r="N471" t="str">
        <v>Destino</v>
      </c>
      <c r="O471" t="str">
        <v>LA PALMA /STA.CRUZ DE LA PALMA</v>
      </c>
      <c r="P471" t="str">
        <v>SPC</v>
      </c>
      <c r="Q471" t="str">
        <v>10:30:00</v>
      </c>
      <c r="R471" t="str">
        <v>AT7</v>
      </c>
      <c r="S471" t="str">
        <v xml:space="preserve">  AEA9475</v>
      </c>
      <c r="T471" t="str">
        <v>ESPAÑA</v>
      </c>
      <c r="U471" t="str">
        <v/>
      </c>
      <c r="V471" t="str">
        <v>TFN</v>
      </c>
      <c r="W471" t="str">
        <v>10/02/2019</v>
      </c>
      <c r="X471">
        <v>72</v>
      </c>
      <c r="Y471" t="str">
        <v>Aerospatiale/Alenia ATR72</v>
      </c>
    </row>
    <row r="472" spans="1:25" x14ac:dyDescent="0.25">
      <c r="A472" t="s">
        <v>1436</v>
      </c>
      <c r="B472" t="s">
        <v>0</v>
      </c>
      <c r="C472" t="s">
        <v>584</v>
      </c>
      <c r="D472" t="s">
        <v>585</v>
      </c>
      <c r="E472" t="s">
        <v>22</v>
      </c>
      <c r="F472" s="5">
        <v>43407</v>
      </c>
      <c r="G472" s="5">
        <v>43554</v>
      </c>
      <c r="H472" s="6">
        <v>0.67361111111111116</v>
      </c>
      <c r="I472">
        <v>320</v>
      </c>
      <c r="J472" t="s">
        <v>1502</v>
      </c>
      <c r="K472" t="s">
        <v>34</v>
      </c>
      <c r="M472" t="s">
        <v>80</v>
      </c>
      <c r="N472" t="str">
        <v>Destino</v>
      </c>
      <c r="O472" t="str">
        <v>LA PALMA /STA.CRUZ DE LA PALMA</v>
      </c>
      <c r="P472" t="str">
        <v>SPC</v>
      </c>
      <c r="Q472" t="str">
        <v>10:30:00</v>
      </c>
      <c r="R472" t="str">
        <v>AT7</v>
      </c>
      <c r="S472" t="str">
        <v xml:space="preserve">  AEA9475</v>
      </c>
      <c r="T472" t="str">
        <v>ESPAÑA</v>
      </c>
      <c r="U472" t="str">
        <v/>
      </c>
      <c r="V472" t="str">
        <v>TFN</v>
      </c>
      <c r="W472" t="str">
        <v>09/02/2019</v>
      </c>
      <c r="X472">
        <v>72</v>
      </c>
      <c r="Y472" t="str">
        <v>Aerospatiale/Alenia ATR72</v>
      </c>
    </row>
    <row r="473" spans="1:25" x14ac:dyDescent="0.25">
      <c r="A473" t="s">
        <v>1436</v>
      </c>
      <c r="B473" t="s">
        <v>0</v>
      </c>
      <c r="C473" t="s">
        <v>130</v>
      </c>
      <c r="D473" t="s">
        <v>131</v>
      </c>
      <c r="E473" t="s">
        <v>22</v>
      </c>
      <c r="F473" s="5">
        <v>43512</v>
      </c>
      <c r="G473" s="5">
        <v>43512</v>
      </c>
      <c r="H473" s="6">
        <v>0.61458333333333337</v>
      </c>
      <c r="I473" t="s">
        <v>39</v>
      </c>
      <c r="J473" t="s">
        <v>368</v>
      </c>
      <c r="K473" t="s">
        <v>38</v>
      </c>
      <c r="M473" t="s">
        <v>80</v>
      </c>
      <c r="N473" t="str">
        <v>Destino</v>
      </c>
      <c r="O473" t="str">
        <v>LA PALMA /STA.CRUZ DE LA PALMA</v>
      </c>
      <c r="P473" t="str">
        <v>SPC</v>
      </c>
      <c r="Q473" t="str">
        <v>10:30:00</v>
      </c>
      <c r="R473" t="str">
        <v>AT7</v>
      </c>
      <c r="S473" t="str">
        <v xml:space="preserve">  AEA9475</v>
      </c>
      <c r="T473" t="str">
        <v>ESPAÑA</v>
      </c>
      <c r="U473" t="str">
        <v/>
      </c>
      <c r="V473" t="str">
        <v>TFN</v>
      </c>
      <c r="W473" t="str">
        <v>06/02/2019</v>
      </c>
      <c r="X473">
        <v>72</v>
      </c>
      <c r="Y473" t="str">
        <v>Aerospatiale/Alenia ATR72</v>
      </c>
    </row>
    <row r="474" spans="1:25" x14ac:dyDescent="0.25">
      <c r="A474" t="s">
        <v>1436</v>
      </c>
      <c r="B474" t="s">
        <v>0</v>
      </c>
      <c r="C474" t="s">
        <v>130</v>
      </c>
      <c r="D474" t="s">
        <v>131</v>
      </c>
      <c r="E474" t="s">
        <v>158</v>
      </c>
      <c r="F474" s="5">
        <v>43404</v>
      </c>
      <c r="G474" s="5">
        <v>43551</v>
      </c>
      <c r="H474" s="6">
        <v>0.64930555555555558</v>
      </c>
      <c r="I474" t="s">
        <v>14</v>
      </c>
      <c r="J474" t="s">
        <v>369</v>
      </c>
      <c r="K474" t="s">
        <v>38</v>
      </c>
      <c r="M474" t="s">
        <v>80</v>
      </c>
      <c r="N474" t="str">
        <v>Destino</v>
      </c>
      <c r="O474" t="str">
        <v>LA PALMA /STA.CRUZ DE LA PALMA</v>
      </c>
      <c r="P474" t="str">
        <v>SPC</v>
      </c>
      <c r="Q474" t="str">
        <v>10:30:00</v>
      </c>
      <c r="R474" t="str">
        <v>AT7</v>
      </c>
      <c r="S474" t="str">
        <v xml:space="preserve">  AEA9475</v>
      </c>
      <c r="T474" t="str">
        <v>ESPAÑA</v>
      </c>
      <c r="U474" t="str">
        <v/>
      </c>
      <c r="V474" t="str">
        <v>TFN</v>
      </c>
      <c r="W474" t="str">
        <v>04/02/2019</v>
      </c>
      <c r="X474">
        <v>72</v>
      </c>
      <c r="Y474" t="str">
        <v>Aerospatiale/Alenia ATR72</v>
      </c>
    </row>
    <row r="475" spans="1:25" x14ac:dyDescent="0.25">
      <c r="A475" t="s">
        <v>1436</v>
      </c>
      <c r="B475" t="s">
        <v>0</v>
      </c>
      <c r="C475" t="s">
        <v>130</v>
      </c>
      <c r="D475" t="s">
        <v>131</v>
      </c>
      <c r="E475" t="s">
        <v>20</v>
      </c>
      <c r="F475" s="5">
        <v>43411</v>
      </c>
      <c r="G475" s="5">
        <v>43551</v>
      </c>
      <c r="H475" s="6">
        <v>0.65972222222222221</v>
      </c>
      <c r="I475" t="s">
        <v>39</v>
      </c>
      <c r="J475" t="s">
        <v>1240</v>
      </c>
      <c r="K475" t="s">
        <v>38</v>
      </c>
      <c r="M475" t="s">
        <v>80</v>
      </c>
      <c r="N475" t="str">
        <v>Destino</v>
      </c>
      <c r="O475" t="str">
        <v>LA PALMA /STA.CRUZ DE LA PALMA</v>
      </c>
      <c r="P475" t="str">
        <v>SPC</v>
      </c>
      <c r="Q475" t="str">
        <v>10:30:00</v>
      </c>
      <c r="R475" t="str">
        <v>AT7</v>
      </c>
      <c r="S475" t="str">
        <v xml:space="preserve">  AEA9475</v>
      </c>
      <c r="T475" t="str">
        <v>ESPAÑA</v>
      </c>
      <c r="U475" t="str">
        <v/>
      </c>
      <c r="V475" t="str">
        <v>TFN</v>
      </c>
      <c r="W475" t="str">
        <v>07/02/2019</v>
      </c>
      <c r="X475">
        <v>72</v>
      </c>
      <c r="Y475" t="str">
        <v>Aerospatiale/Alenia ATR72</v>
      </c>
    </row>
    <row r="476" spans="1:25" x14ac:dyDescent="0.25">
      <c r="A476" t="s">
        <v>1436</v>
      </c>
      <c r="B476" t="s">
        <v>0</v>
      </c>
      <c r="C476" t="s">
        <v>134</v>
      </c>
      <c r="D476" t="s">
        <v>135</v>
      </c>
      <c r="E476" t="s">
        <v>18</v>
      </c>
      <c r="F476" s="5">
        <v>43401</v>
      </c>
      <c r="G476" s="5">
        <v>43548</v>
      </c>
      <c r="H476" s="6">
        <v>0.46527777777777773</v>
      </c>
      <c r="I476" t="s">
        <v>14</v>
      </c>
      <c r="J476" t="s">
        <v>370</v>
      </c>
      <c r="K476" t="s">
        <v>38</v>
      </c>
      <c r="M476" t="s">
        <v>80</v>
      </c>
      <c r="N476" t="str">
        <v>Destino</v>
      </c>
      <c r="O476" t="str">
        <v>LA PALMA /STA.CRUZ DE LA PALMA</v>
      </c>
      <c r="P476" t="str">
        <v>SPC</v>
      </c>
      <c r="Q476" t="str">
        <v>10:30:00</v>
      </c>
      <c r="R476" t="str">
        <v>AT7</v>
      </c>
      <c r="S476" t="str">
        <v xml:space="preserve">  AEA9475</v>
      </c>
      <c r="T476" t="str">
        <v>ESPAÑA</v>
      </c>
      <c r="U476" t="str">
        <v/>
      </c>
      <c r="V476" t="str">
        <v>TFN</v>
      </c>
      <c r="W476" t="str">
        <v>05/02/2019</v>
      </c>
      <c r="X476">
        <v>72</v>
      </c>
      <c r="Y476" t="str">
        <v>Aerospatiale/Alenia ATR72</v>
      </c>
    </row>
    <row r="477" spans="1:25" x14ac:dyDescent="0.25">
      <c r="A477" t="s">
        <v>1436</v>
      </c>
      <c r="B477" t="s">
        <v>0</v>
      </c>
      <c r="C477" t="s">
        <v>137</v>
      </c>
      <c r="D477" t="s">
        <v>138</v>
      </c>
      <c r="E477" t="s">
        <v>1503</v>
      </c>
      <c r="F477" s="5">
        <v>43403</v>
      </c>
      <c r="G477" s="5">
        <v>43554</v>
      </c>
      <c r="H477" s="6">
        <v>0.33680555555555558</v>
      </c>
      <c r="I477" t="s">
        <v>139</v>
      </c>
      <c r="J477" t="s">
        <v>371</v>
      </c>
      <c r="K477" t="s">
        <v>25</v>
      </c>
      <c r="M477" t="s">
        <v>80</v>
      </c>
      <c r="N477" t="str">
        <v>Destino</v>
      </c>
      <c r="O477" t="str">
        <v>LA PALMA /STA.CRUZ DE LA PALMA</v>
      </c>
      <c r="P477" t="str">
        <v>SPC</v>
      </c>
      <c r="Q477" t="str">
        <v>11:00:00</v>
      </c>
      <c r="R477" t="str">
        <v>AT7</v>
      </c>
      <c r="S477" t="str">
        <v xml:space="preserve">  IBB617</v>
      </c>
      <c r="T477" t="str">
        <v>ESPAÑA</v>
      </c>
      <c r="U477" t="str">
        <v/>
      </c>
      <c r="V477" t="str">
        <v>TFN</v>
      </c>
      <c r="W477" t="str">
        <v>04/02/2019</v>
      </c>
      <c r="X477">
        <v>72</v>
      </c>
      <c r="Y477" t="str">
        <v>Aerospatiale/Alenia ATR72</v>
      </c>
    </row>
    <row r="478" spans="1:25" x14ac:dyDescent="0.25">
      <c r="A478" t="s">
        <v>1436</v>
      </c>
      <c r="B478" t="s">
        <v>0</v>
      </c>
      <c r="C478" t="s">
        <v>137</v>
      </c>
      <c r="D478" t="s">
        <v>138</v>
      </c>
      <c r="E478" t="s">
        <v>18</v>
      </c>
      <c r="F478" s="5">
        <v>43478</v>
      </c>
      <c r="G478" s="5">
        <v>43548</v>
      </c>
      <c r="H478" s="6">
        <v>0.33680555555555558</v>
      </c>
      <c r="I478" t="s">
        <v>139</v>
      </c>
      <c r="J478" t="s">
        <v>371</v>
      </c>
      <c r="K478" t="s">
        <v>25</v>
      </c>
      <c r="M478" t="s">
        <v>80</v>
      </c>
      <c r="N478" t="str">
        <v>Destino</v>
      </c>
      <c r="O478" t="str">
        <v>LA PALMA /STA.CRUZ DE LA PALMA</v>
      </c>
      <c r="P478" t="str">
        <v>SPC</v>
      </c>
      <c r="Q478" t="str">
        <v>11:00:00</v>
      </c>
      <c r="R478" t="str">
        <v>AT7</v>
      </c>
      <c r="S478" t="str">
        <v xml:space="preserve">  IBB617</v>
      </c>
      <c r="T478" t="str">
        <v>ESPAÑA</v>
      </c>
      <c r="U478" t="str">
        <v/>
      </c>
      <c r="V478" t="str">
        <v>TFN</v>
      </c>
      <c r="W478" t="str">
        <v>07/02/2019</v>
      </c>
      <c r="X478">
        <v>72</v>
      </c>
      <c r="Y478" t="str">
        <v>Aerospatiale/Alenia ATR72</v>
      </c>
    </row>
    <row r="479" spans="1:25" x14ac:dyDescent="0.25">
      <c r="A479" t="s">
        <v>1436</v>
      </c>
      <c r="B479" t="s">
        <v>0</v>
      </c>
      <c r="C479" t="s">
        <v>137</v>
      </c>
      <c r="D479" t="s">
        <v>138</v>
      </c>
      <c r="E479" t="s">
        <v>52</v>
      </c>
      <c r="F479" s="5">
        <v>43401</v>
      </c>
      <c r="G479" s="5">
        <v>43554</v>
      </c>
      <c r="H479" s="6">
        <v>0.34027777777777773</v>
      </c>
      <c r="I479" t="s">
        <v>139</v>
      </c>
      <c r="J479" t="s">
        <v>372</v>
      </c>
      <c r="K479" t="s">
        <v>25</v>
      </c>
      <c r="M479" t="s">
        <v>80</v>
      </c>
      <c r="N479" t="str">
        <v>Destino</v>
      </c>
      <c r="O479" t="str">
        <v>LA PALMA /STA.CRUZ DE LA PALMA</v>
      </c>
      <c r="P479" t="str">
        <v>SPC</v>
      </c>
      <c r="Q479" t="str">
        <v>11:30:00</v>
      </c>
      <c r="R479" t="str">
        <v>AT7</v>
      </c>
      <c r="S479" t="str">
        <v xml:space="preserve">  IBB619</v>
      </c>
      <c r="T479" t="str">
        <v>ESPAÑA</v>
      </c>
      <c r="U479" t="str">
        <v/>
      </c>
      <c r="V479" t="str">
        <v>TFN</v>
      </c>
      <c r="W479" t="str">
        <v>09/02/2019</v>
      </c>
      <c r="X479">
        <v>72</v>
      </c>
      <c r="Y479" t="str">
        <v>Aerospatiale/Alenia ATR72</v>
      </c>
    </row>
    <row r="480" spans="1:25" x14ac:dyDescent="0.25">
      <c r="A480" t="s">
        <v>1436</v>
      </c>
      <c r="B480" t="s">
        <v>0</v>
      </c>
      <c r="C480" t="s">
        <v>137</v>
      </c>
      <c r="D480" t="s">
        <v>138</v>
      </c>
      <c r="E480" t="s">
        <v>59</v>
      </c>
      <c r="F480" s="5">
        <v>43444</v>
      </c>
      <c r="G480" s="5">
        <v>43549</v>
      </c>
      <c r="H480" s="6">
        <v>0.34027777777777773</v>
      </c>
      <c r="I480" t="s">
        <v>141</v>
      </c>
      <c r="J480" t="s">
        <v>371</v>
      </c>
      <c r="K480" t="s">
        <v>25</v>
      </c>
      <c r="M480" t="s">
        <v>80</v>
      </c>
      <c r="N480" t="str">
        <v>Destino</v>
      </c>
      <c r="O480" t="str">
        <v>LA PALMA /STA.CRUZ DE LA PALMA</v>
      </c>
      <c r="P480" t="str">
        <v>SPC</v>
      </c>
      <c r="Q480" t="str">
        <v>12:00:00</v>
      </c>
      <c r="R480" t="str">
        <v>AT7</v>
      </c>
      <c r="S480" t="str">
        <v xml:space="preserve">  IBB619</v>
      </c>
      <c r="T480" t="str">
        <v>ESPAÑA</v>
      </c>
      <c r="U480" t="str">
        <v/>
      </c>
      <c r="V480" t="str">
        <v>TFN</v>
      </c>
      <c r="W480" t="str">
        <v>08/02/2019</v>
      </c>
      <c r="X480">
        <v>72</v>
      </c>
      <c r="Y480" t="str">
        <v>Aerospatiale/Alenia ATR72</v>
      </c>
    </row>
    <row r="481" spans="1:25" x14ac:dyDescent="0.25">
      <c r="A481" t="s">
        <v>1436</v>
      </c>
      <c r="B481" t="s">
        <v>0</v>
      </c>
      <c r="C481" t="s">
        <v>137</v>
      </c>
      <c r="D481" t="s">
        <v>138</v>
      </c>
      <c r="E481" t="s">
        <v>1847</v>
      </c>
      <c r="F481" s="5">
        <v>43473</v>
      </c>
      <c r="G481" s="5">
        <v>43552</v>
      </c>
      <c r="H481" s="6">
        <v>0.34027777777777773</v>
      </c>
      <c r="I481" t="s">
        <v>139</v>
      </c>
      <c r="J481" t="s">
        <v>372</v>
      </c>
      <c r="K481" t="s">
        <v>25</v>
      </c>
      <c r="M481" t="s">
        <v>80</v>
      </c>
      <c r="N481" t="str">
        <v>Destino</v>
      </c>
      <c r="O481" t="str">
        <v>LA PALMA /STA.CRUZ DE LA PALMA</v>
      </c>
      <c r="P481" t="str">
        <v>SPC</v>
      </c>
      <c r="Q481" t="str">
        <v>12:00:00</v>
      </c>
      <c r="R481" t="str">
        <v>AT7</v>
      </c>
      <c r="S481" t="str">
        <v xml:space="preserve">  IBB619</v>
      </c>
      <c r="T481" t="str">
        <v>ESPAÑA</v>
      </c>
      <c r="U481" t="str">
        <v/>
      </c>
      <c r="V481" t="str">
        <v>TFN</v>
      </c>
      <c r="W481" t="str">
        <v>10/02/2019</v>
      </c>
      <c r="X481">
        <v>72</v>
      </c>
      <c r="Y481" t="str">
        <v>Aerospatiale/Alenia ATR72</v>
      </c>
    </row>
    <row r="482" spans="1:25" x14ac:dyDescent="0.25">
      <c r="A482" t="s">
        <v>1436</v>
      </c>
      <c r="B482" t="s">
        <v>0</v>
      </c>
      <c r="C482" t="s">
        <v>137</v>
      </c>
      <c r="D482" t="s">
        <v>138</v>
      </c>
      <c r="E482" t="s">
        <v>144</v>
      </c>
      <c r="F482" s="5">
        <v>43473</v>
      </c>
      <c r="G482" s="5">
        <v>43554</v>
      </c>
      <c r="H482" s="6">
        <v>0.34027777777777773</v>
      </c>
      <c r="I482" t="s">
        <v>139</v>
      </c>
      <c r="J482" t="s">
        <v>373</v>
      </c>
      <c r="K482" t="s">
        <v>25</v>
      </c>
      <c r="M482" t="s">
        <v>80</v>
      </c>
      <c r="N482" t="str">
        <v>Destino</v>
      </c>
      <c r="O482" t="str">
        <v>LA PALMA /STA.CRUZ DE LA PALMA</v>
      </c>
      <c r="P482" t="str">
        <v>SPC</v>
      </c>
      <c r="Q482" t="str">
        <v>12:30:00</v>
      </c>
      <c r="R482" t="str">
        <v>AT7</v>
      </c>
      <c r="S482" t="str">
        <v xml:space="preserve">  AEA9463</v>
      </c>
      <c r="T482" t="str">
        <v>ESPAÑA</v>
      </c>
      <c r="U482" t="str">
        <v/>
      </c>
      <c r="V482" t="str">
        <v>TFN</v>
      </c>
      <c r="W482" t="str">
        <v>10/02/2019</v>
      </c>
      <c r="X482">
        <v>72</v>
      </c>
      <c r="Y482" t="str">
        <v>Aerospatiale/Alenia ATR72</v>
      </c>
    </row>
    <row r="483" spans="1:25" x14ac:dyDescent="0.25">
      <c r="A483" t="s">
        <v>1436</v>
      </c>
      <c r="B483" t="s">
        <v>0</v>
      </c>
      <c r="C483" t="s">
        <v>137</v>
      </c>
      <c r="D483" t="s">
        <v>138</v>
      </c>
      <c r="E483" t="s">
        <v>132</v>
      </c>
      <c r="F483" s="5">
        <v>43488</v>
      </c>
      <c r="G483" s="5">
        <v>43553</v>
      </c>
      <c r="H483" s="6">
        <v>0.34027777777777773</v>
      </c>
      <c r="I483" t="s">
        <v>139</v>
      </c>
      <c r="J483" t="s">
        <v>372</v>
      </c>
      <c r="K483" t="s">
        <v>25</v>
      </c>
      <c r="M483" t="s">
        <v>80</v>
      </c>
      <c r="N483" t="str">
        <v>Destino</v>
      </c>
      <c r="O483" t="str">
        <v>LA PALMA /STA.CRUZ DE LA PALMA</v>
      </c>
      <c r="P483" t="str">
        <v>SPC</v>
      </c>
      <c r="Q483" t="str">
        <v>12:30:00</v>
      </c>
      <c r="R483" t="str">
        <v>AT7</v>
      </c>
      <c r="S483" t="str">
        <v xml:space="preserve">  AEA9463</v>
      </c>
      <c r="T483" t="str">
        <v>ESPAÑA</v>
      </c>
      <c r="U483" t="str">
        <v/>
      </c>
      <c r="V483" t="str">
        <v>TFN</v>
      </c>
      <c r="W483" t="str">
        <v>09/02/2019</v>
      </c>
      <c r="X483">
        <v>72</v>
      </c>
      <c r="Y483" t="str">
        <v>Aerospatiale/Alenia ATR72</v>
      </c>
    </row>
    <row r="484" spans="1:25" x14ac:dyDescent="0.25">
      <c r="A484" t="s">
        <v>1436</v>
      </c>
      <c r="B484" t="s">
        <v>0</v>
      </c>
      <c r="C484" t="s">
        <v>137</v>
      </c>
      <c r="D484" t="s">
        <v>138</v>
      </c>
      <c r="E484" t="s">
        <v>20</v>
      </c>
      <c r="F484" s="5">
        <v>43404</v>
      </c>
      <c r="G484" s="5">
        <v>43551</v>
      </c>
      <c r="H484" s="6">
        <v>0.3888888888888889</v>
      </c>
      <c r="I484" t="s">
        <v>139</v>
      </c>
      <c r="J484" t="s">
        <v>374</v>
      </c>
      <c r="K484" t="s">
        <v>25</v>
      </c>
      <c r="M484" t="s">
        <v>80</v>
      </c>
      <c r="N484" t="str">
        <v>Destino</v>
      </c>
      <c r="O484" t="str">
        <v>LA PALMA /STA.CRUZ DE LA PALMA</v>
      </c>
      <c r="P484" t="str">
        <v>SPC</v>
      </c>
      <c r="Q484" t="str">
        <v>13:00:00</v>
      </c>
      <c r="R484" t="str">
        <v>AT7</v>
      </c>
      <c r="S484" t="str">
        <v xml:space="preserve">  IBB621</v>
      </c>
      <c r="T484" t="str">
        <v>ESPAÑA</v>
      </c>
      <c r="U484" t="str">
        <v/>
      </c>
      <c r="V484" t="str">
        <v>TFN</v>
      </c>
      <c r="W484" t="str">
        <v>06/02/2019</v>
      </c>
      <c r="X484">
        <v>72</v>
      </c>
      <c r="Y484" t="str">
        <v>Aerospatiale/Alenia ATR72</v>
      </c>
    </row>
    <row r="485" spans="1:25" x14ac:dyDescent="0.25">
      <c r="A485" t="s">
        <v>1436</v>
      </c>
      <c r="B485" t="s">
        <v>0</v>
      </c>
      <c r="C485" t="s">
        <v>137</v>
      </c>
      <c r="D485" t="s">
        <v>138</v>
      </c>
      <c r="E485" t="s">
        <v>146</v>
      </c>
      <c r="F485" s="5">
        <v>43473</v>
      </c>
      <c r="G485" s="5">
        <v>43522</v>
      </c>
      <c r="H485" s="6">
        <v>0.3888888888888889</v>
      </c>
      <c r="I485" t="s">
        <v>139</v>
      </c>
      <c r="J485" t="s">
        <v>374</v>
      </c>
      <c r="K485" t="s">
        <v>25</v>
      </c>
      <c r="M485" t="s">
        <v>80</v>
      </c>
      <c r="N485" t="str">
        <v>Destino</v>
      </c>
      <c r="O485" t="str">
        <v>LA PALMA /STA.CRUZ DE LA PALMA</v>
      </c>
      <c r="P485" t="str">
        <v>SPC</v>
      </c>
      <c r="Q485" t="str">
        <v>13:00:00</v>
      </c>
      <c r="R485" t="str">
        <v>AT7</v>
      </c>
      <c r="S485" t="str">
        <v xml:space="preserve">  IBB621</v>
      </c>
      <c r="T485" t="str">
        <v>ESPAÑA</v>
      </c>
      <c r="U485" t="str">
        <v/>
      </c>
      <c r="V485" t="str">
        <v>TFN</v>
      </c>
      <c r="W485" t="str">
        <v>05/02/2019</v>
      </c>
      <c r="X485">
        <v>72</v>
      </c>
      <c r="Y485" t="str">
        <v>Aerospatiale/Alenia ATR72</v>
      </c>
    </row>
    <row r="486" spans="1:25" x14ac:dyDescent="0.25">
      <c r="A486" t="s">
        <v>1436</v>
      </c>
      <c r="B486" t="s">
        <v>0</v>
      </c>
      <c r="C486" t="s">
        <v>137</v>
      </c>
      <c r="D486" t="s">
        <v>138</v>
      </c>
      <c r="E486" t="s">
        <v>673</v>
      </c>
      <c r="F486" s="5">
        <v>43475</v>
      </c>
      <c r="G486" s="5">
        <v>43553</v>
      </c>
      <c r="H486" s="6">
        <v>0.3888888888888889</v>
      </c>
      <c r="I486" t="s">
        <v>139</v>
      </c>
      <c r="J486" t="s">
        <v>374</v>
      </c>
      <c r="K486" t="s">
        <v>25</v>
      </c>
      <c r="M486" t="s">
        <v>80</v>
      </c>
      <c r="N486" t="str">
        <v>Destino</v>
      </c>
      <c r="O486" t="str">
        <v>LA PALMA /STA.CRUZ DE LA PALMA</v>
      </c>
      <c r="P486" t="str">
        <v>SPC</v>
      </c>
      <c r="Q486" t="str">
        <v>13:00:00</v>
      </c>
      <c r="R486" t="str">
        <v>AT7</v>
      </c>
      <c r="S486" t="str">
        <v xml:space="preserve">  IBB621</v>
      </c>
      <c r="T486" t="str">
        <v>ESPAÑA</v>
      </c>
      <c r="U486" t="str">
        <v/>
      </c>
      <c r="V486" t="str">
        <v>TFN</v>
      </c>
      <c r="W486" t="str">
        <v>08/02/2019</v>
      </c>
      <c r="X486">
        <v>72</v>
      </c>
      <c r="Y486" t="str">
        <v>Aerospatiale/Alenia ATR72</v>
      </c>
    </row>
    <row r="487" spans="1:25" x14ac:dyDescent="0.25">
      <c r="A487" t="s">
        <v>1436</v>
      </c>
      <c r="B487" t="s">
        <v>0</v>
      </c>
      <c r="C487" t="s">
        <v>137</v>
      </c>
      <c r="D487" t="s">
        <v>138</v>
      </c>
      <c r="E487" t="s">
        <v>22</v>
      </c>
      <c r="F487" s="5">
        <v>43477</v>
      </c>
      <c r="G487" s="5">
        <v>43519</v>
      </c>
      <c r="H487" s="6">
        <v>0.3923611111111111</v>
      </c>
      <c r="I487" t="s">
        <v>139</v>
      </c>
      <c r="J487" t="s">
        <v>374</v>
      </c>
      <c r="K487" t="s">
        <v>25</v>
      </c>
      <c r="M487" t="s">
        <v>80</v>
      </c>
      <c r="N487" t="str">
        <v>Destino</v>
      </c>
      <c r="O487" t="str">
        <v>LA PALMA /STA.CRUZ DE LA PALMA</v>
      </c>
      <c r="P487" t="str">
        <v>SPC</v>
      </c>
      <c r="Q487" t="str">
        <v>13:00:00</v>
      </c>
      <c r="R487" t="str">
        <v>AT7</v>
      </c>
      <c r="S487" t="str">
        <v xml:space="preserve">  IBB621</v>
      </c>
      <c r="T487" t="str">
        <v>ESPAÑA</v>
      </c>
      <c r="U487" t="str">
        <v/>
      </c>
      <c r="V487" t="str">
        <v>TFN</v>
      </c>
      <c r="W487" t="str">
        <v>07/02/2019</v>
      </c>
      <c r="X487">
        <v>72</v>
      </c>
      <c r="Y487" t="str">
        <v>Aerospatiale/Alenia ATR72</v>
      </c>
    </row>
    <row r="488" spans="1:25" x14ac:dyDescent="0.25">
      <c r="A488" t="s">
        <v>1436</v>
      </c>
      <c r="B488" t="s">
        <v>0</v>
      </c>
      <c r="C488" t="s">
        <v>137</v>
      </c>
      <c r="D488" t="s">
        <v>138</v>
      </c>
      <c r="E488" t="s">
        <v>13</v>
      </c>
      <c r="F488" s="5">
        <v>43405</v>
      </c>
      <c r="G488" s="5">
        <v>43552</v>
      </c>
      <c r="H488" s="6">
        <v>0.43055555555555558</v>
      </c>
      <c r="I488" t="s">
        <v>139</v>
      </c>
      <c r="J488" t="s">
        <v>375</v>
      </c>
      <c r="K488" t="s">
        <v>25</v>
      </c>
      <c r="M488" t="s">
        <v>80</v>
      </c>
      <c r="N488" t="str">
        <v>Destino</v>
      </c>
      <c r="O488" t="str">
        <v>LA PALMA /STA.CRUZ DE LA PALMA</v>
      </c>
      <c r="P488" t="str">
        <v>SPC</v>
      </c>
      <c r="Q488" t="str">
        <v>13:00:00</v>
      </c>
      <c r="R488" t="str">
        <v>AT7</v>
      </c>
      <c r="S488" t="str">
        <v xml:space="preserve">  IBB621</v>
      </c>
      <c r="T488" t="str">
        <v>ESPAÑA</v>
      </c>
      <c r="U488" t="str">
        <v/>
      </c>
      <c r="V488" t="str">
        <v>TFN</v>
      </c>
      <c r="W488" t="str">
        <v>09/02/2019</v>
      </c>
      <c r="X488">
        <v>72</v>
      </c>
      <c r="Y488" t="str">
        <v>Aerospatiale/Alenia ATR72</v>
      </c>
    </row>
    <row r="489" spans="1:25" x14ac:dyDescent="0.25">
      <c r="A489" t="s">
        <v>1436</v>
      </c>
      <c r="B489" t="s">
        <v>0</v>
      </c>
      <c r="C489" t="s">
        <v>137</v>
      </c>
      <c r="D489" t="s">
        <v>138</v>
      </c>
      <c r="E489" t="s">
        <v>190</v>
      </c>
      <c r="F489" s="5">
        <v>43448</v>
      </c>
      <c r="G489" s="5">
        <v>43554</v>
      </c>
      <c r="H489" s="6">
        <v>0.43055555555555558</v>
      </c>
      <c r="I489" t="s">
        <v>139</v>
      </c>
      <c r="J489" t="s">
        <v>375</v>
      </c>
      <c r="K489" t="s">
        <v>25</v>
      </c>
      <c r="M489" t="s">
        <v>80</v>
      </c>
      <c r="N489" t="str">
        <v>Destino</v>
      </c>
      <c r="O489" t="str">
        <v>LA PALMA /STA.CRUZ DE LA PALMA</v>
      </c>
      <c r="P489" t="str">
        <v>SPC</v>
      </c>
      <c r="Q489" t="str">
        <v>13:00:00</v>
      </c>
      <c r="R489" t="str">
        <v>AT7</v>
      </c>
      <c r="S489" t="str">
        <v xml:space="preserve">  IBB621</v>
      </c>
      <c r="T489" t="str">
        <v>ESPAÑA</v>
      </c>
      <c r="U489" t="str">
        <v/>
      </c>
      <c r="V489" t="str">
        <v>TFN</v>
      </c>
      <c r="W489" t="str">
        <v>10/02/2019</v>
      </c>
      <c r="X489">
        <v>72</v>
      </c>
      <c r="Y489" t="str">
        <v>Aerospatiale/Alenia ATR72</v>
      </c>
    </row>
    <row r="490" spans="1:25" x14ac:dyDescent="0.25">
      <c r="A490" t="s">
        <v>1436</v>
      </c>
      <c r="B490" t="s">
        <v>0</v>
      </c>
      <c r="C490" t="s">
        <v>137</v>
      </c>
      <c r="D490" t="s">
        <v>138</v>
      </c>
      <c r="E490" t="s">
        <v>19</v>
      </c>
      <c r="F490" s="5">
        <v>43466</v>
      </c>
      <c r="G490" s="5">
        <v>43550</v>
      </c>
      <c r="H490" s="6">
        <v>0.43055555555555558</v>
      </c>
      <c r="I490" t="s">
        <v>139</v>
      </c>
      <c r="J490" t="s">
        <v>375</v>
      </c>
      <c r="K490" t="s">
        <v>25</v>
      </c>
      <c r="M490" t="s">
        <v>80</v>
      </c>
      <c r="N490" t="str">
        <v>Destino</v>
      </c>
      <c r="O490" t="str">
        <v>LA PALMA /STA.CRUZ DE LA PALMA</v>
      </c>
      <c r="P490" t="str">
        <v>SPC</v>
      </c>
      <c r="Q490" t="str">
        <v>13:00:00</v>
      </c>
      <c r="R490" t="str">
        <v>AT7</v>
      </c>
      <c r="S490" t="str">
        <v xml:space="preserve">  IBB621</v>
      </c>
      <c r="T490" t="str">
        <v>ESPAÑA</v>
      </c>
      <c r="U490" t="str">
        <v/>
      </c>
      <c r="V490" t="str">
        <v>TFN</v>
      </c>
      <c r="W490" t="str">
        <v>04/02/2019</v>
      </c>
      <c r="X490">
        <v>72</v>
      </c>
      <c r="Y490" t="str">
        <v>Aerospatiale/Alenia ATR72</v>
      </c>
    </row>
    <row r="491" spans="1:25" x14ac:dyDescent="0.25">
      <c r="A491" t="s">
        <v>1436</v>
      </c>
      <c r="B491" t="s">
        <v>0</v>
      </c>
      <c r="C491" t="s">
        <v>137</v>
      </c>
      <c r="D491" t="s">
        <v>138</v>
      </c>
      <c r="E491" t="s">
        <v>20</v>
      </c>
      <c r="F491" s="5">
        <v>43474</v>
      </c>
      <c r="G491" s="5">
        <v>43551</v>
      </c>
      <c r="H491" s="6">
        <v>0.43055555555555558</v>
      </c>
      <c r="I491" t="s">
        <v>139</v>
      </c>
      <c r="J491" t="s">
        <v>375</v>
      </c>
      <c r="K491" t="s">
        <v>25</v>
      </c>
      <c r="M491" t="s">
        <v>80</v>
      </c>
      <c r="N491" t="str">
        <v>Destino</v>
      </c>
      <c r="O491" t="str">
        <v>LA PALMA /STA.CRUZ DE LA PALMA</v>
      </c>
      <c r="P491" t="str">
        <v>SPC</v>
      </c>
      <c r="Q491" t="str">
        <v>14:00:00</v>
      </c>
      <c r="R491" t="str">
        <v>AT7</v>
      </c>
      <c r="S491" t="str">
        <v xml:space="preserve">  IBB629</v>
      </c>
      <c r="T491" t="str">
        <v>ESPAÑA</v>
      </c>
      <c r="U491" t="str">
        <v/>
      </c>
      <c r="V491" t="str">
        <v>TFN</v>
      </c>
      <c r="W491" t="str">
        <v>08/02/2019</v>
      </c>
      <c r="X491">
        <v>72</v>
      </c>
      <c r="Y491" t="str">
        <v>Aerospatiale/Alenia ATR72</v>
      </c>
    </row>
    <row r="492" spans="1:25" x14ac:dyDescent="0.25">
      <c r="A492" t="s">
        <v>1436</v>
      </c>
      <c r="B492" t="s">
        <v>0</v>
      </c>
      <c r="C492" t="s">
        <v>137</v>
      </c>
      <c r="D492" t="s">
        <v>138</v>
      </c>
      <c r="E492" t="s">
        <v>59</v>
      </c>
      <c r="F492" s="5">
        <v>43500</v>
      </c>
      <c r="G492" s="5">
        <v>43549</v>
      </c>
      <c r="H492" s="6">
        <v>0.44444444444444442</v>
      </c>
      <c r="I492" t="s">
        <v>141</v>
      </c>
      <c r="J492" t="s">
        <v>375</v>
      </c>
      <c r="K492" t="s">
        <v>25</v>
      </c>
      <c r="M492" t="s">
        <v>80</v>
      </c>
      <c r="N492" t="str">
        <v>Destino</v>
      </c>
      <c r="O492" t="str">
        <v>LA PALMA /STA.CRUZ DE LA PALMA</v>
      </c>
      <c r="P492" t="str">
        <v>SPC</v>
      </c>
      <c r="Q492" t="str">
        <v>14:00:00</v>
      </c>
      <c r="R492" t="str">
        <v>AT7</v>
      </c>
      <c r="S492" t="str">
        <v xml:space="preserve">  IBB629</v>
      </c>
      <c r="T492" t="str">
        <v>ESPAÑA</v>
      </c>
      <c r="U492" t="str">
        <v/>
      </c>
      <c r="V492" t="str">
        <v>TFN</v>
      </c>
      <c r="W492" t="str">
        <v>10/02/2019</v>
      </c>
      <c r="X492">
        <v>72</v>
      </c>
      <c r="Y492" t="str">
        <v>Aerospatiale/Alenia ATR72</v>
      </c>
    </row>
    <row r="493" spans="1:25" x14ac:dyDescent="0.25">
      <c r="A493" t="s">
        <v>1436</v>
      </c>
      <c r="B493" t="s">
        <v>0</v>
      </c>
      <c r="C493" t="s">
        <v>137</v>
      </c>
      <c r="D493" t="s">
        <v>138</v>
      </c>
      <c r="E493" t="s">
        <v>59</v>
      </c>
      <c r="F493" s="5">
        <v>43472</v>
      </c>
      <c r="G493" s="5">
        <v>43549</v>
      </c>
      <c r="H493" s="6">
        <v>0.46527777777777773</v>
      </c>
      <c r="I493" t="s">
        <v>139</v>
      </c>
      <c r="J493" t="s">
        <v>376</v>
      </c>
      <c r="K493" t="s">
        <v>25</v>
      </c>
      <c r="M493" t="s">
        <v>80</v>
      </c>
      <c r="N493" t="str">
        <v>Destino</v>
      </c>
      <c r="O493" t="str">
        <v>LA PALMA /STA.CRUZ DE LA PALMA</v>
      </c>
      <c r="P493" t="str">
        <v>SPC</v>
      </c>
      <c r="Q493" t="str">
        <v>14:10:00</v>
      </c>
      <c r="R493" t="str">
        <v>AT7</v>
      </c>
      <c r="S493" t="str">
        <v xml:space="preserve">  AEA9465</v>
      </c>
      <c r="T493" t="str">
        <v>ESPAÑA</v>
      </c>
      <c r="U493" t="str">
        <v/>
      </c>
      <c r="V493" t="str">
        <v>TFN</v>
      </c>
      <c r="W493" t="str">
        <v>06/02/2019</v>
      </c>
      <c r="X493">
        <v>72</v>
      </c>
      <c r="Y493" t="str">
        <v>Aerospatiale/Alenia ATR72</v>
      </c>
    </row>
    <row r="494" spans="1:25" x14ac:dyDescent="0.25">
      <c r="A494" t="s">
        <v>1436</v>
      </c>
      <c r="B494" t="s">
        <v>0</v>
      </c>
      <c r="C494" t="s">
        <v>137</v>
      </c>
      <c r="D494" t="s">
        <v>138</v>
      </c>
      <c r="E494" t="s">
        <v>1527</v>
      </c>
      <c r="F494" s="5">
        <v>43477</v>
      </c>
      <c r="G494" s="5">
        <v>43554</v>
      </c>
      <c r="H494" s="6">
        <v>0.46527777777777773</v>
      </c>
      <c r="I494" t="s">
        <v>139</v>
      </c>
      <c r="J494" t="s">
        <v>376</v>
      </c>
      <c r="K494" t="s">
        <v>25</v>
      </c>
      <c r="M494" t="s">
        <v>80</v>
      </c>
      <c r="N494" t="str">
        <v>Destino</v>
      </c>
      <c r="O494" t="str">
        <v>LA PALMA /STA.CRUZ DE LA PALMA</v>
      </c>
      <c r="P494" t="str">
        <v>SPC</v>
      </c>
      <c r="Q494" t="str">
        <v>14:10:00</v>
      </c>
      <c r="R494" t="str">
        <v>AT7</v>
      </c>
      <c r="S494" t="str">
        <v xml:space="preserve">  AEA9465</v>
      </c>
      <c r="T494" t="str">
        <v>ESPAÑA</v>
      </c>
      <c r="U494" t="str">
        <v/>
      </c>
      <c r="V494" t="str">
        <v>TFN</v>
      </c>
      <c r="W494" t="str">
        <v>05/02/2019</v>
      </c>
      <c r="X494">
        <v>72</v>
      </c>
      <c r="Y494" t="str">
        <v>Aerospatiale/Alenia ATR72</v>
      </c>
    </row>
    <row r="495" spans="1:25" x14ac:dyDescent="0.25">
      <c r="A495" t="s">
        <v>1436</v>
      </c>
      <c r="B495" t="s">
        <v>0</v>
      </c>
      <c r="C495" t="s">
        <v>137</v>
      </c>
      <c r="D495" t="s">
        <v>138</v>
      </c>
      <c r="E495" t="s">
        <v>19</v>
      </c>
      <c r="F495" s="5">
        <v>43480</v>
      </c>
      <c r="G495" s="5">
        <v>43522</v>
      </c>
      <c r="H495" s="6">
        <v>0.46527777777777773</v>
      </c>
      <c r="I495" t="s">
        <v>139</v>
      </c>
      <c r="J495" t="s">
        <v>376</v>
      </c>
      <c r="K495" t="s">
        <v>25</v>
      </c>
      <c r="M495" t="s">
        <v>80</v>
      </c>
      <c r="N495" t="str">
        <v>Destino</v>
      </c>
      <c r="O495" t="str">
        <v>LA PALMA /STA.CRUZ DE LA PALMA</v>
      </c>
      <c r="P495" t="str">
        <v>SPC</v>
      </c>
      <c r="Q495" t="str">
        <v>14:10:00</v>
      </c>
      <c r="R495" t="str">
        <v>AT7</v>
      </c>
      <c r="S495" t="str">
        <v xml:space="preserve">  AEA9465</v>
      </c>
      <c r="T495" t="str">
        <v>ESPAÑA</v>
      </c>
      <c r="U495" t="str">
        <v/>
      </c>
      <c r="V495" t="str">
        <v>TFN</v>
      </c>
      <c r="W495" t="str">
        <v>04/02/2019</v>
      </c>
      <c r="X495">
        <v>72</v>
      </c>
      <c r="Y495" t="str">
        <v>Aerospatiale/Alenia ATR72</v>
      </c>
    </row>
    <row r="496" spans="1:25" x14ac:dyDescent="0.25">
      <c r="A496" t="s">
        <v>1436</v>
      </c>
      <c r="B496" t="s">
        <v>0</v>
      </c>
      <c r="C496" t="s">
        <v>137</v>
      </c>
      <c r="D496" t="s">
        <v>138</v>
      </c>
      <c r="E496" t="s">
        <v>18</v>
      </c>
      <c r="F496" s="5">
        <v>43506</v>
      </c>
      <c r="G496" s="5">
        <v>43548</v>
      </c>
      <c r="H496" s="6">
        <v>0.46527777777777773</v>
      </c>
      <c r="I496" t="s">
        <v>139</v>
      </c>
      <c r="J496" t="s">
        <v>376</v>
      </c>
      <c r="K496" t="s">
        <v>25</v>
      </c>
      <c r="M496" t="s">
        <v>80</v>
      </c>
      <c r="N496" t="str">
        <v>Destino</v>
      </c>
      <c r="O496" t="str">
        <v>LA PALMA /STA.CRUZ DE LA PALMA</v>
      </c>
      <c r="P496" t="str">
        <v>SPC</v>
      </c>
      <c r="Q496" t="str">
        <v>14:10:00</v>
      </c>
      <c r="R496" t="str">
        <v>AT7</v>
      </c>
      <c r="S496" t="str">
        <v xml:space="preserve">  AEA9465</v>
      </c>
      <c r="T496" t="str">
        <v>ESPAÑA</v>
      </c>
      <c r="U496" t="str">
        <v/>
      </c>
      <c r="V496" t="str">
        <v>TFN</v>
      </c>
      <c r="W496" t="str">
        <v>08/02/2019</v>
      </c>
      <c r="X496">
        <v>72</v>
      </c>
      <c r="Y496" t="str">
        <v>Aerospatiale/Alenia ATR72</v>
      </c>
    </row>
    <row r="497" spans="1:25" x14ac:dyDescent="0.25">
      <c r="A497" t="s">
        <v>1436</v>
      </c>
      <c r="B497" t="s">
        <v>0</v>
      </c>
      <c r="C497" t="s">
        <v>137</v>
      </c>
      <c r="D497" t="s">
        <v>138</v>
      </c>
      <c r="E497" t="s">
        <v>814</v>
      </c>
      <c r="F497" s="5">
        <v>43402</v>
      </c>
      <c r="G497" s="5">
        <v>43554</v>
      </c>
      <c r="H497" s="6">
        <v>0.49305555555555558</v>
      </c>
      <c r="I497" t="s">
        <v>139</v>
      </c>
      <c r="J497" t="s">
        <v>377</v>
      </c>
      <c r="K497" t="s">
        <v>25</v>
      </c>
      <c r="M497" t="s">
        <v>80</v>
      </c>
      <c r="N497" t="str">
        <v>Destino</v>
      </c>
      <c r="O497" t="str">
        <v>LA PALMA /STA.CRUZ DE LA PALMA</v>
      </c>
      <c r="P497" t="str">
        <v>SPC</v>
      </c>
      <c r="Q497" t="str">
        <v>14:10:00</v>
      </c>
      <c r="R497" t="str">
        <v>AT7</v>
      </c>
      <c r="S497" t="str">
        <v xml:space="preserve">  AEA9465</v>
      </c>
      <c r="T497" t="str">
        <v>ESPAÑA</v>
      </c>
      <c r="U497" t="str">
        <v/>
      </c>
      <c r="V497" t="str">
        <v>TFN</v>
      </c>
      <c r="W497" t="str">
        <v>07/02/2019</v>
      </c>
      <c r="X497">
        <v>72</v>
      </c>
      <c r="Y497" t="str">
        <v>Aerospatiale/Alenia ATR72</v>
      </c>
    </row>
    <row r="498" spans="1:25" x14ac:dyDescent="0.25">
      <c r="A498" t="s">
        <v>1436</v>
      </c>
      <c r="B498" t="s">
        <v>0</v>
      </c>
      <c r="C498" t="s">
        <v>137</v>
      </c>
      <c r="D498" t="s">
        <v>138</v>
      </c>
      <c r="E498" t="s">
        <v>72</v>
      </c>
      <c r="F498" s="5">
        <v>43403</v>
      </c>
      <c r="G498" s="5">
        <v>43522</v>
      </c>
      <c r="H498" s="6">
        <v>0.52777777777777779</v>
      </c>
      <c r="I498" t="s">
        <v>139</v>
      </c>
      <c r="J498" t="s">
        <v>378</v>
      </c>
      <c r="K498" t="s">
        <v>25</v>
      </c>
      <c r="M498" t="s">
        <v>80</v>
      </c>
      <c r="N498" t="str">
        <v>Destino</v>
      </c>
      <c r="O498" t="str">
        <v>LA PALMA /STA.CRUZ DE LA PALMA</v>
      </c>
      <c r="P498" t="str">
        <v>SPC</v>
      </c>
      <c r="Q498" t="str">
        <v>14:20:00</v>
      </c>
      <c r="R498" t="str">
        <v>AT7</v>
      </c>
      <c r="S498" t="str">
        <v xml:space="preserve">  CNF452</v>
      </c>
      <c r="T498" t="str">
        <v>ESPAÑA</v>
      </c>
      <c r="U498" t="str">
        <v/>
      </c>
      <c r="V498" t="str">
        <v>TFN</v>
      </c>
      <c r="W498" t="str">
        <v>06/02/2019</v>
      </c>
      <c r="X498">
        <v>72</v>
      </c>
      <c r="Y498" t="str">
        <v>Aerospatiale/Alenia ATR72</v>
      </c>
    </row>
    <row r="499" spans="1:25" x14ac:dyDescent="0.25">
      <c r="A499" t="s">
        <v>1436</v>
      </c>
      <c r="B499" t="s">
        <v>0</v>
      </c>
      <c r="C499" t="s">
        <v>137</v>
      </c>
      <c r="D499" t="s">
        <v>138</v>
      </c>
      <c r="E499" t="s">
        <v>805</v>
      </c>
      <c r="F499" s="5">
        <v>43404</v>
      </c>
      <c r="G499" s="5">
        <v>43553</v>
      </c>
      <c r="H499" s="6">
        <v>0.52777777777777779</v>
      </c>
      <c r="I499" t="s">
        <v>139</v>
      </c>
      <c r="J499" t="s">
        <v>378</v>
      </c>
      <c r="K499" t="s">
        <v>25</v>
      </c>
      <c r="M499" t="s">
        <v>80</v>
      </c>
      <c r="N499" t="str">
        <v>Destino</v>
      </c>
      <c r="O499" t="str">
        <v>LA PALMA /STA.CRUZ DE LA PALMA</v>
      </c>
      <c r="P499" t="str">
        <v>SPC</v>
      </c>
      <c r="Q499" t="str">
        <v>14:20:00</v>
      </c>
      <c r="R499" t="str">
        <v>AT7</v>
      </c>
      <c r="S499" t="str">
        <v xml:space="preserve">  CNF452</v>
      </c>
      <c r="T499" t="str">
        <v>ESPAÑA</v>
      </c>
      <c r="U499" t="str">
        <v/>
      </c>
      <c r="V499" t="str">
        <v>TFN</v>
      </c>
      <c r="W499" t="str">
        <v>05/02/2019</v>
      </c>
      <c r="X499">
        <v>72</v>
      </c>
      <c r="Y499" t="str">
        <v>Aerospatiale/Alenia ATR72</v>
      </c>
    </row>
    <row r="500" spans="1:25" x14ac:dyDescent="0.25">
      <c r="A500" t="s">
        <v>1436</v>
      </c>
      <c r="B500" t="s">
        <v>0</v>
      </c>
      <c r="C500" t="s">
        <v>137</v>
      </c>
      <c r="D500" t="s">
        <v>138</v>
      </c>
      <c r="E500" t="s">
        <v>379</v>
      </c>
      <c r="F500" s="5">
        <v>43402</v>
      </c>
      <c r="G500" s="5">
        <v>43553</v>
      </c>
      <c r="H500" s="6">
        <v>0.54166666666666663</v>
      </c>
      <c r="I500" t="s">
        <v>139</v>
      </c>
      <c r="J500" t="s">
        <v>380</v>
      </c>
      <c r="K500" t="s">
        <v>25</v>
      </c>
      <c r="M500" t="s">
        <v>80</v>
      </c>
      <c r="N500" t="str">
        <v>Destino</v>
      </c>
      <c r="O500" t="str">
        <v>LA PALMA /STA.CRUZ DE LA PALMA</v>
      </c>
      <c r="P500" t="str">
        <v>SPC</v>
      </c>
      <c r="Q500" t="str">
        <v>14:20:00</v>
      </c>
      <c r="R500" t="str">
        <v>AT7</v>
      </c>
      <c r="S500" t="str">
        <v xml:space="preserve">  CNF452</v>
      </c>
      <c r="T500" t="str">
        <v>ESPAÑA</v>
      </c>
      <c r="U500" t="str">
        <v/>
      </c>
      <c r="V500" t="str">
        <v>TFN</v>
      </c>
      <c r="W500" t="str">
        <v>04/02/2019</v>
      </c>
      <c r="X500">
        <v>72</v>
      </c>
      <c r="Y500" t="str">
        <v>Aerospatiale/Alenia ATR72</v>
      </c>
    </row>
    <row r="501" spans="1:25" x14ac:dyDescent="0.25">
      <c r="A501" t="s">
        <v>1436</v>
      </c>
      <c r="B501" t="s">
        <v>0</v>
      </c>
      <c r="C501" t="s">
        <v>137</v>
      </c>
      <c r="D501" t="s">
        <v>138</v>
      </c>
      <c r="E501" t="s">
        <v>18</v>
      </c>
      <c r="F501" s="5">
        <v>43478</v>
      </c>
      <c r="G501" s="5">
        <v>43548</v>
      </c>
      <c r="H501" s="6">
        <v>0.55555555555555558</v>
      </c>
      <c r="I501" t="s">
        <v>139</v>
      </c>
      <c r="J501" t="s">
        <v>381</v>
      </c>
      <c r="K501" t="s">
        <v>25</v>
      </c>
      <c r="M501" t="s">
        <v>80</v>
      </c>
      <c r="N501" t="str">
        <v>Destino</v>
      </c>
      <c r="O501" t="str">
        <v>LA PALMA /STA.CRUZ DE LA PALMA</v>
      </c>
      <c r="P501" t="str">
        <v>SPC</v>
      </c>
      <c r="Q501" t="str">
        <v>14:20:00</v>
      </c>
      <c r="R501" t="str">
        <v>AT7</v>
      </c>
      <c r="S501" t="str">
        <v xml:space="preserve">  CNF452</v>
      </c>
      <c r="T501" t="str">
        <v>ESPAÑA</v>
      </c>
      <c r="U501" t="str">
        <v/>
      </c>
      <c r="V501" t="str">
        <v>TFN</v>
      </c>
      <c r="W501" t="str">
        <v>08/02/2019</v>
      </c>
      <c r="X501">
        <v>72</v>
      </c>
      <c r="Y501" t="str">
        <v>Aerospatiale/Alenia ATR72</v>
      </c>
    </row>
    <row r="502" spans="1:25" x14ac:dyDescent="0.25">
      <c r="A502" t="s">
        <v>1436</v>
      </c>
      <c r="B502" t="s">
        <v>0</v>
      </c>
      <c r="C502" t="s">
        <v>137</v>
      </c>
      <c r="D502" t="s">
        <v>138</v>
      </c>
      <c r="E502" t="s">
        <v>48</v>
      </c>
      <c r="F502" s="5">
        <v>43476</v>
      </c>
      <c r="G502" s="5">
        <v>43518</v>
      </c>
      <c r="H502" s="6">
        <v>0.5625</v>
      </c>
      <c r="I502" t="s">
        <v>139</v>
      </c>
      <c r="J502" t="s">
        <v>382</v>
      </c>
      <c r="K502" t="s">
        <v>25</v>
      </c>
      <c r="M502" t="s">
        <v>80</v>
      </c>
      <c r="N502" t="str">
        <v>Destino</v>
      </c>
      <c r="O502" t="str">
        <v>LA PALMA /STA.CRUZ DE LA PALMA</v>
      </c>
      <c r="P502" t="str">
        <v>SPC</v>
      </c>
      <c r="Q502" t="str">
        <v>14:20:00</v>
      </c>
      <c r="R502" t="str">
        <v>AT7</v>
      </c>
      <c r="S502" t="str">
        <v xml:space="preserve">  CNF452</v>
      </c>
      <c r="T502" t="str">
        <v>ESPAÑA</v>
      </c>
      <c r="U502" t="str">
        <v/>
      </c>
      <c r="V502" t="str">
        <v>TFN</v>
      </c>
      <c r="W502" t="str">
        <v>07/02/2019</v>
      </c>
      <c r="X502">
        <v>72</v>
      </c>
      <c r="Y502" t="str">
        <v>Aerospatiale/Alenia ATR72</v>
      </c>
    </row>
    <row r="503" spans="1:25" x14ac:dyDescent="0.25">
      <c r="A503" t="s">
        <v>1436</v>
      </c>
      <c r="B503" t="s">
        <v>0</v>
      </c>
      <c r="C503" t="s">
        <v>137</v>
      </c>
      <c r="D503" t="s">
        <v>138</v>
      </c>
      <c r="E503" t="s">
        <v>13</v>
      </c>
      <c r="F503" s="5">
        <v>43475</v>
      </c>
      <c r="G503" s="5">
        <v>43552</v>
      </c>
      <c r="H503" s="6">
        <v>0.59027777777777779</v>
      </c>
      <c r="I503" t="s">
        <v>139</v>
      </c>
      <c r="J503" t="s">
        <v>381</v>
      </c>
      <c r="K503" t="s">
        <v>25</v>
      </c>
      <c r="M503" t="s">
        <v>80</v>
      </c>
      <c r="N503" t="str">
        <v>Destino</v>
      </c>
      <c r="O503" t="str">
        <v>LA PALMA /STA.CRUZ DE LA PALMA</v>
      </c>
      <c r="P503" t="str">
        <v>SPC</v>
      </c>
      <c r="Q503" t="str">
        <v>14:20:00</v>
      </c>
      <c r="R503" t="str">
        <v>AT7</v>
      </c>
      <c r="S503" t="str">
        <v xml:space="preserve">  CNF452</v>
      </c>
      <c r="T503" t="str">
        <v>ESPAÑA</v>
      </c>
      <c r="U503" t="str">
        <v/>
      </c>
      <c r="V503" t="str">
        <v>TFN</v>
      </c>
      <c r="W503" t="str">
        <v>10/02/2019</v>
      </c>
      <c r="X503">
        <v>72</v>
      </c>
      <c r="Y503" t="str">
        <v>Aerospatiale/Alenia ATR72</v>
      </c>
    </row>
    <row r="504" spans="1:25" x14ac:dyDescent="0.25">
      <c r="A504" t="s">
        <v>1436</v>
      </c>
      <c r="B504" t="s">
        <v>0</v>
      </c>
      <c r="C504" t="s">
        <v>137</v>
      </c>
      <c r="D504" t="s">
        <v>138</v>
      </c>
      <c r="E504" t="s">
        <v>19</v>
      </c>
      <c r="F504" s="5">
        <v>43403</v>
      </c>
      <c r="G504" s="5">
        <v>43550</v>
      </c>
      <c r="H504" s="6">
        <v>0.63194444444444442</v>
      </c>
      <c r="I504" t="s">
        <v>139</v>
      </c>
      <c r="J504" t="s">
        <v>384</v>
      </c>
      <c r="K504" t="s">
        <v>25</v>
      </c>
      <c r="M504" t="s">
        <v>80</v>
      </c>
      <c r="N504" t="str">
        <v>Destino</v>
      </c>
      <c r="O504" t="str">
        <v>LA PALMA /STA.CRUZ DE LA PALMA</v>
      </c>
      <c r="P504" t="str">
        <v>SPC</v>
      </c>
      <c r="Q504" t="str">
        <v>14:20:00</v>
      </c>
      <c r="R504" t="str">
        <v>AT7</v>
      </c>
      <c r="S504" t="str">
        <v xml:space="preserve">  CNF452</v>
      </c>
      <c r="T504" t="str">
        <v>ESPAÑA</v>
      </c>
      <c r="U504" t="str">
        <v/>
      </c>
      <c r="V504" t="str">
        <v>TFN</v>
      </c>
      <c r="W504" t="str">
        <v>09/02/2019</v>
      </c>
      <c r="X504">
        <v>72</v>
      </c>
      <c r="Y504" t="str">
        <v>Aerospatiale/Alenia ATR72</v>
      </c>
    </row>
    <row r="505" spans="1:25" x14ac:dyDescent="0.25">
      <c r="A505" t="s">
        <v>1436</v>
      </c>
      <c r="B505" t="s">
        <v>0</v>
      </c>
      <c r="C505" t="s">
        <v>137</v>
      </c>
      <c r="D505" t="s">
        <v>138</v>
      </c>
      <c r="E505" t="s">
        <v>163</v>
      </c>
      <c r="F505" s="5">
        <v>43472</v>
      </c>
      <c r="G505" s="5">
        <v>43552</v>
      </c>
      <c r="H505" s="6">
        <v>0.63194444444444442</v>
      </c>
      <c r="I505" t="s">
        <v>139</v>
      </c>
      <c r="J505" t="s">
        <v>384</v>
      </c>
      <c r="K505" t="s">
        <v>25</v>
      </c>
      <c r="M505" t="s">
        <v>80</v>
      </c>
      <c r="N505" t="str">
        <v>Destino</v>
      </c>
      <c r="O505" t="str">
        <v>LA PALMA /STA.CRUZ DE LA PALMA</v>
      </c>
      <c r="P505" t="str">
        <v>SPC</v>
      </c>
      <c r="Q505" t="str">
        <v>15:00:00</v>
      </c>
      <c r="R505" t="str">
        <v>AT7</v>
      </c>
      <c r="S505" t="str">
        <v xml:space="preserve">  IBB631</v>
      </c>
      <c r="T505" t="str">
        <v>ESPAÑA</v>
      </c>
      <c r="U505" t="str">
        <v/>
      </c>
      <c r="V505" t="str">
        <v>TFN</v>
      </c>
      <c r="W505" t="str">
        <v>06/02/2019</v>
      </c>
      <c r="X505">
        <v>72</v>
      </c>
      <c r="Y505" t="str">
        <v>Aerospatiale/Alenia ATR72</v>
      </c>
    </row>
    <row r="506" spans="1:25" x14ac:dyDescent="0.25">
      <c r="A506" t="s">
        <v>1436</v>
      </c>
      <c r="B506" t="s">
        <v>0</v>
      </c>
      <c r="C506" t="s">
        <v>137</v>
      </c>
      <c r="D506" t="s">
        <v>138</v>
      </c>
      <c r="E506" t="s">
        <v>48</v>
      </c>
      <c r="F506" s="5">
        <v>43476</v>
      </c>
      <c r="G506" s="5">
        <v>43518</v>
      </c>
      <c r="H506" s="6">
        <v>0.63888888888888895</v>
      </c>
      <c r="I506" t="s">
        <v>139</v>
      </c>
      <c r="J506" t="s">
        <v>384</v>
      </c>
      <c r="K506" t="s">
        <v>25</v>
      </c>
      <c r="M506" t="s">
        <v>80</v>
      </c>
      <c r="N506" t="str">
        <v>Destino</v>
      </c>
      <c r="O506" t="str">
        <v>LA PALMA /STA.CRUZ DE LA PALMA</v>
      </c>
      <c r="P506" t="str">
        <v>SPC</v>
      </c>
      <c r="Q506" t="str">
        <v>15:00:00</v>
      </c>
      <c r="R506" t="str">
        <v>AT7</v>
      </c>
      <c r="S506" t="str">
        <v xml:space="preserve">  IBB631</v>
      </c>
      <c r="T506" t="str">
        <v>ESPAÑA</v>
      </c>
      <c r="U506" t="str">
        <v/>
      </c>
      <c r="V506" t="str">
        <v>TFN</v>
      </c>
      <c r="W506" t="str">
        <v>05/02/2019</v>
      </c>
      <c r="X506">
        <v>72</v>
      </c>
      <c r="Y506" t="str">
        <v>Aerospatiale/Alenia ATR72</v>
      </c>
    </row>
    <row r="507" spans="1:25" x14ac:dyDescent="0.25">
      <c r="A507" t="s">
        <v>1436</v>
      </c>
      <c r="B507" t="s">
        <v>0</v>
      </c>
      <c r="C507" t="s">
        <v>137</v>
      </c>
      <c r="D507" t="s">
        <v>138</v>
      </c>
      <c r="E507" t="s">
        <v>18</v>
      </c>
      <c r="F507" s="5">
        <v>43478</v>
      </c>
      <c r="G507" s="5">
        <v>43520</v>
      </c>
      <c r="H507" s="6">
        <v>0.63888888888888895</v>
      </c>
      <c r="I507" t="s">
        <v>139</v>
      </c>
      <c r="J507" t="s">
        <v>382</v>
      </c>
      <c r="K507" t="s">
        <v>25</v>
      </c>
      <c r="M507" t="s">
        <v>80</v>
      </c>
      <c r="N507" t="str">
        <v>Destino</v>
      </c>
      <c r="O507" t="str">
        <v>LA PALMA /STA.CRUZ DE LA PALMA</v>
      </c>
      <c r="P507" t="str">
        <v>SPC</v>
      </c>
      <c r="Q507" t="str">
        <v>15:00:00</v>
      </c>
      <c r="R507" t="str">
        <v>AT7</v>
      </c>
      <c r="S507" t="str">
        <v xml:space="preserve">  IBB631</v>
      </c>
      <c r="T507" t="str">
        <v>ESPAÑA</v>
      </c>
      <c r="U507" t="str">
        <v/>
      </c>
      <c r="V507" t="str">
        <v>TFN</v>
      </c>
      <c r="W507" t="str">
        <v>04/02/2019</v>
      </c>
      <c r="X507">
        <v>72</v>
      </c>
      <c r="Y507" t="str">
        <v>Aerospatiale/Alenia ATR72</v>
      </c>
    </row>
    <row r="508" spans="1:25" x14ac:dyDescent="0.25">
      <c r="A508" t="s">
        <v>1436</v>
      </c>
      <c r="B508" t="s">
        <v>0</v>
      </c>
      <c r="C508" t="s">
        <v>137</v>
      </c>
      <c r="D508" t="s">
        <v>138</v>
      </c>
      <c r="E508" t="s">
        <v>22</v>
      </c>
      <c r="F508" s="5">
        <v>43498</v>
      </c>
      <c r="G508" s="5">
        <v>43519</v>
      </c>
      <c r="H508" s="6">
        <v>0.63888888888888895</v>
      </c>
      <c r="I508" t="s">
        <v>139</v>
      </c>
      <c r="J508" t="s">
        <v>381</v>
      </c>
      <c r="K508" t="s">
        <v>25</v>
      </c>
      <c r="M508" t="s">
        <v>80</v>
      </c>
      <c r="N508" t="str">
        <v>Destino</v>
      </c>
      <c r="O508" t="str">
        <v>LA PALMA /STA.CRUZ DE LA PALMA</v>
      </c>
      <c r="P508" t="str">
        <v>SPC</v>
      </c>
      <c r="Q508" t="str">
        <v>15:00:00</v>
      </c>
      <c r="R508" t="str">
        <v>AT7</v>
      </c>
      <c r="S508" t="str">
        <v xml:space="preserve">  IBB631</v>
      </c>
      <c r="T508" t="str">
        <v>ESPAÑA</v>
      </c>
      <c r="U508" t="str">
        <v/>
      </c>
      <c r="V508" t="str">
        <v>TFN</v>
      </c>
      <c r="W508" t="str">
        <v>08/02/2019</v>
      </c>
      <c r="X508">
        <v>72</v>
      </c>
      <c r="Y508" t="str">
        <v>Aerospatiale/Alenia ATR72</v>
      </c>
    </row>
    <row r="509" spans="1:25" x14ac:dyDescent="0.25">
      <c r="A509" t="s">
        <v>1436</v>
      </c>
      <c r="B509" t="s">
        <v>0</v>
      </c>
      <c r="C509" t="s">
        <v>137</v>
      </c>
      <c r="D509" t="s">
        <v>138</v>
      </c>
      <c r="E509" t="s">
        <v>48</v>
      </c>
      <c r="F509" s="5">
        <v>43448</v>
      </c>
      <c r="G509" s="5">
        <v>43553</v>
      </c>
      <c r="H509" s="6">
        <v>0.65625</v>
      </c>
      <c r="I509" t="s">
        <v>139</v>
      </c>
      <c r="J509" t="s">
        <v>385</v>
      </c>
      <c r="K509" t="s">
        <v>25</v>
      </c>
      <c r="M509" t="s">
        <v>80</v>
      </c>
      <c r="N509" t="str">
        <v>Destino</v>
      </c>
      <c r="O509" t="str">
        <v>LA PALMA /STA.CRUZ DE LA PALMA</v>
      </c>
      <c r="P509" t="str">
        <v>SPC</v>
      </c>
      <c r="Q509" t="str">
        <v>15:00:00</v>
      </c>
      <c r="R509" t="str">
        <v>AT7</v>
      </c>
      <c r="S509" t="str">
        <v xml:space="preserve">  IBB631</v>
      </c>
      <c r="T509" t="str">
        <v>ESPAÑA</v>
      </c>
      <c r="U509" t="str">
        <v/>
      </c>
      <c r="V509" t="str">
        <v>TFN</v>
      </c>
      <c r="W509" t="str">
        <v>07/02/2019</v>
      </c>
      <c r="X509">
        <v>72</v>
      </c>
      <c r="Y509" t="str">
        <v>Aerospatiale/Alenia ATR72</v>
      </c>
    </row>
    <row r="510" spans="1:25" x14ac:dyDescent="0.25">
      <c r="A510" t="s">
        <v>1436</v>
      </c>
      <c r="B510" t="s">
        <v>0</v>
      </c>
      <c r="C510" t="s">
        <v>137</v>
      </c>
      <c r="D510" t="s">
        <v>138</v>
      </c>
      <c r="E510" t="s">
        <v>13</v>
      </c>
      <c r="F510" s="5">
        <v>43405</v>
      </c>
      <c r="G510" s="5">
        <v>43552</v>
      </c>
      <c r="H510" s="6">
        <v>0.67361111111111116</v>
      </c>
      <c r="I510" t="s">
        <v>139</v>
      </c>
      <c r="J510" t="s">
        <v>382</v>
      </c>
      <c r="K510" t="s">
        <v>25</v>
      </c>
      <c r="M510" t="s">
        <v>80</v>
      </c>
      <c r="N510" t="str">
        <v>Destino</v>
      </c>
      <c r="O510" t="str">
        <v>LA PALMA /STA.CRUZ DE LA PALMA</v>
      </c>
      <c r="P510" t="str">
        <v>SPC</v>
      </c>
      <c r="Q510" t="str">
        <v>15:00:00</v>
      </c>
      <c r="R510" t="str">
        <v>AT7</v>
      </c>
      <c r="S510" t="str">
        <v xml:space="preserve">  IBB631</v>
      </c>
      <c r="T510" t="str">
        <v>ESPAÑA</v>
      </c>
      <c r="U510" t="str">
        <v/>
      </c>
      <c r="V510" t="str">
        <v>TFN</v>
      </c>
      <c r="W510" t="str">
        <v>09/02/2019</v>
      </c>
      <c r="X510">
        <v>72</v>
      </c>
      <c r="Y510" t="str">
        <v>Aerospatiale/Alenia ATR72</v>
      </c>
    </row>
    <row r="511" spans="1:25" x14ac:dyDescent="0.25">
      <c r="A511" t="s">
        <v>1436</v>
      </c>
      <c r="B511" t="s">
        <v>0</v>
      </c>
      <c r="C511" t="s">
        <v>137</v>
      </c>
      <c r="D511" t="s">
        <v>138</v>
      </c>
      <c r="E511" t="s">
        <v>59</v>
      </c>
      <c r="F511" s="5">
        <v>43465</v>
      </c>
      <c r="G511" s="5">
        <v>43521</v>
      </c>
      <c r="H511" s="6">
        <v>0.67361111111111116</v>
      </c>
      <c r="I511" t="s">
        <v>139</v>
      </c>
      <c r="J511" t="s">
        <v>382</v>
      </c>
      <c r="K511" t="s">
        <v>25</v>
      </c>
      <c r="M511" t="s">
        <v>80</v>
      </c>
      <c r="N511" t="str">
        <v>Destino</v>
      </c>
      <c r="O511" t="str">
        <v>LA PALMA /STA.CRUZ DE LA PALMA</v>
      </c>
      <c r="P511" t="str">
        <v>SPC</v>
      </c>
      <c r="Q511" t="str">
        <v>15:00:00</v>
      </c>
      <c r="R511" t="str">
        <v>AT7</v>
      </c>
      <c r="S511" t="str">
        <v xml:space="preserve">  IBB631</v>
      </c>
      <c r="T511" t="str">
        <v>ESPAÑA</v>
      </c>
      <c r="U511" t="str">
        <v/>
      </c>
      <c r="V511" t="str">
        <v>TFN</v>
      </c>
      <c r="W511" t="str">
        <v>10/02/2019</v>
      </c>
      <c r="X511">
        <v>72</v>
      </c>
      <c r="Y511" t="str">
        <v>Aerospatiale/Alenia ATR72</v>
      </c>
    </row>
    <row r="512" spans="1:25" x14ac:dyDescent="0.25">
      <c r="A512" t="s">
        <v>1436</v>
      </c>
      <c r="B512" t="s">
        <v>0</v>
      </c>
      <c r="C512" t="s">
        <v>137</v>
      </c>
      <c r="D512" t="s">
        <v>138</v>
      </c>
      <c r="E512" t="s">
        <v>20</v>
      </c>
      <c r="F512" s="5">
        <v>43467</v>
      </c>
      <c r="G512" s="5">
        <v>43551</v>
      </c>
      <c r="H512" s="6">
        <v>0.67361111111111116</v>
      </c>
      <c r="I512" t="s">
        <v>139</v>
      </c>
      <c r="J512" t="s">
        <v>382</v>
      </c>
      <c r="K512" t="s">
        <v>25</v>
      </c>
      <c r="M512" t="s">
        <v>80</v>
      </c>
      <c r="N512" t="str">
        <v>Destino</v>
      </c>
      <c r="O512" t="str">
        <v>LA PALMA /STA.CRUZ DE LA PALMA</v>
      </c>
      <c r="P512" t="str">
        <v>SPC</v>
      </c>
      <c r="Q512" t="str">
        <v>16:00:00</v>
      </c>
      <c r="R512" t="str">
        <v>AT7</v>
      </c>
      <c r="S512" t="str">
        <v xml:space="preserve">  IBB633</v>
      </c>
      <c r="T512" t="str">
        <v>ESPAÑA</v>
      </c>
      <c r="U512" t="str">
        <v/>
      </c>
      <c r="V512" t="str">
        <v>TFN</v>
      </c>
      <c r="W512" t="str">
        <v>06/02/2019</v>
      </c>
      <c r="X512">
        <v>72</v>
      </c>
      <c r="Y512" t="str">
        <v>Aerospatiale/Alenia ATR72</v>
      </c>
    </row>
    <row r="513" spans="1:25" x14ac:dyDescent="0.25">
      <c r="A513" t="s">
        <v>1436</v>
      </c>
      <c r="B513" t="s">
        <v>0</v>
      </c>
      <c r="C513" t="s">
        <v>137</v>
      </c>
      <c r="D513" t="s">
        <v>138</v>
      </c>
      <c r="E513" t="s">
        <v>19</v>
      </c>
      <c r="F513" s="5">
        <v>43473</v>
      </c>
      <c r="G513" s="5">
        <v>43522</v>
      </c>
      <c r="H513" s="6">
        <v>0.67361111111111116</v>
      </c>
      <c r="I513" t="s">
        <v>139</v>
      </c>
      <c r="J513" t="s">
        <v>382</v>
      </c>
      <c r="K513" t="s">
        <v>25</v>
      </c>
      <c r="M513" t="s">
        <v>80</v>
      </c>
      <c r="N513" t="str">
        <v>Destino</v>
      </c>
      <c r="O513" t="str">
        <v>LA PALMA /STA.CRUZ DE LA PALMA</v>
      </c>
      <c r="P513" t="str">
        <v>SPC</v>
      </c>
      <c r="Q513" t="str">
        <v>16:00:00</v>
      </c>
      <c r="R513" t="str">
        <v>AT7</v>
      </c>
      <c r="S513" t="str">
        <v xml:space="preserve">  IBB633</v>
      </c>
      <c r="T513" t="str">
        <v>ESPAÑA</v>
      </c>
      <c r="U513" t="str">
        <v/>
      </c>
      <c r="V513" t="str">
        <v>TFN</v>
      </c>
      <c r="W513" t="str">
        <v>05/02/2019</v>
      </c>
      <c r="X513">
        <v>72</v>
      </c>
      <c r="Y513" t="str">
        <v>Aerospatiale/Alenia ATR72</v>
      </c>
    </row>
    <row r="514" spans="1:25" x14ac:dyDescent="0.25">
      <c r="A514" t="s">
        <v>1436</v>
      </c>
      <c r="B514" t="s">
        <v>0</v>
      </c>
      <c r="C514" t="s">
        <v>137</v>
      </c>
      <c r="D514" t="s">
        <v>138</v>
      </c>
      <c r="E514" t="s">
        <v>18</v>
      </c>
      <c r="F514" s="5">
        <v>43471</v>
      </c>
      <c r="G514" s="5">
        <v>43548</v>
      </c>
      <c r="H514" s="6">
        <v>0.69444444444444453</v>
      </c>
      <c r="I514" t="s">
        <v>139</v>
      </c>
      <c r="J514" t="s">
        <v>384</v>
      </c>
      <c r="K514" t="s">
        <v>25</v>
      </c>
      <c r="M514" t="s">
        <v>80</v>
      </c>
      <c r="N514" t="str">
        <v>Destino</v>
      </c>
      <c r="O514" t="str">
        <v>LA PALMA /STA.CRUZ DE LA PALMA</v>
      </c>
      <c r="P514" t="str">
        <v>SPC</v>
      </c>
      <c r="Q514" t="str">
        <v>16:00:00</v>
      </c>
      <c r="R514" t="str">
        <v>AT7</v>
      </c>
      <c r="S514" t="str">
        <v xml:space="preserve">  IBB633</v>
      </c>
      <c r="T514" t="str">
        <v>ESPAÑA</v>
      </c>
      <c r="U514" t="str">
        <v/>
      </c>
      <c r="V514" t="str">
        <v>TFN</v>
      </c>
      <c r="W514" t="str">
        <v>07/02/2019</v>
      </c>
      <c r="X514">
        <v>72</v>
      </c>
      <c r="Y514" t="str">
        <v>Aerospatiale/Alenia ATR72</v>
      </c>
    </row>
    <row r="515" spans="1:25" x14ac:dyDescent="0.25">
      <c r="A515" t="s">
        <v>1436</v>
      </c>
      <c r="B515" t="s">
        <v>0</v>
      </c>
      <c r="C515" t="s">
        <v>137</v>
      </c>
      <c r="D515" t="s">
        <v>138</v>
      </c>
      <c r="E515" t="s">
        <v>151</v>
      </c>
      <c r="F515" s="5">
        <v>43401</v>
      </c>
      <c r="G515" s="5">
        <v>43553</v>
      </c>
      <c r="H515" s="6">
        <v>0.72916666666666663</v>
      </c>
      <c r="I515" t="s">
        <v>139</v>
      </c>
      <c r="J515" t="s">
        <v>386</v>
      </c>
      <c r="K515" t="s">
        <v>25</v>
      </c>
      <c r="M515" t="s">
        <v>80</v>
      </c>
      <c r="N515" t="str">
        <v>Destino</v>
      </c>
      <c r="O515" t="str">
        <v>LA PALMA /STA.CRUZ DE LA PALMA</v>
      </c>
      <c r="P515" t="str">
        <v>SPC</v>
      </c>
      <c r="Q515" t="str">
        <v>16:00:00</v>
      </c>
      <c r="R515" t="str">
        <v>AT7</v>
      </c>
      <c r="S515" t="str">
        <v xml:space="preserve">  IBB633</v>
      </c>
      <c r="T515" t="str">
        <v>ESPAÑA</v>
      </c>
      <c r="U515" t="str">
        <v/>
      </c>
      <c r="V515" t="str">
        <v>TFN</v>
      </c>
      <c r="W515" t="str">
        <v>08/02/2019</v>
      </c>
      <c r="X515">
        <v>72</v>
      </c>
      <c r="Y515" t="str">
        <v>Aerospatiale/Alenia ATR72</v>
      </c>
    </row>
    <row r="516" spans="1:25" x14ac:dyDescent="0.25">
      <c r="A516" t="s">
        <v>1436</v>
      </c>
      <c r="B516" t="s">
        <v>0</v>
      </c>
      <c r="C516" t="s">
        <v>137</v>
      </c>
      <c r="D516" t="s">
        <v>138</v>
      </c>
      <c r="E516" t="s">
        <v>54</v>
      </c>
      <c r="F516" s="5">
        <v>43403</v>
      </c>
      <c r="G516" s="5">
        <v>43551</v>
      </c>
      <c r="H516" s="6">
        <v>0.72916666666666663</v>
      </c>
      <c r="I516" t="s">
        <v>139</v>
      </c>
      <c r="J516" t="s">
        <v>387</v>
      </c>
      <c r="K516" t="s">
        <v>25</v>
      </c>
      <c r="M516" t="s">
        <v>80</v>
      </c>
      <c r="N516" t="str">
        <v>Destino</v>
      </c>
      <c r="O516" t="str">
        <v>LA PALMA /STA.CRUZ DE LA PALMA</v>
      </c>
      <c r="P516" t="str">
        <v>SPC</v>
      </c>
      <c r="Q516" t="str">
        <v>16:00:00</v>
      </c>
      <c r="R516" t="str">
        <v>AT7</v>
      </c>
      <c r="S516" t="str">
        <v xml:space="preserve">  IBB633</v>
      </c>
      <c r="T516" t="str">
        <v>ESPAÑA</v>
      </c>
      <c r="U516" t="str">
        <v/>
      </c>
      <c r="V516" t="str">
        <v>TFN</v>
      </c>
      <c r="W516" t="str">
        <v>04/02/2019</v>
      </c>
      <c r="X516">
        <v>72</v>
      </c>
      <c r="Y516" t="str">
        <v>Aerospatiale/Alenia ATR72</v>
      </c>
    </row>
    <row r="517" spans="1:25" x14ac:dyDescent="0.25">
      <c r="A517" t="s">
        <v>1436</v>
      </c>
      <c r="B517" t="s">
        <v>0</v>
      </c>
      <c r="C517" t="s">
        <v>137</v>
      </c>
      <c r="D517" t="s">
        <v>138</v>
      </c>
      <c r="E517" t="s">
        <v>59</v>
      </c>
      <c r="F517" s="5">
        <v>43465</v>
      </c>
      <c r="G517" s="5">
        <v>43549</v>
      </c>
      <c r="H517" s="6">
        <v>0.72916666666666663</v>
      </c>
      <c r="I517" t="s">
        <v>139</v>
      </c>
      <c r="J517" t="s">
        <v>387</v>
      </c>
      <c r="K517" t="s">
        <v>25</v>
      </c>
      <c r="M517" t="s">
        <v>80</v>
      </c>
      <c r="N517" t="str">
        <v>Destino</v>
      </c>
      <c r="O517" t="str">
        <v>LA PALMA /STA.CRUZ DE LA PALMA</v>
      </c>
      <c r="P517" t="str">
        <v>SPC</v>
      </c>
      <c r="Q517" t="str">
        <v>16:15:00</v>
      </c>
      <c r="R517" t="str">
        <v>AT7</v>
      </c>
      <c r="S517" t="str">
        <v xml:space="preserve">  AEA9479</v>
      </c>
      <c r="T517" t="str">
        <v>ESPAÑA</v>
      </c>
      <c r="U517" t="str">
        <v/>
      </c>
      <c r="V517" t="str">
        <v>TFN</v>
      </c>
      <c r="W517" t="str">
        <v>06/02/2019</v>
      </c>
      <c r="X517">
        <v>72</v>
      </c>
      <c r="Y517" t="str">
        <v>Aerospatiale/Alenia ATR72</v>
      </c>
    </row>
    <row r="518" spans="1:25" x14ac:dyDescent="0.25">
      <c r="A518" t="s">
        <v>1436</v>
      </c>
      <c r="B518" t="s">
        <v>0</v>
      </c>
      <c r="C518" t="s">
        <v>137</v>
      </c>
      <c r="D518" t="s">
        <v>138</v>
      </c>
      <c r="E518" t="s">
        <v>13</v>
      </c>
      <c r="F518" s="5">
        <v>43503</v>
      </c>
      <c r="G518" s="5">
        <v>43524</v>
      </c>
      <c r="H518" s="6">
        <v>0.73263888888888884</v>
      </c>
      <c r="I518" t="s">
        <v>139</v>
      </c>
      <c r="J518" t="s">
        <v>387</v>
      </c>
      <c r="K518" t="s">
        <v>25</v>
      </c>
      <c r="M518" t="s">
        <v>80</v>
      </c>
      <c r="N518" t="str">
        <v>Destino</v>
      </c>
      <c r="O518" t="str">
        <v>LA PALMA /STA.CRUZ DE LA PALMA</v>
      </c>
      <c r="P518" t="str">
        <v>SPC</v>
      </c>
      <c r="Q518" t="str">
        <v>16:15:00</v>
      </c>
      <c r="R518" t="str">
        <v>AT7</v>
      </c>
      <c r="S518" t="str">
        <v xml:space="preserve">  AEA9479</v>
      </c>
      <c r="T518" t="str">
        <v>ESPAÑA</v>
      </c>
      <c r="U518" t="str">
        <v/>
      </c>
      <c r="V518" t="str">
        <v>TFN</v>
      </c>
      <c r="W518" t="str">
        <v>05/02/2019</v>
      </c>
      <c r="X518">
        <v>72</v>
      </c>
      <c r="Y518" t="str">
        <v>Aerospatiale/Alenia ATR72</v>
      </c>
    </row>
    <row r="519" spans="1:25" x14ac:dyDescent="0.25">
      <c r="A519" t="s">
        <v>1436</v>
      </c>
      <c r="B519" t="s">
        <v>0</v>
      </c>
      <c r="C519" t="s">
        <v>137</v>
      </c>
      <c r="D519" t="s">
        <v>138</v>
      </c>
      <c r="E519" t="s">
        <v>48</v>
      </c>
      <c r="F519" s="5">
        <v>43406</v>
      </c>
      <c r="G519" s="5">
        <v>43518</v>
      </c>
      <c r="H519" s="6">
        <v>0.75</v>
      </c>
      <c r="I519" t="s">
        <v>139</v>
      </c>
      <c r="J519" t="s">
        <v>387</v>
      </c>
      <c r="K519" t="s">
        <v>25</v>
      </c>
      <c r="M519" t="s">
        <v>80</v>
      </c>
      <c r="N519" t="str">
        <v>Destino</v>
      </c>
      <c r="O519" t="str">
        <v>LA PALMA /STA.CRUZ DE LA PALMA</v>
      </c>
      <c r="P519" t="str">
        <v>SPC</v>
      </c>
      <c r="Q519" t="str">
        <v>16:15:00</v>
      </c>
      <c r="R519" t="str">
        <v>AT7</v>
      </c>
      <c r="S519" t="str">
        <v xml:space="preserve">  AEA9479</v>
      </c>
      <c r="T519" t="str">
        <v>ESPAÑA</v>
      </c>
      <c r="U519" t="str">
        <v/>
      </c>
      <c r="V519" t="str">
        <v>TFN</v>
      </c>
      <c r="W519" t="str">
        <v>04/02/2019</v>
      </c>
      <c r="X519">
        <v>72</v>
      </c>
      <c r="Y519" t="str">
        <v>Aerospatiale/Alenia ATR72</v>
      </c>
    </row>
    <row r="520" spans="1:25" x14ac:dyDescent="0.25">
      <c r="A520" t="s">
        <v>1436</v>
      </c>
      <c r="B520" t="s">
        <v>0</v>
      </c>
      <c r="C520" t="s">
        <v>137</v>
      </c>
      <c r="D520" t="s">
        <v>138</v>
      </c>
      <c r="E520" t="s">
        <v>22</v>
      </c>
      <c r="F520" s="5">
        <v>43477</v>
      </c>
      <c r="G520" s="5">
        <v>43554</v>
      </c>
      <c r="H520" s="6">
        <v>0.75694444444444453</v>
      </c>
      <c r="I520" t="s">
        <v>139</v>
      </c>
      <c r="J520" t="s">
        <v>387</v>
      </c>
      <c r="K520" t="s">
        <v>25</v>
      </c>
      <c r="M520" t="s">
        <v>80</v>
      </c>
      <c r="N520" t="str">
        <v>Destino</v>
      </c>
      <c r="O520" t="str">
        <v>LA PALMA /STA.CRUZ DE LA PALMA</v>
      </c>
      <c r="P520" t="str">
        <v>SPC</v>
      </c>
      <c r="Q520" t="str">
        <v>16:15:00</v>
      </c>
      <c r="R520" t="str">
        <v>AT7</v>
      </c>
      <c r="S520" t="str">
        <v xml:space="preserve">  AEA9479</v>
      </c>
      <c r="T520" t="str">
        <v>ESPAÑA</v>
      </c>
      <c r="U520" t="str">
        <v/>
      </c>
      <c r="V520" t="str">
        <v>TFN</v>
      </c>
      <c r="W520" t="str">
        <v>08/02/2019</v>
      </c>
      <c r="X520">
        <v>72</v>
      </c>
      <c r="Y520" t="str">
        <v>Aerospatiale/Alenia ATR72</v>
      </c>
    </row>
    <row r="521" spans="1:25" x14ac:dyDescent="0.25">
      <c r="A521" t="s">
        <v>1436</v>
      </c>
      <c r="B521" t="s">
        <v>0</v>
      </c>
      <c r="C521" t="s">
        <v>137</v>
      </c>
      <c r="D521" t="s">
        <v>138</v>
      </c>
      <c r="E521" t="s">
        <v>144</v>
      </c>
      <c r="F521" s="5">
        <v>43401</v>
      </c>
      <c r="G521" s="5">
        <v>43554</v>
      </c>
      <c r="H521" s="6">
        <v>0.77083333333333337</v>
      </c>
      <c r="I521" t="s">
        <v>139</v>
      </c>
      <c r="J521" t="s">
        <v>388</v>
      </c>
      <c r="K521" t="s">
        <v>25</v>
      </c>
      <c r="M521" t="s">
        <v>80</v>
      </c>
      <c r="N521" t="str">
        <v>Destino</v>
      </c>
      <c r="O521" t="str">
        <v>LA PALMA /STA.CRUZ DE LA PALMA</v>
      </c>
      <c r="P521" t="str">
        <v>SPC</v>
      </c>
      <c r="Q521" t="str">
        <v>16:15:00</v>
      </c>
      <c r="R521" t="str">
        <v>AT7</v>
      </c>
      <c r="S521" t="str">
        <v xml:space="preserve">  AEA9479</v>
      </c>
      <c r="T521" t="str">
        <v>ESPAÑA</v>
      </c>
      <c r="U521" t="str">
        <v/>
      </c>
      <c r="V521" t="str">
        <v>TFN</v>
      </c>
      <c r="W521" t="str">
        <v>07/02/2019</v>
      </c>
      <c r="X521">
        <v>72</v>
      </c>
      <c r="Y521" t="str">
        <v>Aerospatiale/Alenia ATR72</v>
      </c>
    </row>
    <row r="522" spans="1:25" x14ac:dyDescent="0.25">
      <c r="A522" t="s">
        <v>1436</v>
      </c>
      <c r="B522" t="s">
        <v>0</v>
      </c>
      <c r="C522" t="s">
        <v>137</v>
      </c>
      <c r="D522" t="s">
        <v>138</v>
      </c>
      <c r="E522" t="s">
        <v>13</v>
      </c>
      <c r="F522" s="5">
        <v>43468</v>
      </c>
      <c r="G522" s="5">
        <v>43524</v>
      </c>
      <c r="H522" s="6">
        <v>0.77083333333333337</v>
      </c>
      <c r="I522" t="s">
        <v>139</v>
      </c>
      <c r="J522" t="s">
        <v>389</v>
      </c>
      <c r="K522" t="s">
        <v>25</v>
      </c>
      <c r="M522" t="s">
        <v>80</v>
      </c>
      <c r="N522" t="str">
        <v>Destino</v>
      </c>
      <c r="O522" t="str">
        <v>LA PALMA /STA.CRUZ DE LA PALMA</v>
      </c>
      <c r="P522" t="str">
        <v>SPC</v>
      </c>
      <c r="Q522" t="str">
        <v>16:15:00</v>
      </c>
      <c r="R522" t="str">
        <v>AT7</v>
      </c>
      <c r="S522" t="str">
        <v xml:space="preserve">  AEA9479</v>
      </c>
      <c r="T522" t="str">
        <v>ESPAÑA</v>
      </c>
      <c r="U522" t="str">
        <v/>
      </c>
      <c r="V522" t="str">
        <v>TFN</v>
      </c>
      <c r="W522" t="str">
        <v>10/02/2019</v>
      </c>
      <c r="X522">
        <v>72</v>
      </c>
      <c r="Y522" t="str">
        <v>Aerospatiale/Alenia ATR72</v>
      </c>
    </row>
    <row r="523" spans="1:25" x14ac:dyDescent="0.25">
      <c r="A523" t="s">
        <v>1436</v>
      </c>
      <c r="B523" t="s">
        <v>0</v>
      </c>
      <c r="C523" t="s">
        <v>137</v>
      </c>
      <c r="D523" t="s">
        <v>138</v>
      </c>
      <c r="E523" t="s">
        <v>18</v>
      </c>
      <c r="F523" s="5">
        <v>43492</v>
      </c>
      <c r="G523" s="5">
        <v>43520</v>
      </c>
      <c r="H523" s="6">
        <v>0.78819444444444453</v>
      </c>
      <c r="I523" t="s">
        <v>141</v>
      </c>
      <c r="J523" t="s">
        <v>389</v>
      </c>
      <c r="K523" t="s">
        <v>25</v>
      </c>
      <c r="M523" t="s">
        <v>80</v>
      </c>
      <c r="N523" t="str">
        <v>Destino</v>
      </c>
      <c r="O523" t="str">
        <v>LA PALMA /STA.CRUZ DE LA PALMA</v>
      </c>
      <c r="P523" t="str">
        <v>SPC</v>
      </c>
      <c r="Q523" t="str">
        <v>17:00:00</v>
      </c>
      <c r="R523" t="str">
        <v>AT7</v>
      </c>
      <c r="S523" t="str">
        <v xml:space="preserve">  IBB623</v>
      </c>
      <c r="T523" t="str">
        <v>ESPAÑA</v>
      </c>
      <c r="U523" t="str">
        <v/>
      </c>
      <c r="V523" t="str">
        <v>TFN</v>
      </c>
      <c r="W523" t="str">
        <v>06/02/2019</v>
      </c>
      <c r="X523">
        <v>72</v>
      </c>
      <c r="Y523" t="str">
        <v>Aerospatiale/Alenia ATR72</v>
      </c>
    </row>
    <row r="524" spans="1:25" x14ac:dyDescent="0.25">
      <c r="A524" t="s">
        <v>1436</v>
      </c>
      <c r="B524" t="s">
        <v>0</v>
      </c>
      <c r="C524" t="s">
        <v>137</v>
      </c>
      <c r="D524" t="s">
        <v>138</v>
      </c>
      <c r="E524" t="s">
        <v>48</v>
      </c>
      <c r="F524" s="5">
        <v>43469</v>
      </c>
      <c r="G524" s="5">
        <v>43553</v>
      </c>
      <c r="H524" s="6">
        <v>0.79166666666666663</v>
      </c>
      <c r="I524" t="s">
        <v>141</v>
      </c>
      <c r="J524" t="s">
        <v>389</v>
      </c>
      <c r="K524" t="s">
        <v>25</v>
      </c>
      <c r="M524" t="s">
        <v>80</v>
      </c>
      <c r="N524" t="str">
        <v>Destino</v>
      </c>
      <c r="O524" t="str">
        <v>LA PALMA /STA.CRUZ DE LA PALMA</v>
      </c>
      <c r="P524" t="str">
        <v>SPC</v>
      </c>
      <c r="Q524" t="str">
        <v>17:00:00</v>
      </c>
      <c r="R524" t="str">
        <v>AT7</v>
      </c>
      <c r="S524" t="str">
        <v xml:space="preserve">  IBB623</v>
      </c>
      <c r="T524" t="str">
        <v>ESPAÑA</v>
      </c>
      <c r="U524" t="str">
        <v/>
      </c>
      <c r="V524" t="str">
        <v>TFN</v>
      </c>
      <c r="W524" t="str">
        <v>04/02/2019</v>
      </c>
      <c r="X524">
        <v>72</v>
      </c>
      <c r="Y524" t="str">
        <v>Aerospatiale/Alenia ATR72</v>
      </c>
    </row>
    <row r="525" spans="1:25" x14ac:dyDescent="0.25">
      <c r="A525" t="s">
        <v>1436</v>
      </c>
      <c r="B525" t="s">
        <v>0</v>
      </c>
      <c r="C525" t="s">
        <v>137</v>
      </c>
      <c r="D525" t="s">
        <v>138</v>
      </c>
      <c r="E525" t="s">
        <v>22</v>
      </c>
      <c r="F525" s="5">
        <v>43477</v>
      </c>
      <c r="G525" s="5">
        <v>43554</v>
      </c>
      <c r="H525" s="6">
        <v>0.79861111111111116</v>
      </c>
      <c r="I525" t="s">
        <v>139</v>
      </c>
      <c r="J525" t="s">
        <v>389</v>
      </c>
      <c r="K525" t="s">
        <v>25</v>
      </c>
      <c r="M525" t="s">
        <v>80</v>
      </c>
      <c r="N525" t="str">
        <v>Destino</v>
      </c>
      <c r="O525" t="str">
        <v>LA PALMA /STA.CRUZ DE LA PALMA</v>
      </c>
      <c r="P525" t="str">
        <v>SPC</v>
      </c>
      <c r="Q525" t="str">
        <v>17:00:00</v>
      </c>
      <c r="R525" t="str">
        <v>AT7</v>
      </c>
      <c r="S525" t="str">
        <v xml:space="preserve">  IBB623</v>
      </c>
      <c r="T525" t="str">
        <v>ESPAÑA</v>
      </c>
      <c r="U525" t="str">
        <v/>
      </c>
      <c r="V525" t="str">
        <v>TFN</v>
      </c>
      <c r="W525" t="str">
        <v>08/02/2019</v>
      </c>
      <c r="X525">
        <v>72</v>
      </c>
      <c r="Y525" t="str">
        <v>Aerospatiale/Alenia ATR72</v>
      </c>
    </row>
    <row r="526" spans="1:25" x14ac:dyDescent="0.25">
      <c r="A526" t="s">
        <v>1436</v>
      </c>
      <c r="B526" t="s">
        <v>0</v>
      </c>
      <c r="C526" t="s">
        <v>137</v>
      </c>
      <c r="D526" t="s">
        <v>138</v>
      </c>
      <c r="E526" t="s">
        <v>18</v>
      </c>
      <c r="F526" s="5">
        <v>43478</v>
      </c>
      <c r="G526" s="5">
        <v>43520</v>
      </c>
      <c r="H526" s="6">
        <v>0.80555555555555547</v>
      </c>
      <c r="I526" t="s">
        <v>139</v>
      </c>
      <c r="J526" t="s">
        <v>1894</v>
      </c>
      <c r="K526" t="s">
        <v>25</v>
      </c>
      <c r="M526" t="s">
        <v>80</v>
      </c>
      <c r="N526" t="str">
        <v>Destino</v>
      </c>
      <c r="O526" t="str">
        <v>LA PALMA /STA.CRUZ DE LA PALMA</v>
      </c>
      <c r="P526" t="str">
        <v>SPC</v>
      </c>
      <c r="Q526" t="str">
        <v>17:00:00</v>
      </c>
      <c r="R526" t="str">
        <v>AT7</v>
      </c>
      <c r="S526" t="str">
        <v xml:space="preserve">  IBB623</v>
      </c>
      <c r="T526" t="str">
        <v>ESPAÑA</v>
      </c>
      <c r="U526" t="str">
        <v/>
      </c>
      <c r="V526" t="str">
        <v>TFN</v>
      </c>
      <c r="W526" t="str">
        <v>07/02/2019</v>
      </c>
      <c r="X526">
        <v>72</v>
      </c>
      <c r="Y526" t="str">
        <v>Aerospatiale/Alenia ATR72</v>
      </c>
    </row>
    <row r="527" spans="1:25" x14ac:dyDescent="0.25">
      <c r="A527" t="s">
        <v>1436</v>
      </c>
      <c r="B527" t="s">
        <v>0</v>
      </c>
      <c r="C527" t="s">
        <v>137</v>
      </c>
      <c r="D527" t="s">
        <v>138</v>
      </c>
      <c r="E527" t="s">
        <v>54</v>
      </c>
      <c r="F527" s="5">
        <v>43403</v>
      </c>
      <c r="G527" s="5">
        <v>43551</v>
      </c>
      <c r="H527" s="6">
        <v>0.82638888888888884</v>
      </c>
      <c r="I527" t="s">
        <v>139</v>
      </c>
      <c r="J527" t="s">
        <v>390</v>
      </c>
      <c r="K527" t="s">
        <v>25</v>
      </c>
      <c r="M527" t="s">
        <v>80</v>
      </c>
      <c r="N527" t="str">
        <v>Destino</v>
      </c>
      <c r="O527" t="str">
        <v>LA PALMA /STA.CRUZ DE LA PALMA</v>
      </c>
      <c r="P527" t="str">
        <v>SPC</v>
      </c>
      <c r="Q527" t="str">
        <v>17:00:00</v>
      </c>
      <c r="R527" t="str">
        <v>AT7</v>
      </c>
      <c r="S527" t="str">
        <v xml:space="preserve">  IBB623</v>
      </c>
      <c r="T527" t="str">
        <v>ESPAÑA</v>
      </c>
      <c r="U527" t="str">
        <v/>
      </c>
      <c r="V527" t="str">
        <v>TFN</v>
      </c>
      <c r="W527" t="str">
        <v>05/02/2019</v>
      </c>
      <c r="X527">
        <v>72</v>
      </c>
      <c r="Y527" t="str">
        <v>Aerospatiale/Alenia ATR72</v>
      </c>
    </row>
    <row r="528" spans="1:25" x14ac:dyDescent="0.25">
      <c r="A528" t="s">
        <v>1436</v>
      </c>
      <c r="B528" t="s">
        <v>0</v>
      </c>
      <c r="C528" t="s">
        <v>137</v>
      </c>
      <c r="D528" t="s">
        <v>138</v>
      </c>
      <c r="E528" t="s">
        <v>59</v>
      </c>
      <c r="F528" s="5">
        <v>43465</v>
      </c>
      <c r="G528" s="5">
        <v>43549</v>
      </c>
      <c r="H528" s="6">
        <v>0.82638888888888884</v>
      </c>
      <c r="I528" t="s">
        <v>139</v>
      </c>
      <c r="J528" t="s">
        <v>390</v>
      </c>
      <c r="K528" t="s">
        <v>25</v>
      </c>
      <c r="M528" t="s">
        <v>80</v>
      </c>
      <c r="N528" t="str">
        <v>Destino</v>
      </c>
      <c r="O528" t="str">
        <v>LA PALMA /STA.CRUZ DE LA PALMA</v>
      </c>
      <c r="P528" t="str">
        <v>SPC</v>
      </c>
      <c r="Q528" t="str">
        <v>17:00:00</v>
      </c>
      <c r="R528" t="str">
        <v>AT7</v>
      </c>
      <c r="S528" t="str">
        <v xml:space="preserve">  IBB623</v>
      </c>
      <c r="T528" t="str">
        <v>ESPAÑA</v>
      </c>
      <c r="U528" t="str">
        <v/>
      </c>
      <c r="V528" t="str">
        <v>TFN</v>
      </c>
      <c r="W528" t="str">
        <v>10/02/2019</v>
      </c>
      <c r="X528">
        <v>72</v>
      </c>
      <c r="Y528" t="str">
        <v>Aerospatiale/Alenia ATR72</v>
      </c>
    </row>
    <row r="529" spans="1:25" x14ac:dyDescent="0.25">
      <c r="A529" t="s">
        <v>1436</v>
      </c>
      <c r="B529" t="s">
        <v>0</v>
      </c>
      <c r="C529" t="s">
        <v>137</v>
      </c>
      <c r="D529" t="s">
        <v>138</v>
      </c>
      <c r="E529" t="s">
        <v>13</v>
      </c>
      <c r="F529" s="5">
        <v>43475</v>
      </c>
      <c r="G529" s="5">
        <v>43524</v>
      </c>
      <c r="H529" s="6">
        <v>0.82638888888888884</v>
      </c>
      <c r="I529" t="s">
        <v>139</v>
      </c>
      <c r="J529" t="s">
        <v>390</v>
      </c>
      <c r="K529" t="s">
        <v>25</v>
      </c>
      <c r="M529" t="s">
        <v>80</v>
      </c>
      <c r="N529" t="str">
        <v>Destino</v>
      </c>
      <c r="O529" t="str">
        <v>LA PALMA /STA.CRUZ DE LA PALMA</v>
      </c>
      <c r="P529" t="str">
        <v>SPC</v>
      </c>
      <c r="Q529" t="str">
        <v>17:00:00</v>
      </c>
      <c r="R529" t="str">
        <v>AT7</v>
      </c>
      <c r="S529" t="str">
        <v xml:space="preserve">  IBB623</v>
      </c>
      <c r="T529" t="str">
        <v>ESPAÑA</v>
      </c>
      <c r="U529" t="str">
        <v/>
      </c>
      <c r="V529" t="str">
        <v>TFN</v>
      </c>
      <c r="W529" t="str">
        <v>09/02/2019</v>
      </c>
      <c r="X529">
        <v>72</v>
      </c>
      <c r="Y529" t="str">
        <v>Aerospatiale/Alenia ATR72</v>
      </c>
    </row>
    <row r="530" spans="1:25" x14ac:dyDescent="0.25">
      <c r="A530" t="s">
        <v>1436</v>
      </c>
      <c r="B530" t="s">
        <v>0</v>
      </c>
      <c r="C530" t="s">
        <v>137</v>
      </c>
      <c r="D530" t="s">
        <v>138</v>
      </c>
      <c r="E530" t="s">
        <v>18</v>
      </c>
      <c r="F530" s="5">
        <v>43478</v>
      </c>
      <c r="G530" s="5">
        <v>43548</v>
      </c>
      <c r="H530" s="6">
        <v>0.83680555555555547</v>
      </c>
      <c r="I530" t="s">
        <v>139</v>
      </c>
      <c r="J530" t="s">
        <v>390</v>
      </c>
      <c r="K530" t="s">
        <v>25</v>
      </c>
      <c r="M530" t="s">
        <v>80</v>
      </c>
      <c r="N530" t="str">
        <v>Destino</v>
      </c>
      <c r="O530" t="str">
        <v>LA PALMA /STA.CRUZ DE LA PALMA</v>
      </c>
      <c r="P530" t="str">
        <v>SPC</v>
      </c>
      <c r="Q530" t="str">
        <v>18:00:00</v>
      </c>
      <c r="R530" t="str">
        <v>AT7</v>
      </c>
      <c r="S530" t="str">
        <v xml:space="preserve">  IBB637</v>
      </c>
      <c r="T530" t="str">
        <v>ESPAÑA</v>
      </c>
      <c r="U530" t="str">
        <v/>
      </c>
      <c r="V530" t="str">
        <v>TFN</v>
      </c>
      <c r="W530" t="str">
        <v>06/02/2019</v>
      </c>
      <c r="X530">
        <v>72</v>
      </c>
      <c r="Y530" t="str">
        <v>Aerospatiale/Alenia ATR72</v>
      </c>
    </row>
    <row r="531" spans="1:25" x14ac:dyDescent="0.25">
      <c r="A531" t="s">
        <v>1436</v>
      </c>
      <c r="B531" t="s">
        <v>0</v>
      </c>
      <c r="C531" t="s">
        <v>137</v>
      </c>
      <c r="D531" t="s">
        <v>138</v>
      </c>
      <c r="E531" t="s">
        <v>48</v>
      </c>
      <c r="F531" s="5">
        <v>43406</v>
      </c>
      <c r="G531" s="5">
        <v>43553</v>
      </c>
      <c r="H531" s="6">
        <v>0.84722222222222221</v>
      </c>
      <c r="I531" t="s">
        <v>139</v>
      </c>
      <c r="J531" t="s">
        <v>390</v>
      </c>
      <c r="K531" t="s">
        <v>25</v>
      </c>
      <c r="M531" t="s">
        <v>80</v>
      </c>
      <c r="N531" t="str">
        <v>Destino</v>
      </c>
      <c r="O531" t="str">
        <v>LA PALMA /STA.CRUZ DE LA PALMA</v>
      </c>
      <c r="P531" t="str">
        <v>SPC</v>
      </c>
      <c r="Q531" t="str">
        <v>18:00:00</v>
      </c>
      <c r="R531" t="str">
        <v>AT7</v>
      </c>
      <c r="S531" t="str">
        <v xml:space="preserve">  IBB637</v>
      </c>
      <c r="T531" t="str">
        <v>ESPAÑA</v>
      </c>
      <c r="U531" t="str">
        <v/>
      </c>
      <c r="V531" t="str">
        <v>TFN</v>
      </c>
      <c r="W531" t="str">
        <v>05/02/2019</v>
      </c>
      <c r="X531">
        <v>72</v>
      </c>
      <c r="Y531" t="str">
        <v>Aerospatiale/Alenia ATR72</v>
      </c>
    </row>
    <row r="532" spans="1:25" x14ac:dyDescent="0.25">
      <c r="A532" t="s">
        <v>1436</v>
      </c>
      <c r="B532" t="s">
        <v>0</v>
      </c>
      <c r="C532" t="s">
        <v>137</v>
      </c>
      <c r="D532" t="s">
        <v>138</v>
      </c>
      <c r="E532" t="s">
        <v>20</v>
      </c>
      <c r="F532" s="5">
        <v>43460</v>
      </c>
      <c r="G532" s="5">
        <v>43523</v>
      </c>
      <c r="H532" s="6">
        <v>0.88194444444444453</v>
      </c>
      <c r="I532" t="s">
        <v>139</v>
      </c>
      <c r="J532" t="s">
        <v>392</v>
      </c>
      <c r="K532" t="s">
        <v>25</v>
      </c>
      <c r="M532" t="s">
        <v>80</v>
      </c>
      <c r="N532" t="str">
        <v>Destino</v>
      </c>
      <c r="O532" t="str">
        <v>LA PALMA /STA.CRUZ DE LA PALMA</v>
      </c>
      <c r="P532" t="str">
        <v>SPC</v>
      </c>
      <c r="Q532" t="str">
        <v>18:00:00</v>
      </c>
      <c r="R532" t="str">
        <v>AT7</v>
      </c>
      <c r="S532" t="str">
        <v xml:space="preserve">  IBB637</v>
      </c>
      <c r="T532" t="str">
        <v>ESPAÑA</v>
      </c>
      <c r="U532" t="str">
        <v/>
      </c>
      <c r="V532" t="str">
        <v>TFN</v>
      </c>
      <c r="W532" t="str">
        <v>08/02/2019</v>
      </c>
      <c r="X532">
        <v>72</v>
      </c>
      <c r="Y532" t="str">
        <v>Aerospatiale/Alenia ATR72</v>
      </c>
    </row>
    <row r="533" spans="1:25" x14ac:dyDescent="0.25">
      <c r="A533" t="s">
        <v>1436</v>
      </c>
      <c r="B533" t="s">
        <v>0</v>
      </c>
      <c r="C533" t="s">
        <v>137</v>
      </c>
      <c r="D533" t="s">
        <v>138</v>
      </c>
      <c r="E533" t="s">
        <v>13</v>
      </c>
      <c r="F533" s="5">
        <v>43475</v>
      </c>
      <c r="G533" s="5">
        <v>43552</v>
      </c>
      <c r="H533" s="6">
        <v>0.88194444444444453</v>
      </c>
      <c r="I533" t="s">
        <v>139</v>
      </c>
      <c r="J533" t="s">
        <v>392</v>
      </c>
      <c r="K533" t="s">
        <v>25</v>
      </c>
      <c r="M533" t="s">
        <v>80</v>
      </c>
      <c r="N533" t="str">
        <v>Destino</v>
      </c>
      <c r="O533" t="str">
        <v>LA PALMA /STA.CRUZ DE LA PALMA</v>
      </c>
      <c r="P533" t="str">
        <v>SPC</v>
      </c>
      <c r="Q533" t="str">
        <v>18:00:00</v>
      </c>
      <c r="R533" t="str">
        <v>AT7</v>
      </c>
      <c r="S533" t="str">
        <v xml:space="preserve">  IBB637</v>
      </c>
      <c r="T533" t="str">
        <v>ESPAÑA</v>
      </c>
      <c r="U533" t="str">
        <v/>
      </c>
      <c r="V533" t="str">
        <v>TFN</v>
      </c>
      <c r="W533" t="str">
        <v>10/02/2019</v>
      </c>
      <c r="X533">
        <v>72</v>
      </c>
      <c r="Y533" t="str">
        <v>Aerospatiale/Alenia ATR72</v>
      </c>
    </row>
    <row r="534" spans="1:25" x14ac:dyDescent="0.25">
      <c r="A534" t="s">
        <v>1436</v>
      </c>
      <c r="B534" t="s">
        <v>0</v>
      </c>
      <c r="C534" t="s">
        <v>137</v>
      </c>
      <c r="D534" t="s">
        <v>138</v>
      </c>
      <c r="E534" t="s">
        <v>59</v>
      </c>
      <c r="F534" s="5">
        <v>43479</v>
      </c>
      <c r="G534" s="5">
        <v>43521</v>
      </c>
      <c r="H534" s="6">
        <v>0.88194444444444453</v>
      </c>
      <c r="I534" t="s">
        <v>139</v>
      </c>
      <c r="J534" t="s">
        <v>392</v>
      </c>
      <c r="K534" t="s">
        <v>25</v>
      </c>
      <c r="M534" t="s">
        <v>80</v>
      </c>
      <c r="N534" t="str">
        <v>Destino</v>
      </c>
      <c r="O534" t="str">
        <v>LA PALMA /STA.CRUZ DE LA PALMA</v>
      </c>
      <c r="P534" t="str">
        <v>SPC</v>
      </c>
      <c r="Q534" t="str">
        <v>18:00:00</v>
      </c>
      <c r="R534" t="str">
        <v>AT7</v>
      </c>
      <c r="S534" t="str">
        <v xml:space="preserve">  IBB637</v>
      </c>
      <c r="T534" t="str">
        <v>ESPAÑA</v>
      </c>
      <c r="U534" t="str">
        <v/>
      </c>
      <c r="V534" t="str">
        <v>TFN</v>
      </c>
      <c r="W534" t="str">
        <v>09/02/2019</v>
      </c>
      <c r="X534">
        <v>72</v>
      </c>
      <c r="Y534" t="str">
        <v>Aerospatiale/Alenia ATR72</v>
      </c>
    </row>
    <row r="535" spans="1:25" x14ac:dyDescent="0.25">
      <c r="A535" t="s">
        <v>1436</v>
      </c>
      <c r="B535" t="s">
        <v>0</v>
      </c>
      <c r="C535" t="s">
        <v>137</v>
      </c>
      <c r="D535" t="s">
        <v>138</v>
      </c>
      <c r="E535" t="s">
        <v>19</v>
      </c>
      <c r="F535" s="5">
        <v>43501</v>
      </c>
      <c r="G535" s="5">
        <v>43522</v>
      </c>
      <c r="H535" s="6">
        <v>0.88194444444444453</v>
      </c>
      <c r="I535" t="s">
        <v>139</v>
      </c>
      <c r="J535" t="s">
        <v>392</v>
      </c>
      <c r="K535" t="s">
        <v>25</v>
      </c>
      <c r="M535" t="s">
        <v>80</v>
      </c>
      <c r="N535" t="str">
        <v>Destino</v>
      </c>
      <c r="O535" t="str">
        <v>LA PALMA /STA.CRUZ DE LA PALMA</v>
      </c>
      <c r="P535" t="str">
        <v>SPC</v>
      </c>
      <c r="Q535" t="str">
        <v>18:00:00</v>
      </c>
      <c r="R535" t="str">
        <v>AT7</v>
      </c>
      <c r="S535" t="str">
        <v xml:space="preserve">  IBB637</v>
      </c>
      <c r="T535" t="str">
        <v>ESPAÑA</v>
      </c>
      <c r="U535" t="str">
        <v/>
      </c>
      <c r="V535" t="str">
        <v>TFN</v>
      </c>
      <c r="W535" t="str">
        <v>07/02/2019</v>
      </c>
      <c r="X535">
        <v>72</v>
      </c>
      <c r="Y535" t="str">
        <v>Aerospatiale/Alenia ATR72</v>
      </c>
    </row>
    <row r="536" spans="1:25" x14ac:dyDescent="0.25">
      <c r="A536" t="s">
        <v>1436</v>
      </c>
      <c r="B536" t="s">
        <v>0</v>
      </c>
      <c r="C536" t="s">
        <v>137</v>
      </c>
      <c r="D536" t="s">
        <v>138</v>
      </c>
      <c r="E536" t="s">
        <v>48</v>
      </c>
      <c r="F536" s="5">
        <v>43448</v>
      </c>
      <c r="G536" s="5">
        <v>43553</v>
      </c>
      <c r="H536" s="6">
        <v>0.88888888888888884</v>
      </c>
      <c r="I536" t="s">
        <v>141</v>
      </c>
      <c r="J536" t="s">
        <v>392</v>
      </c>
      <c r="K536" t="s">
        <v>25</v>
      </c>
      <c r="M536" t="s">
        <v>80</v>
      </c>
      <c r="N536" t="str">
        <v>Destino</v>
      </c>
      <c r="O536" t="str">
        <v>LA PALMA /STA.CRUZ DE LA PALMA</v>
      </c>
      <c r="P536" t="str">
        <v>SPC</v>
      </c>
      <c r="Q536" t="str">
        <v>18:00:00</v>
      </c>
      <c r="R536" t="str">
        <v>AT7</v>
      </c>
      <c r="S536" t="str">
        <v xml:space="preserve">  IBB637</v>
      </c>
      <c r="T536" t="str">
        <v>ESPAÑA</v>
      </c>
      <c r="U536" t="str">
        <v/>
      </c>
      <c r="V536" t="str">
        <v>TFN</v>
      </c>
      <c r="W536" t="str">
        <v>04/02/2019</v>
      </c>
      <c r="X536">
        <v>72</v>
      </c>
      <c r="Y536" t="str">
        <v>Aerospatiale/Alenia ATR72</v>
      </c>
    </row>
    <row r="537" spans="1:25" x14ac:dyDescent="0.25">
      <c r="A537" t="s">
        <v>1436</v>
      </c>
      <c r="B537" t="s">
        <v>0</v>
      </c>
      <c r="C537" t="s">
        <v>137</v>
      </c>
      <c r="D537" t="s">
        <v>138</v>
      </c>
      <c r="E537" t="s">
        <v>22</v>
      </c>
      <c r="F537" s="5">
        <v>43407</v>
      </c>
      <c r="G537" s="5">
        <v>43554</v>
      </c>
      <c r="H537" s="6">
        <v>0.89583333333333337</v>
      </c>
      <c r="I537" t="s">
        <v>139</v>
      </c>
      <c r="J537" t="s">
        <v>392</v>
      </c>
      <c r="K537" t="s">
        <v>25</v>
      </c>
      <c r="M537" t="s">
        <v>80</v>
      </c>
      <c r="N537" t="str">
        <v>Destino</v>
      </c>
      <c r="O537" t="str">
        <v>LA PALMA /STA.CRUZ DE LA PALMA</v>
      </c>
      <c r="P537" t="str">
        <v>SPC</v>
      </c>
      <c r="Q537" t="str">
        <v>18:30:00</v>
      </c>
      <c r="R537" t="str">
        <v>AT7</v>
      </c>
      <c r="S537" t="str">
        <v xml:space="preserve">  IBB625</v>
      </c>
      <c r="T537" t="str">
        <v>ESPAÑA</v>
      </c>
      <c r="U537" t="str">
        <v/>
      </c>
      <c r="V537" t="str">
        <v>TFN</v>
      </c>
      <c r="W537" t="str">
        <v>08/02/2019</v>
      </c>
      <c r="X537">
        <v>72</v>
      </c>
      <c r="Y537" t="str">
        <v>Aerospatiale/Alenia ATR72</v>
      </c>
    </row>
    <row r="538" spans="1:25" x14ac:dyDescent="0.25">
      <c r="A538" t="s">
        <v>1436</v>
      </c>
      <c r="B538" t="s">
        <v>0</v>
      </c>
      <c r="C538" t="s">
        <v>137</v>
      </c>
      <c r="D538" t="s">
        <v>138</v>
      </c>
      <c r="E538" t="s">
        <v>18</v>
      </c>
      <c r="F538" s="5">
        <v>43478</v>
      </c>
      <c r="G538" s="5">
        <v>43520</v>
      </c>
      <c r="H538" s="6">
        <v>0.90277777777777779</v>
      </c>
      <c r="I538" t="s">
        <v>139</v>
      </c>
      <c r="J538" t="s">
        <v>392</v>
      </c>
      <c r="K538" t="s">
        <v>25</v>
      </c>
      <c r="M538" t="s">
        <v>80</v>
      </c>
      <c r="N538" t="str">
        <v>Destino</v>
      </c>
      <c r="O538" t="str">
        <v>LA PALMA /STA.CRUZ DE LA PALMA</v>
      </c>
      <c r="P538" t="str">
        <v>SPC</v>
      </c>
      <c r="Q538" t="str">
        <v>18:35:00</v>
      </c>
      <c r="R538" t="str">
        <v>AT7</v>
      </c>
      <c r="S538" t="str">
        <v xml:space="preserve">  AEA9467</v>
      </c>
      <c r="T538" t="str">
        <v>ESPAÑA</v>
      </c>
      <c r="U538" t="str">
        <v/>
      </c>
      <c r="V538" t="str">
        <v>TFN</v>
      </c>
      <c r="W538" t="str">
        <v>10/02/2019</v>
      </c>
      <c r="X538">
        <v>72</v>
      </c>
      <c r="Y538" t="str">
        <v>Aerospatiale/Alenia ATR72</v>
      </c>
    </row>
    <row r="539" spans="1:25" x14ac:dyDescent="0.25">
      <c r="A539" t="s">
        <v>1436</v>
      </c>
      <c r="B539" t="s">
        <v>0</v>
      </c>
      <c r="C539" t="s">
        <v>137</v>
      </c>
      <c r="D539" t="s">
        <v>138</v>
      </c>
      <c r="E539" t="s">
        <v>144</v>
      </c>
      <c r="F539" s="5">
        <v>43401</v>
      </c>
      <c r="G539" s="5">
        <v>43554</v>
      </c>
      <c r="H539" s="6">
        <v>0.90972222222222221</v>
      </c>
      <c r="I539" t="s">
        <v>139</v>
      </c>
      <c r="J539" t="s">
        <v>394</v>
      </c>
      <c r="K539" t="s">
        <v>25</v>
      </c>
      <c r="M539" t="s">
        <v>80</v>
      </c>
      <c r="N539" t="str">
        <v>Destino</v>
      </c>
      <c r="O539" t="str">
        <v>LA PALMA /STA.CRUZ DE LA PALMA</v>
      </c>
      <c r="P539" t="str">
        <v>SPC</v>
      </c>
      <c r="Q539" t="str">
        <v>18:50:00</v>
      </c>
      <c r="R539" t="str">
        <v>AT7</v>
      </c>
      <c r="S539" t="str">
        <v xml:space="preserve">  AEA9467</v>
      </c>
      <c r="T539" t="str">
        <v>ESPAÑA</v>
      </c>
      <c r="U539" t="str">
        <v/>
      </c>
      <c r="V539" t="str">
        <v>TFN</v>
      </c>
      <c r="W539" t="str">
        <v>06/02/2019</v>
      </c>
      <c r="X539">
        <v>72</v>
      </c>
      <c r="Y539" t="str">
        <v>Aerospatiale/Alenia ATR72</v>
      </c>
    </row>
    <row r="540" spans="1:25" x14ac:dyDescent="0.25">
      <c r="A540" t="s">
        <v>1436</v>
      </c>
      <c r="B540" t="s">
        <v>0</v>
      </c>
      <c r="C540" t="s">
        <v>137</v>
      </c>
      <c r="D540" t="s">
        <v>138</v>
      </c>
      <c r="E540" t="s">
        <v>48</v>
      </c>
      <c r="F540" s="5">
        <v>43406</v>
      </c>
      <c r="G540" s="5">
        <v>43553</v>
      </c>
      <c r="H540" s="6">
        <v>0.92361111111111116</v>
      </c>
      <c r="I540" t="s">
        <v>139</v>
      </c>
      <c r="J540" t="s">
        <v>395</v>
      </c>
      <c r="K540" t="s">
        <v>25</v>
      </c>
      <c r="M540" t="s">
        <v>80</v>
      </c>
      <c r="N540" t="str">
        <v>Destino</v>
      </c>
      <c r="O540" t="str">
        <v>LA PALMA /STA.CRUZ DE LA PALMA</v>
      </c>
      <c r="P540" t="str">
        <v>SPC</v>
      </c>
      <c r="Q540" t="str">
        <v>18:50:00</v>
      </c>
      <c r="R540" t="str">
        <v>AT7</v>
      </c>
      <c r="S540" t="str">
        <v xml:space="preserve">  AEA9467</v>
      </c>
      <c r="T540" t="str">
        <v>ESPAÑA</v>
      </c>
      <c r="U540" t="str">
        <v/>
      </c>
      <c r="V540" t="str">
        <v>TFN</v>
      </c>
      <c r="W540" t="str">
        <v>05/02/2019</v>
      </c>
      <c r="X540">
        <v>72</v>
      </c>
      <c r="Y540" t="str">
        <v>Aerospatiale/Alenia ATR72</v>
      </c>
    </row>
    <row r="541" spans="1:25" x14ac:dyDescent="0.25">
      <c r="A541" t="s">
        <v>1436</v>
      </c>
      <c r="B541" t="s">
        <v>0</v>
      </c>
      <c r="C541" t="s">
        <v>137</v>
      </c>
      <c r="D541" t="s">
        <v>138</v>
      </c>
      <c r="E541" t="s">
        <v>18</v>
      </c>
      <c r="F541" s="5">
        <v>43478</v>
      </c>
      <c r="G541" s="5">
        <v>43548</v>
      </c>
      <c r="H541" s="6">
        <v>0.93055555555555547</v>
      </c>
      <c r="I541" t="s">
        <v>139</v>
      </c>
      <c r="J541" t="s">
        <v>395</v>
      </c>
      <c r="K541" t="s">
        <v>25</v>
      </c>
      <c r="M541" t="s">
        <v>80</v>
      </c>
      <c r="N541" t="str">
        <v>Destino</v>
      </c>
      <c r="O541" t="str">
        <v>LA PALMA /STA.CRUZ DE LA PALMA</v>
      </c>
      <c r="P541" t="str">
        <v>SPC</v>
      </c>
      <c r="Q541" t="str">
        <v>18:50:00</v>
      </c>
      <c r="R541" t="str">
        <v>AT7</v>
      </c>
      <c r="S541" t="str">
        <v xml:space="preserve">  AEA9467</v>
      </c>
      <c r="T541" t="str">
        <v>ESPAÑA</v>
      </c>
      <c r="U541" t="str">
        <v/>
      </c>
      <c r="V541" t="str">
        <v>TFN</v>
      </c>
      <c r="W541" t="str">
        <v>04/02/2019</v>
      </c>
      <c r="X541">
        <v>72</v>
      </c>
      <c r="Y541" t="str">
        <v>Aerospatiale/Alenia ATR72</v>
      </c>
    </row>
    <row r="542" spans="1:25" x14ac:dyDescent="0.25">
      <c r="A542" t="s">
        <v>1436</v>
      </c>
      <c r="B542" t="s">
        <v>0</v>
      </c>
      <c r="C542" t="s">
        <v>177</v>
      </c>
      <c r="D542" t="s">
        <v>178</v>
      </c>
      <c r="E542" t="s">
        <v>22</v>
      </c>
      <c r="F542" s="5">
        <v>43407</v>
      </c>
      <c r="G542" s="5">
        <v>43554</v>
      </c>
      <c r="H542" s="6">
        <v>0.47222222222222227</v>
      </c>
      <c r="I542" t="s">
        <v>106</v>
      </c>
      <c r="J542" t="s">
        <v>1504</v>
      </c>
      <c r="K542" t="s">
        <v>45</v>
      </c>
      <c r="M542" t="s">
        <v>80</v>
      </c>
      <c r="N542" t="str">
        <v>Destino</v>
      </c>
      <c r="O542" t="str">
        <v>LA PALMA /STA.CRUZ DE LA PALMA</v>
      </c>
      <c r="P542" t="str">
        <v>SPC</v>
      </c>
      <c r="Q542" t="str">
        <v>18:50:00</v>
      </c>
      <c r="R542" t="str">
        <v>AT7</v>
      </c>
      <c r="S542" t="str">
        <v xml:space="preserve">  AEA9467</v>
      </c>
      <c r="T542" t="str">
        <v>ESPAÑA</v>
      </c>
      <c r="U542" t="str">
        <v/>
      </c>
      <c r="V542" t="str">
        <v>TFN</v>
      </c>
      <c r="W542" t="str">
        <v>08/02/2019</v>
      </c>
      <c r="X542">
        <v>72</v>
      </c>
      <c r="Y542" t="str">
        <v>Aerospatiale/Alenia ATR72</v>
      </c>
    </row>
    <row r="543" spans="1:25" x14ac:dyDescent="0.25">
      <c r="A543" t="s">
        <v>1436</v>
      </c>
      <c r="B543" t="s">
        <v>0</v>
      </c>
      <c r="C543" t="s">
        <v>177</v>
      </c>
      <c r="D543" t="s">
        <v>178</v>
      </c>
      <c r="E543" t="s">
        <v>59</v>
      </c>
      <c r="F543" s="5">
        <v>43451</v>
      </c>
      <c r="G543" s="5">
        <v>43549</v>
      </c>
      <c r="H543" s="6">
        <v>0.47222222222222227</v>
      </c>
      <c r="I543" t="s">
        <v>106</v>
      </c>
      <c r="J543" t="s">
        <v>1504</v>
      </c>
      <c r="K543" t="s">
        <v>45</v>
      </c>
      <c r="M543" t="s">
        <v>80</v>
      </c>
      <c r="N543" t="str">
        <v>Destino</v>
      </c>
      <c r="O543" t="str">
        <v>LA PALMA /STA.CRUZ DE LA PALMA</v>
      </c>
      <c r="P543" t="str">
        <v>SPC</v>
      </c>
      <c r="Q543" t="str">
        <v>18:50:00</v>
      </c>
      <c r="R543" t="str">
        <v>AT7</v>
      </c>
      <c r="S543" t="str">
        <v xml:space="preserve">  AEA9467</v>
      </c>
      <c r="T543" t="str">
        <v>ESPAÑA</v>
      </c>
      <c r="U543" t="str">
        <v/>
      </c>
      <c r="V543" t="str">
        <v>TFN</v>
      </c>
      <c r="W543" t="str">
        <v>07/02/2019</v>
      </c>
      <c r="X543">
        <v>72</v>
      </c>
      <c r="Y543" t="str">
        <v>Aerospatiale/Alenia ATR72</v>
      </c>
    </row>
    <row r="544" spans="1:25" x14ac:dyDescent="0.25">
      <c r="A544" t="s">
        <v>1436</v>
      </c>
      <c r="B544" t="s">
        <v>0</v>
      </c>
      <c r="C544" t="s">
        <v>177</v>
      </c>
      <c r="D544" t="s">
        <v>178</v>
      </c>
      <c r="E544" t="s">
        <v>13</v>
      </c>
      <c r="F544" s="5">
        <v>43405</v>
      </c>
      <c r="G544" s="5">
        <v>43524</v>
      </c>
      <c r="H544" s="6">
        <v>0.57986111111111105</v>
      </c>
      <c r="I544" t="s">
        <v>104</v>
      </c>
      <c r="J544" t="s">
        <v>396</v>
      </c>
      <c r="K544" t="s">
        <v>45</v>
      </c>
      <c r="M544" t="s">
        <v>80</v>
      </c>
      <c r="N544" t="str">
        <v>Destino</v>
      </c>
      <c r="O544" t="str">
        <v>LA PALMA /STA.CRUZ DE LA PALMA</v>
      </c>
      <c r="P544" t="str">
        <v>SPC</v>
      </c>
      <c r="Q544" t="str">
        <v>18:50:00</v>
      </c>
      <c r="R544" t="str">
        <v>AT7</v>
      </c>
      <c r="S544" t="str">
        <v xml:space="preserve">  AEA9467</v>
      </c>
      <c r="T544" t="str">
        <v>ESPAÑA</v>
      </c>
      <c r="U544" t="str">
        <v/>
      </c>
      <c r="V544" t="str">
        <v>TFN</v>
      </c>
      <c r="W544" t="str">
        <v>09/02/2019</v>
      </c>
      <c r="X544">
        <v>72</v>
      </c>
      <c r="Y544" t="str">
        <v>Aerospatiale/Alenia ATR72</v>
      </c>
    </row>
    <row r="545" spans="1:25" x14ac:dyDescent="0.25">
      <c r="A545" t="s">
        <v>1436</v>
      </c>
      <c r="B545" t="s">
        <v>0</v>
      </c>
      <c r="C545" t="s">
        <v>177</v>
      </c>
      <c r="D545" t="s">
        <v>178</v>
      </c>
      <c r="E545" t="s">
        <v>22</v>
      </c>
      <c r="F545" s="5">
        <v>43407</v>
      </c>
      <c r="G545" s="5">
        <v>43554</v>
      </c>
      <c r="H545" s="6">
        <v>0.59027777777777779</v>
      </c>
      <c r="I545" t="s">
        <v>104</v>
      </c>
      <c r="J545" t="s">
        <v>396</v>
      </c>
      <c r="K545" t="s">
        <v>45</v>
      </c>
      <c r="M545" t="s">
        <v>80</v>
      </c>
      <c r="N545" t="str">
        <v>Destino</v>
      </c>
      <c r="O545" t="str">
        <v>LA PALMA /STA.CRUZ DE LA PALMA</v>
      </c>
      <c r="P545" t="str">
        <v>SPC</v>
      </c>
      <c r="Q545" t="str">
        <v>19:00:00</v>
      </c>
      <c r="R545" t="str">
        <v>AT7</v>
      </c>
      <c r="S545" t="str">
        <v xml:space="preserve">  IBB639</v>
      </c>
      <c r="T545" t="str">
        <v>ESPAÑA</v>
      </c>
      <c r="U545" t="str">
        <v/>
      </c>
      <c r="V545" t="str">
        <v>TFN</v>
      </c>
      <c r="W545" t="str">
        <v>06/02/2019</v>
      </c>
      <c r="X545">
        <v>72</v>
      </c>
      <c r="Y545" t="str">
        <v>Aerospatiale/Alenia ATR72</v>
      </c>
    </row>
    <row r="546" spans="1:25" x14ac:dyDescent="0.25">
      <c r="A546" t="s">
        <v>1436</v>
      </c>
      <c r="B546" t="s">
        <v>0</v>
      </c>
      <c r="C546" t="s">
        <v>177</v>
      </c>
      <c r="D546" t="s">
        <v>178</v>
      </c>
      <c r="E546" t="s">
        <v>19</v>
      </c>
      <c r="F546" s="5">
        <v>43403</v>
      </c>
      <c r="G546" s="5">
        <v>43550</v>
      </c>
      <c r="H546" s="6">
        <v>0.63541666666666663</v>
      </c>
      <c r="I546" t="s">
        <v>104</v>
      </c>
      <c r="J546" t="s">
        <v>396</v>
      </c>
      <c r="K546" t="s">
        <v>45</v>
      </c>
      <c r="M546" t="s">
        <v>80</v>
      </c>
      <c r="N546" t="str">
        <v>Destino</v>
      </c>
      <c r="O546" t="str">
        <v>LA PALMA /STA.CRUZ DE LA PALMA</v>
      </c>
      <c r="P546" t="str">
        <v>SPC</v>
      </c>
      <c r="Q546" t="str">
        <v>19:00:00</v>
      </c>
      <c r="R546" t="str">
        <v>AT7</v>
      </c>
      <c r="S546" t="str">
        <v xml:space="preserve">  IBB639</v>
      </c>
      <c r="T546" t="str">
        <v>ESPAÑA</v>
      </c>
      <c r="U546" t="str">
        <v/>
      </c>
      <c r="V546" t="str">
        <v>TFN</v>
      </c>
      <c r="W546" t="str">
        <v>04/02/2019</v>
      </c>
      <c r="X546">
        <v>72</v>
      </c>
      <c r="Y546" t="str">
        <v>Aerospatiale/Alenia ATR72</v>
      </c>
    </row>
    <row r="547" spans="1:25" x14ac:dyDescent="0.25">
      <c r="A547" t="s">
        <v>1436</v>
      </c>
      <c r="B547" t="s">
        <v>0</v>
      </c>
      <c r="C547" t="s">
        <v>177</v>
      </c>
      <c r="D547" t="s">
        <v>178</v>
      </c>
      <c r="E547" t="s">
        <v>19</v>
      </c>
      <c r="F547" s="5">
        <v>43403</v>
      </c>
      <c r="G547" s="5">
        <v>43550</v>
      </c>
      <c r="H547" s="6">
        <v>0.67013888888888884</v>
      </c>
      <c r="I547" t="s">
        <v>352</v>
      </c>
      <c r="J547" t="s">
        <v>1505</v>
      </c>
      <c r="K547" t="s">
        <v>45</v>
      </c>
      <c r="M547" t="s">
        <v>80</v>
      </c>
      <c r="N547" t="str">
        <v>Destino</v>
      </c>
      <c r="O547" t="str">
        <v>LA PALMA /STA.CRUZ DE LA PALMA</v>
      </c>
      <c r="P547" t="str">
        <v>SPC</v>
      </c>
      <c r="Q547" t="str">
        <v>19:00:00</v>
      </c>
      <c r="R547" t="str">
        <v>AT7</v>
      </c>
      <c r="S547" t="str">
        <v xml:space="preserve">  IBB639</v>
      </c>
      <c r="T547" t="str">
        <v>ESPAÑA</v>
      </c>
      <c r="U547" t="str">
        <v/>
      </c>
      <c r="V547" t="str">
        <v>TFN</v>
      </c>
      <c r="W547" t="str">
        <v>08/02/2019</v>
      </c>
      <c r="X547">
        <v>72</v>
      </c>
      <c r="Y547" t="str">
        <v>Aerospatiale/Alenia ATR72</v>
      </c>
    </row>
    <row r="548" spans="1:25" x14ac:dyDescent="0.25">
      <c r="A548" t="s">
        <v>1436</v>
      </c>
      <c r="B548" t="s">
        <v>0</v>
      </c>
      <c r="C548" t="s">
        <v>177</v>
      </c>
      <c r="D548" t="s">
        <v>178</v>
      </c>
      <c r="E548" t="s">
        <v>59</v>
      </c>
      <c r="F548" s="5">
        <v>43493</v>
      </c>
      <c r="G548" s="5">
        <v>43549</v>
      </c>
      <c r="H548" s="6">
        <v>0.67013888888888884</v>
      </c>
      <c r="I548" t="s">
        <v>352</v>
      </c>
      <c r="J548" t="s">
        <v>1505</v>
      </c>
      <c r="K548" t="s">
        <v>45</v>
      </c>
      <c r="M548" t="s">
        <v>80</v>
      </c>
      <c r="N548" t="str">
        <v>Destino</v>
      </c>
      <c r="O548" t="str">
        <v>LA PALMA /STA.CRUZ DE LA PALMA</v>
      </c>
      <c r="P548" t="str">
        <v>SPC</v>
      </c>
      <c r="Q548" t="str">
        <v>19:00:00</v>
      </c>
      <c r="R548" t="str">
        <v>AT7</v>
      </c>
      <c r="S548" t="str">
        <v xml:space="preserve">  IBB639</v>
      </c>
      <c r="T548" t="str">
        <v>ESPAÑA</v>
      </c>
      <c r="U548" t="str">
        <v/>
      </c>
      <c r="V548" t="str">
        <v>TFN</v>
      </c>
      <c r="W548" t="str">
        <v>07/02/2019</v>
      </c>
      <c r="X548">
        <v>72</v>
      </c>
      <c r="Y548" t="str">
        <v>Aerospatiale/Alenia ATR72</v>
      </c>
    </row>
    <row r="549" spans="1:25" x14ac:dyDescent="0.25">
      <c r="A549" t="s">
        <v>1436</v>
      </c>
      <c r="B549" t="s">
        <v>0</v>
      </c>
      <c r="C549" t="s">
        <v>177</v>
      </c>
      <c r="D549" t="s">
        <v>178</v>
      </c>
      <c r="E549" t="s">
        <v>22</v>
      </c>
      <c r="F549" s="5">
        <v>43407</v>
      </c>
      <c r="G549" s="5">
        <v>43554</v>
      </c>
      <c r="H549" s="6">
        <v>0.68055555555555547</v>
      </c>
      <c r="I549" t="s">
        <v>352</v>
      </c>
      <c r="J549" t="s">
        <v>1505</v>
      </c>
      <c r="K549" t="s">
        <v>45</v>
      </c>
      <c r="M549" t="s">
        <v>80</v>
      </c>
      <c r="N549" t="str">
        <v>Destino</v>
      </c>
      <c r="O549" t="str">
        <v>LA PALMA /STA.CRUZ DE LA PALMA</v>
      </c>
      <c r="P549" t="str">
        <v>SPC</v>
      </c>
      <c r="Q549" t="str">
        <v>19:00:00</v>
      </c>
      <c r="R549" t="str">
        <v>AT7</v>
      </c>
      <c r="S549" t="str">
        <v xml:space="preserve">  IBB639</v>
      </c>
      <c r="T549" t="str">
        <v>ESPAÑA</v>
      </c>
      <c r="U549" t="str">
        <v/>
      </c>
      <c r="V549" t="str">
        <v>TFN</v>
      </c>
      <c r="W549" t="str">
        <v>10/02/2019</v>
      </c>
      <c r="X549">
        <v>72</v>
      </c>
      <c r="Y549" t="str">
        <v>Aerospatiale/Alenia ATR72</v>
      </c>
    </row>
    <row r="550" spans="1:25" x14ac:dyDescent="0.25">
      <c r="A550" t="s">
        <v>1436</v>
      </c>
      <c r="B550" t="s">
        <v>0</v>
      </c>
      <c r="C550" t="s">
        <v>180</v>
      </c>
      <c r="D550" t="s">
        <v>181</v>
      </c>
      <c r="E550" t="s">
        <v>20</v>
      </c>
      <c r="F550" s="5">
        <v>43509</v>
      </c>
      <c r="G550" s="5">
        <v>43516</v>
      </c>
      <c r="H550" s="6">
        <v>0.54166666666666663</v>
      </c>
      <c r="I550" t="s">
        <v>106</v>
      </c>
      <c r="J550" t="s">
        <v>1920</v>
      </c>
      <c r="K550" t="s">
        <v>45</v>
      </c>
      <c r="M550" t="s">
        <v>80</v>
      </c>
      <c r="N550" t="str">
        <v>Destino</v>
      </c>
      <c r="O550" t="str">
        <v>LA PALMA /STA.CRUZ DE LA PALMA</v>
      </c>
      <c r="P550" t="str">
        <v>SPC</v>
      </c>
      <c r="Q550" t="str">
        <v>19:00:00</v>
      </c>
      <c r="R550" t="str">
        <v>AT7</v>
      </c>
      <c r="S550" t="str">
        <v xml:space="preserve">  IBB639</v>
      </c>
      <c r="T550" t="str">
        <v>ESPAÑA</v>
      </c>
      <c r="U550" t="str">
        <v/>
      </c>
      <c r="V550" t="str">
        <v>TFN</v>
      </c>
      <c r="W550" t="str">
        <v>09/02/2019</v>
      </c>
      <c r="X550">
        <v>72</v>
      </c>
      <c r="Y550" t="str">
        <v>Aerospatiale/Alenia ATR72</v>
      </c>
    </row>
    <row r="551" spans="1:25" x14ac:dyDescent="0.25">
      <c r="A551" t="s">
        <v>1436</v>
      </c>
      <c r="B551" t="s">
        <v>0</v>
      </c>
      <c r="C551" t="s">
        <v>180</v>
      </c>
      <c r="D551" t="s">
        <v>181</v>
      </c>
      <c r="E551" t="s">
        <v>22</v>
      </c>
      <c r="F551" s="5">
        <v>43407</v>
      </c>
      <c r="G551" s="5">
        <v>43554</v>
      </c>
      <c r="H551" s="6">
        <v>0.62847222222222221</v>
      </c>
      <c r="I551">
        <v>320</v>
      </c>
      <c r="J551" t="s">
        <v>397</v>
      </c>
      <c r="K551" t="s">
        <v>45</v>
      </c>
      <c r="M551" t="s">
        <v>80</v>
      </c>
      <c r="N551" t="str">
        <v>Destino</v>
      </c>
      <c r="O551" t="str">
        <v>LA PALMA /STA.CRUZ DE LA PALMA</v>
      </c>
      <c r="P551" t="str">
        <v>SPC</v>
      </c>
      <c r="Q551" t="str">
        <v>19:00:00</v>
      </c>
      <c r="R551" t="str">
        <v>AT7</v>
      </c>
      <c r="S551" t="str">
        <v xml:space="preserve">  IBB639</v>
      </c>
      <c r="T551" t="str">
        <v>ESPAÑA</v>
      </c>
      <c r="U551" t="str">
        <v/>
      </c>
      <c r="V551" t="str">
        <v>TFN</v>
      </c>
      <c r="W551" t="str">
        <v>05/02/2019</v>
      </c>
      <c r="X551">
        <v>72</v>
      </c>
      <c r="Y551" t="str">
        <v>Aerospatiale/Alenia ATR72</v>
      </c>
    </row>
    <row r="552" spans="1:25" x14ac:dyDescent="0.25">
      <c r="A552" t="s">
        <v>1436</v>
      </c>
      <c r="B552" t="s">
        <v>0</v>
      </c>
      <c r="C552" t="s">
        <v>180</v>
      </c>
      <c r="D552" t="s">
        <v>181</v>
      </c>
      <c r="E552" t="s">
        <v>48</v>
      </c>
      <c r="F552" s="5">
        <v>43511</v>
      </c>
      <c r="G552" s="5">
        <v>43511</v>
      </c>
      <c r="H552" s="6">
        <v>0.68402777777777779</v>
      </c>
      <c r="I552" t="s">
        <v>106</v>
      </c>
      <c r="J552" t="s">
        <v>398</v>
      </c>
      <c r="K552" t="s">
        <v>45</v>
      </c>
      <c r="M552" t="s">
        <v>80</v>
      </c>
      <c r="N552" t="str">
        <v>Destino</v>
      </c>
      <c r="O552" t="str">
        <v>LA PALMA /STA.CRUZ DE LA PALMA</v>
      </c>
      <c r="P552" t="str">
        <v>SPC</v>
      </c>
      <c r="Q552" t="str">
        <v>19:20:00</v>
      </c>
      <c r="R552" t="str">
        <v>AT7</v>
      </c>
      <c r="S552" t="str">
        <v xml:space="preserve">  CNF467</v>
      </c>
      <c r="T552" t="str">
        <v>ESPAÑA</v>
      </c>
      <c r="U552" t="str">
        <v/>
      </c>
      <c r="V552" t="str">
        <v>TFN</v>
      </c>
      <c r="W552" t="str">
        <v>05/02/2019</v>
      </c>
      <c r="X552">
        <v>72</v>
      </c>
      <c r="Y552" t="str">
        <v>Aerospatiale/Alenia ATR72</v>
      </c>
    </row>
    <row r="553" spans="1:25" x14ac:dyDescent="0.25">
      <c r="A553" t="s">
        <v>1436</v>
      </c>
      <c r="B553" t="s">
        <v>0</v>
      </c>
      <c r="C553" t="s">
        <v>180</v>
      </c>
      <c r="D553" t="s">
        <v>181</v>
      </c>
      <c r="E553" t="s">
        <v>13</v>
      </c>
      <c r="F553" s="5">
        <v>43468</v>
      </c>
      <c r="G553" s="5">
        <v>43552</v>
      </c>
      <c r="H553" s="6">
        <v>0.6875</v>
      </c>
      <c r="I553" t="s">
        <v>106</v>
      </c>
      <c r="J553" t="s">
        <v>398</v>
      </c>
      <c r="K553" t="s">
        <v>45</v>
      </c>
      <c r="M553" t="s">
        <v>80</v>
      </c>
      <c r="N553" t="str">
        <v>Destino</v>
      </c>
      <c r="O553" t="str">
        <v>LA PALMA /STA.CRUZ DE LA PALMA</v>
      </c>
      <c r="P553" t="str">
        <v>SPC</v>
      </c>
      <c r="Q553" t="str">
        <v>19:20:00</v>
      </c>
      <c r="R553" t="str">
        <v>AT7</v>
      </c>
      <c r="S553" t="str">
        <v xml:space="preserve">  CNF467</v>
      </c>
      <c r="T553" t="str">
        <v>ESPAÑA</v>
      </c>
      <c r="U553" t="str">
        <v/>
      </c>
      <c r="V553" t="str">
        <v>TFN</v>
      </c>
      <c r="W553" t="str">
        <v>04/02/2019</v>
      </c>
      <c r="X553">
        <v>72</v>
      </c>
      <c r="Y553" t="str">
        <v>Aerospatiale/Alenia ATR72</v>
      </c>
    </row>
    <row r="554" spans="1:25" x14ac:dyDescent="0.25">
      <c r="A554" t="s">
        <v>1436</v>
      </c>
      <c r="B554" t="s">
        <v>0</v>
      </c>
      <c r="C554" t="s">
        <v>180</v>
      </c>
      <c r="D554" t="s">
        <v>181</v>
      </c>
      <c r="E554" t="s">
        <v>59</v>
      </c>
      <c r="F554" s="5">
        <v>43500</v>
      </c>
      <c r="G554" s="5">
        <v>43514</v>
      </c>
      <c r="H554" s="6">
        <v>0.77777777777777779</v>
      </c>
      <c r="I554" t="s">
        <v>106</v>
      </c>
      <c r="J554" t="s">
        <v>398</v>
      </c>
      <c r="K554" t="s">
        <v>45</v>
      </c>
      <c r="M554" t="s">
        <v>80</v>
      </c>
      <c r="N554" t="str">
        <v>Destino</v>
      </c>
      <c r="O554" t="str">
        <v>LA PALMA /STA.CRUZ DE LA PALMA</v>
      </c>
      <c r="P554" t="str">
        <v>SPC</v>
      </c>
      <c r="Q554" t="str">
        <v>19:20:00</v>
      </c>
      <c r="R554" t="str">
        <v>AT7</v>
      </c>
      <c r="S554" t="str">
        <v xml:space="preserve">  CNF467</v>
      </c>
      <c r="T554" t="str">
        <v>ESPAÑA</v>
      </c>
      <c r="U554" t="str">
        <v/>
      </c>
      <c r="V554" t="str">
        <v>TFN</v>
      </c>
      <c r="W554" t="str">
        <v>08/02/2019</v>
      </c>
      <c r="X554">
        <v>72</v>
      </c>
      <c r="Y554" t="str">
        <v>Aerospatiale/Alenia ATR72</v>
      </c>
    </row>
    <row r="555" spans="1:25" x14ac:dyDescent="0.25">
      <c r="A555" t="s">
        <v>1436</v>
      </c>
      <c r="B555" t="s">
        <v>0</v>
      </c>
      <c r="C555" t="s">
        <v>180</v>
      </c>
      <c r="D555" t="s">
        <v>181</v>
      </c>
      <c r="E555" t="s">
        <v>22</v>
      </c>
      <c r="F555" s="5">
        <v>43449</v>
      </c>
      <c r="G555" s="5">
        <v>43554</v>
      </c>
      <c r="H555" s="6">
        <v>0.83333333333333337</v>
      </c>
      <c r="I555" t="s">
        <v>106</v>
      </c>
      <c r="J555" t="s">
        <v>398</v>
      </c>
      <c r="K555" t="s">
        <v>45</v>
      </c>
      <c r="M555" t="s">
        <v>80</v>
      </c>
      <c r="N555" t="str">
        <v>Destino</v>
      </c>
      <c r="O555" t="str">
        <v>LA PALMA /STA.CRUZ DE LA PALMA</v>
      </c>
      <c r="P555" t="str">
        <v>SPC</v>
      </c>
      <c r="Q555" t="str">
        <v>19:20:00</v>
      </c>
      <c r="R555" t="str">
        <v>AT7</v>
      </c>
      <c r="S555" t="str">
        <v xml:space="preserve">  CNF467</v>
      </c>
      <c r="T555" t="str">
        <v>ESPAÑA</v>
      </c>
      <c r="U555" t="str">
        <v/>
      </c>
      <c r="V555" t="str">
        <v>TFN</v>
      </c>
      <c r="W555" t="str">
        <v>07/02/2019</v>
      </c>
      <c r="X555">
        <v>72</v>
      </c>
      <c r="Y555" t="str">
        <v>Aerospatiale/Alenia ATR72</v>
      </c>
    </row>
    <row r="556" spans="1:25" x14ac:dyDescent="0.25">
      <c r="A556" t="s">
        <v>1436</v>
      </c>
      <c r="B556" t="s">
        <v>0</v>
      </c>
      <c r="C556" t="s">
        <v>593</v>
      </c>
      <c r="D556" t="s">
        <v>594</v>
      </c>
      <c r="E556" t="s">
        <v>18</v>
      </c>
      <c r="F556" s="5">
        <v>43401</v>
      </c>
      <c r="G556" s="5">
        <v>43548</v>
      </c>
      <c r="H556" s="6">
        <v>0.69791666666666663</v>
      </c>
      <c r="I556" t="s">
        <v>39</v>
      </c>
      <c r="J556" t="s">
        <v>1506</v>
      </c>
      <c r="K556" t="s">
        <v>595</v>
      </c>
      <c r="M556" t="s">
        <v>80</v>
      </c>
      <c r="N556" t="str">
        <v>Destino</v>
      </c>
      <c r="O556" t="str">
        <v>LA PALMA /STA.CRUZ DE LA PALMA</v>
      </c>
      <c r="P556" t="str">
        <v>SPC</v>
      </c>
      <c r="Q556" t="str">
        <v>19:20:00</v>
      </c>
      <c r="R556" t="str">
        <v>AT7</v>
      </c>
      <c r="S556" t="str">
        <v xml:space="preserve">  CNF467</v>
      </c>
      <c r="T556" t="str">
        <v>ESPAÑA</v>
      </c>
      <c r="U556" t="str">
        <v/>
      </c>
      <c r="V556" t="str">
        <v>TFN</v>
      </c>
      <c r="W556" t="str">
        <v>10/02/2019</v>
      </c>
      <c r="X556">
        <v>72</v>
      </c>
      <c r="Y556" t="str">
        <v>Aerospatiale/Alenia ATR72</v>
      </c>
    </row>
    <row r="557" spans="1:25" x14ac:dyDescent="0.25">
      <c r="A557" t="s">
        <v>1436</v>
      </c>
      <c r="B557" t="s">
        <v>0</v>
      </c>
      <c r="C557" t="s">
        <v>187</v>
      </c>
      <c r="D557" t="s">
        <v>188</v>
      </c>
      <c r="E557" t="s">
        <v>20</v>
      </c>
      <c r="F557" s="5">
        <v>43467</v>
      </c>
      <c r="G557" s="5">
        <v>43551</v>
      </c>
      <c r="H557" s="6">
        <v>0.50347222222222221</v>
      </c>
      <c r="I557" t="s">
        <v>14</v>
      </c>
      <c r="J557" t="s">
        <v>401</v>
      </c>
      <c r="K557" t="s">
        <v>38</v>
      </c>
      <c r="M557" t="s">
        <v>80</v>
      </c>
      <c r="N557" t="str">
        <v>Destino</v>
      </c>
      <c r="O557" t="str">
        <v>LA PALMA /STA.CRUZ DE LA PALMA</v>
      </c>
      <c r="P557" t="str">
        <v>SPC</v>
      </c>
      <c r="Q557" t="str">
        <v>19:20:00</v>
      </c>
      <c r="R557" t="str">
        <v>AT7</v>
      </c>
      <c r="S557" t="str">
        <v xml:space="preserve">  CNF467</v>
      </c>
      <c r="T557" t="str">
        <v>ESPAÑA</v>
      </c>
      <c r="U557" t="str">
        <v/>
      </c>
      <c r="V557" t="str">
        <v>TFN</v>
      </c>
      <c r="W557" t="str">
        <v>09/02/2019</v>
      </c>
      <c r="X557">
        <v>72</v>
      </c>
      <c r="Y557" t="str">
        <v>Aerospatiale/Alenia ATR72</v>
      </c>
    </row>
    <row r="558" spans="1:25" x14ac:dyDescent="0.25">
      <c r="A558" t="s">
        <v>1436</v>
      </c>
      <c r="B558" t="s">
        <v>0</v>
      </c>
      <c r="C558" t="s">
        <v>187</v>
      </c>
      <c r="D558" t="s">
        <v>188</v>
      </c>
      <c r="E558" t="s">
        <v>19</v>
      </c>
      <c r="F558" s="5">
        <v>43473</v>
      </c>
      <c r="G558" s="5">
        <v>43550</v>
      </c>
      <c r="H558" s="6">
        <v>0.61458333333333337</v>
      </c>
      <c r="I558" t="s">
        <v>14</v>
      </c>
      <c r="J558" t="s">
        <v>402</v>
      </c>
      <c r="K558" t="s">
        <v>38</v>
      </c>
      <c r="M558" t="s">
        <v>80</v>
      </c>
      <c r="N558" t="str">
        <v>Destino</v>
      </c>
      <c r="O558" t="str">
        <v>LA PALMA /STA.CRUZ DE LA PALMA</v>
      </c>
      <c r="P558" t="str">
        <v>SPC</v>
      </c>
      <c r="Q558" t="str">
        <v>19:20:00</v>
      </c>
      <c r="R558" t="str">
        <v>AT7</v>
      </c>
      <c r="S558" t="str">
        <v xml:space="preserve">  CNF467</v>
      </c>
      <c r="T558" t="str">
        <v>ESPAÑA</v>
      </c>
      <c r="U558" t="str">
        <v/>
      </c>
      <c r="V558" t="str">
        <v>TFN</v>
      </c>
      <c r="W558" t="str">
        <v>06/02/2019</v>
      </c>
      <c r="X558">
        <v>72</v>
      </c>
      <c r="Y558" t="str">
        <v>Aerospatiale/Alenia ATR72</v>
      </c>
    </row>
    <row r="559" spans="1:25" x14ac:dyDescent="0.25">
      <c r="A559" t="s">
        <v>1436</v>
      </c>
      <c r="B559" t="s">
        <v>0</v>
      </c>
      <c r="C559" t="s">
        <v>187</v>
      </c>
      <c r="D559" t="s">
        <v>188</v>
      </c>
      <c r="E559" t="s">
        <v>22</v>
      </c>
      <c r="F559" s="5">
        <v>43512</v>
      </c>
      <c r="G559" s="5">
        <v>43519</v>
      </c>
      <c r="H559" s="6">
        <v>0.69791666666666663</v>
      </c>
      <c r="I559" t="s">
        <v>207</v>
      </c>
      <c r="J559" t="s">
        <v>402</v>
      </c>
      <c r="K559" t="s">
        <v>38</v>
      </c>
      <c r="M559" t="s">
        <v>80</v>
      </c>
      <c r="N559" t="str">
        <v>Destino</v>
      </c>
      <c r="O559" t="str">
        <v>LA PALMA /STA.CRUZ DE LA PALMA</v>
      </c>
      <c r="P559" t="str">
        <v>SPC</v>
      </c>
      <c r="Q559" t="str">
        <v>19:30:00</v>
      </c>
      <c r="R559" t="str">
        <v>AT7</v>
      </c>
      <c r="S559" t="str">
        <v xml:space="preserve">  IBB643</v>
      </c>
      <c r="T559" t="str">
        <v>ESPAÑA</v>
      </c>
      <c r="U559" t="str">
        <v/>
      </c>
      <c r="V559" t="str">
        <v>TFN</v>
      </c>
      <c r="W559" t="str">
        <v>10/02/2019</v>
      </c>
      <c r="X559">
        <v>72</v>
      </c>
      <c r="Y559" t="str">
        <v>Aerospatiale/Alenia ATR72</v>
      </c>
    </row>
    <row r="560" spans="1:25" x14ac:dyDescent="0.25">
      <c r="A560" t="s">
        <v>1436</v>
      </c>
      <c r="B560" t="s">
        <v>0</v>
      </c>
      <c r="C560" t="s">
        <v>187</v>
      </c>
      <c r="D560" t="s">
        <v>188</v>
      </c>
      <c r="E560" t="s">
        <v>18</v>
      </c>
      <c r="F560" s="5">
        <v>43401</v>
      </c>
      <c r="G560" s="5">
        <v>43548</v>
      </c>
      <c r="H560" s="6">
        <v>0.73958333333333337</v>
      </c>
      <c r="I560" t="s">
        <v>14</v>
      </c>
      <c r="J560" t="s">
        <v>401</v>
      </c>
      <c r="K560" t="s">
        <v>38</v>
      </c>
      <c r="M560" t="s">
        <v>80</v>
      </c>
      <c r="N560" t="str">
        <v>Destino</v>
      </c>
      <c r="O560" t="str">
        <v>LA PALMA /STA.CRUZ DE LA PALMA</v>
      </c>
      <c r="P560" t="str">
        <v>SPC</v>
      </c>
      <c r="Q560" t="str">
        <v>20:00:00</v>
      </c>
      <c r="R560" t="str">
        <v>AT7</v>
      </c>
      <c r="S560" t="str">
        <v xml:space="preserve">  IBB627</v>
      </c>
      <c r="T560" t="str">
        <v>ESPAÑA</v>
      </c>
      <c r="U560" t="str">
        <v/>
      </c>
      <c r="V560" t="str">
        <v>TFN</v>
      </c>
      <c r="W560" t="str">
        <v>08/02/2019</v>
      </c>
      <c r="X560">
        <v>72</v>
      </c>
      <c r="Y560" t="str">
        <v>Aerospatiale/Alenia ATR72</v>
      </c>
    </row>
    <row r="561" spans="1:25" x14ac:dyDescent="0.25">
      <c r="A561" t="s">
        <v>1436</v>
      </c>
      <c r="B561" t="s">
        <v>0</v>
      </c>
      <c r="C561" t="s">
        <v>192</v>
      </c>
      <c r="D561" t="s">
        <v>193</v>
      </c>
      <c r="E561" t="s">
        <v>59</v>
      </c>
      <c r="F561" s="5">
        <v>43514</v>
      </c>
      <c r="G561" s="5">
        <v>43549</v>
      </c>
      <c r="H561" s="6">
        <v>0.54513888888888895</v>
      </c>
      <c r="I561">
        <v>321</v>
      </c>
      <c r="J561" t="s">
        <v>1921</v>
      </c>
      <c r="K561" t="s">
        <v>45</v>
      </c>
      <c r="M561" t="s">
        <v>80</v>
      </c>
      <c r="N561" t="str">
        <v>Destino</v>
      </c>
      <c r="O561" t="str">
        <v>LA PALMA /STA.CRUZ DE LA PALMA</v>
      </c>
      <c r="P561" t="str">
        <v>SPC</v>
      </c>
      <c r="Q561" t="str">
        <v>20:00:00</v>
      </c>
      <c r="R561" t="str">
        <v>AT7</v>
      </c>
      <c r="S561" t="str">
        <v xml:space="preserve">  IBB627</v>
      </c>
      <c r="T561" t="str">
        <v>ESPAÑA</v>
      </c>
      <c r="U561" t="str">
        <v/>
      </c>
      <c r="V561" t="str">
        <v>TFN</v>
      </c>
      <c r="W561" t="str">
        <v>05/02/2019</v>
      </c>
      <c r="X561">
        <v>72</v>
      </c>
      <c r="Y561" t="str">
        <v>Aerospatiale/Alenia ATR72</v>
      </c>
    </row>
    <row r="562" spans="1:25" x14ac:dyDescent="0.25">
      <c r="A562" t="s">
        <v>1436</v>
      </c>
      <c r="B562" t="s">
        <v>0</v>
      </c>
      <c r="C562" t="s">
        <v>192</v>
      </c>
      <c r="D562" t="s">
        <v>193</v>
      </c>
      <c r="E562" t="s">
        <v>19</v>
      </c>
      <c r="F562" s="5">
        <v>43480</v>
      </c>
      <c r="G562" s="5">
        <v>43522</v>
      </c>
      <c r="H562" s="6">
        <v>0.62847222222222221</v>
      </c>
      <c r="I562" t="s">
        <v>39</v>
      </c>
      <c r="J562" t="s">
        <v>403</v>
      </c>
      <c r="K562" t="s">
        <v>45</v>
      </c>
      <c r="M562" t="s">
        <v>80</v>
      </c>
      <c r="N562" t="str">
        <v>Destino</v>
      </c>
      <c r="O562" t="str">
        <v>LA PALMA /STA.CRUZ DE LA PALMA</v>
      </c>
      <c r="P562" t="str">
        <v>SPC</v>
      </c>
      <c r="Q562" t="str">
        <v>20:00:00</v>
      </c>
      <c r="R562" t="str">
        <v>AT7</v>
      </c>
      <c r="S562" t="str">
        <v xml:space="preserve">  IBB627</v>
      </c>
      <c r="T562" t="str">
        <v>ESPAÑA</v>
      </c>
      <c r="U562" t="str">
        <v/>
      </c>
      <c r="V562" t="str">
        <v>TFN</v>
      </c>
      <c r="W562" t="str">
        <v>09/02/2019</v>
      </c>
      <c r="X562">
        <v>72</v>
      </c>
      <c r="Y562" t="str">
        <v>Aerospatiale/Alenia ATR72</v>
      </c>
    </row>
    <row r="563" spans="1:25" x14ac:dyDescent="0.25">
      <c r="A563" t="s">
        <v>1436</v>
      </c>
      <c r="B563" t="s">
        <v>0</v>
      </c>
      <c r="C563" t="s">
        <v>192</v>
      </c>
      <c r="D563" t="s">
        <v>193</v>
      </c>
      <c r="E563" t="s">
        <v>22</v>
      </c>
      <c r="F563" s="5">
        <v>43435</v>
      </c>
      <c r="G563" s="5">
        <v>43554</v>
      </c>
      <c r="H563" s="6">
        <v>0.71875</v>
      </c>
      <c r="I563" t="s">
        <v>39</v>
      </c>
      <c r="J563" t="s">
        <v>403</v>
      </c>
      <c r="K563" t="s">
        <v>45</v>
      </c>
      <c r="M563" t="s">
        <v>80</v>
      </c>
      <c r="N563" t="str">
        <v>Destino</v>
      </c>
      <c r="O563" t="str">
        <v>LA PALMA /STA.CRUZ DE LA PALMA</v>
      </c>
      <c r="P563" t="str">
        <v>SPC</v>
      </c>
      <c r="Q563" t="str">
        <v>20:00:00</v>
      </c>
      <c r="R563" t="str">
        <v>AT7</v>
      </c>
      <c r="S563" t="str">
        <v xml:space="preserve">  IBB627</v>
      </c>
      <c r="T563" t="str">
        <v>ESPAÑA</v>
      </c>
      <c r="U563" t="str">
        <v/>
      </c>
      <c r="V563" t="str">
        <v>TFN</v>
      </c>
      <c r="W563" t="str">
        <v>04/02/2019</v>
      </c>
      <c r="X563">
        <v>72</v>
      </c>
      <c r="Y563" t="str">
        <v>Aerospatiale/Alenia ATR72</v>
      </c>
    </row>
    <row r="564" spans="1:25" x14ac:dyDescent="0.25">
      <c r="A564" t="s">
        <v>1436</v>
      </c>
      <c r="B564" t="s">
        <v>0</v>
      </c>
      <c r="C564" t="s">
        <v>195</v>
      </c>
      <c r="D564" t="s">
        <v>196</v>
      </c>
      <c r="E564" t="s">
        <v>20</v>
      </c>
      <c r="F564" s="5">
        <v>43474</v>
      </c>
      <c r="G564" s="5">
        <v>43551</v>
      </c>
      <c r="H564" s="6">
        <v>0.72222222222222221</v>
      </c>
      <c r="I564">
        <v>320</v>
      </c>
      <c r="J564" t="s">
        <v>407</v>
      </c>
      <c r="K564" t="s">
        <v>38</v>
      </c>
      <c r="M564" t="s">
        <v>80</v>
      </c>
      <c r="N564" t="str">
        <v>Destino</v>
      </c>
      <c r="O564" t="str">
        <v>LA PALMA /STA.CRUZ DE LA PALMA</v>
      </c>
      <c r="P564" t="str">
        <v>SPC</v>
      </c>
      <c r="Q564" t="str">
        <v>20:00:00</v>
      </c>
      <c r="R564" t="str">
        <v>AT7</v>
      </c>
      <c r="S564" t="str">
        <v xml:space="preserve">  IBB627</v>
      </c>
      <c r="T564" t="str">
        <v>ESPAÑA</v>
      </c>
      <c r="U564" t="str">
        <v/>
      </c>
      <c r="V564" t="str">
        <v>TFN</v>
      </c>
      <c r="W564" t="str">
        <v>07/02/2019</v>
      </c>
      <c r="X564">
        <v>72</v>
      </c>
      <c r="Y564" t="str">
        <v>Aerospatiale/Alenia ATR72</v>
      </c>
    </row>
    <row r="565" spans="1:25" x14ac:dyDescent="0.25">
      <c r="A565" t="s">
        <v>1436</v>
      </c>
      <c r="B565" t="s">
        <v>0</v>
      </c>
      <c r="C565" t="s">
        <v>195</v>
      </c>
      <c r="D565" t="s">
        <v>196</v>
      </c>
      <c r="E565" t="s">
        <v>22</v>
      </c>
      <c r="F565" s="5">
        <v>43477</v>
      </c>
      <c r="G565" s="5">
        <v>43554</v>
      </c>
      <c r="H565" s="6">
        <v>0.76736111111111116</v>
      </c>
      <c r="I565">
        <v>320</v>
      </c>
      <c r="J565" t="s">
        <v>407</v>
      </c>
      <c r="K565" t="s">
        <v>38</v>
      </c>
      <c r="M565" t="s">
        <v>80</v>
      </c>
      <c r="N565" t="str">
        <v>Destino</v>
      </c>
      <c r="O565" t="str">
        <v>LA PALMA /STA.CRUZ DE LA PALMA</v>
      </c>
      <c r="P565" t="str">
        <v>SPC</v>
      </c>
      <c r="Q565" t="str">
        <v>20:10:00</v>
      </c>
      <c r="R565" t="str">
        <v>AT7</v>
      </c>
      <c r="S565" t="str">
        <v xml:space="preserve">  IBB627</v>
      </c>
      <c r="T565" t="str">
        <v>ESPAÑA</v>
      </c>
      <c r="U565" t="str">
        <v/>
      </c>
      <c r="V565" t="str">
        <v>TFN</v>
      </c>
      <c r="W565" t="str">
        <v>10/02/2019</v>
      </c>
      <c r="X565">
        <v>72</v>
      </c>
      <c r="Y565" t="str">
        <v>Aerospatiale/Alenia ATR72</v>
      </c>
    </row>
    <row r="566" spans="1:25" x14ac:dyDescent="0.25">
      <c r="A566" t="s">
        <v>1436</v>
      </c>
      <c r="B566" t="s">
        <v>0</v>
      </c>
      <c r="C566" t="s">
        <v>195</v>
      </c>
      <c r="D566" t="s">
        <v>196</v>
      </c>
      <c r="E566" t="s">
        <v>22</v>
      </c>
      <c r="F566" s="5">
        <v>43407</v>
      </c>
      <c r="G566" s="5">
        <v>43554</v>
      </c>
      <c r="H566" s="6">
        <v>0.8125</v>
      </c>
      <c r="I566" t="s">
        <v>14</v>
      </c>
      <c r="J566" t="s">
        <v>406</v>
      </c>
      <c r="K566" t="s">
        <v>38</v>
      </c>
      <c r="M566" t="s">
        <v>80</v>
      </c>
      <c r="N566" t="str">
        <v>Destino</v>
      </c>
      <c r="O566" t="str">
        <v>LA PALMA /STA.CRUZ DE LA PALMA</v>
      </c>
      <c r="P566" t="str">
        <v>SPC</v>
      </c>
      <c r="Q566" t="str">
        <v>20:10:00</v>
      </c>
      <c r="R566" t="str">
        <v>AT7</v>
      </c>
      <c r="S566" t="str">
        <v xml:space="preserve">  IBB641</v>
      </c>
      <c r="T566" t="str">
        <v>ESPAÑA</v>
      </c>
      <c r="U566" t="str">
        <v/>
      </c>
      <c r="V566" t="str">
        <v>TFN</v>
      </c>
      <c r="W566" t="str">
        <v>08/02/2019</v>
      </c>
      <c r="X566">
        <v>72</v>
      </c>
      <c r="Y566" t="str">
        <v>Aerospatiale/Alenia ATR72</v>
      </c>
    </row>
    <row r="567" spans="1:25" x14ac:dyDescent="0.25">
      <c r="A567" t="s">
        <v>1436</v>
      </c>
      <c r="B567" t="s">
        <v>0</v>
      </c>
      <c r="C567" t="s">
        <v>198</v>
      </c>
      <c r="D567" t="s">
        <v>199</v>
      </c>
      <c r="E567" t="s">
        <v>22</v>
      </c>
      <c r="F567" s="5">
        <v>43407</v>
      </c>
      <c r="G567" s="5">
        <v>43554</v>
      </c>
      <c r="H567" s="6">
        <v>0.50694444444444442</v>
      </c>
      <c r="I567" t="s">
        <v>14</v>
      </c>
      <c r="J567" t="s">
        <v>408</v>
      </c>
      <c r="K567" t="s">
        <v>38</v>
      </c>
      <c r="M567" t="s">
        <v>80</v>
      </c>
      <c r="N567" t="str">
        <v>Destino</v>
      </c>
      <c r="O567" t="str">
        <v>LA PALMA /STA.CRUZ DE LA PALMA</v>
      </c>
      <c r="P567" t="str">
        <v>SPC</v>
      </c>
      <c r="Q567" t="str">
        <v>20:10:00</v>
      </c>
      <c r="R567" t="str">
        <v>AT7</v>
      </c>
      <c r="S567" t="str">
        <v xml:space="preserve">  IBB627</v>
      </c>
      <c r="T567" t="str">
        <v>ESPAÑA</v>
      </c>
      <c r="U567" t="str">
        <v/>
      </c>
      <c r="V567" t="str">
        <v>TFN</v>
      </c>
      <c r="W567" t="str">
        <v>06/02/2019</v>
      </c>
      <c r="X567">
        <v>72</v>
      </c>
      <c r="Y567" t="str">
        <v>Aerospatiale/Alenia ATR72</v>
      </c>
    </row>
    <row r="568" spans="1:25" x14ac:dyDescent="0.25">
      <c r="A568" t="s">
        <v>1436</v>
      </c>
      <c r="B568" t="s">
        <v>0</v>
      </c>
      <c r="C568" t="s">
        <v>198</v>
      </c>
      <c r="D568" t="s">
        <v>199</v>
      </c>
      <c r="E568" t="s">
        <v>19</v>
      </c>
      <c r="F568" s="5">
        <v>43466</v>
      </c>
      <c r="G568" s="5">
        <v>43550</v>
      </c>
      <c r="H568" s="6">
        <v>0.76041666666666663</v>
      </c>
      <c r="I568" t="s">
        <v>14</v>
      </c>
      <c r="J568" t="s">
        <v>408</v>
      </c>
      <c r="K568" t="s">
        <v>38</v>
      </c>
      <c r="M568" t="s">
        <v>80</v>
      </c>
      <c r="N568" t="str">
        <v>Destino</v>
      </c>
      <c r="O568" t="str">
        <v>LANZAROTE</v>
      </c>
      <c r="P568" t="str">
        <v>ACE</v>
      </c>
      <c r="Q568" t="str">
        <v>07:00:00</v>
      </c>
      <c r="R568" t="str">
        <v>AT7</v>
      </c>
      <c r="S568" t="str">
        <v xml:space="preserve">  IBB452</v>
      </c>
      <c r="T568" t="str">
        <v>ESPAÑA</v>
      </c>
      <c r="U568" t="str">
        <v/>
      </c>
      <c r="V568" t="str">
        <v>TFN</v>
      </c>
      <c r="W568" t="str">
        <v>06/02/2019</v>
      </c>
      <c r="X568">
        <v>72</v>
      </c>
      <c r="Y568" t="str">
        <v>Aerospatiale/Alenia ATR72</v>
      </c>
    </row>
    <row r="569" spans="1:25" x14ac:dyDescent="0.25">
      <c r="A569" t="s">
        <v>1436</v>
      </c>
      <c r="B569" t="s">
        <v>0</v>
      </c>
      <c r="C569" t="s">
        <v>202</v>
      </c>
      <c r="D569" t="s">
        <v>203</v>
      </c>
      <c r="E569" t="s">
        <v>858</v>
      </c>
      <c r="F569" s="5">
        <v>43402</v>
      </c>
      <c r="G569" s="5">
        <v>43554</v>
      </c>
      <c r="H569" s="6">
        <v>0.46180555555555558</v>
      </c>
      <c r="I569" t="s">
        <v>14</v>
      </c>
      <c r="J569" t="s">
        <v>410</v>
      </c>
      <c r="K569" t="s">
        <v>38</v>
      </c>
      <c r="M569" t="s">
        <v>80</v>
      </c>
      <c r="N569" t="str">
        <v>Destino</v>
      </c>
      <c r="O569" t="str">
        <v>LANZAROTE</v>
      </c>
      <c r="P569" t="str">
        <v>ACE</v>
      </c>
      <c r="Q569" t="str">
        <v>07:00:00</v>
      </c>
      <c r="R569" t="str">
        <v>AT7</v>
      </c>
      <c r="S569" t="str">
        <v xml:space="preserve">  IBB452</v>
      </c>
      <c r="T569" t="str">
        <v>ESPAÑA</v>
      </c>
      <c r="U569" t="str">
        <v/>
      </c>
      <c r="V569" t="str">
        <v>TFN</v>
      </c>
      <c r="W569" t="str">
        <v>07/02/2019</v>
      </c>
      <c r="X569">
        <v>72</v>
      </c>
      <c r="Y569" t="str">
        <v>Aerospatiale/Alenia ATR72</v>
      </c>
    </row>
    <row r="570" spans="1:25" x14ac:dyDescent="0.25">
      <c r="A570" t="s">
        <v>1436</v>
      </c>
      <c r="B570" t="s">
        <v>0</v>
      </c>
      <c r="C570" t="s">
        <v>202</v>
      </c>
      <c r="D570" t="s">
        <v>203</v>
      </c>
      <c r="E570" t="s">
        <v>20</v>
      </c>
      <c r="F570" s="5">
        <v>43467</v>
      </c>
      <c r="G570" s="5">
        <v>43551</v>
      </c>
      <c r="H570" s="6">
        <v>0.46180555555555558</v>
      </c>
      <c r="I570" t="s">
        <v>14</v>
      </c>
      <c r="J570" t="s">
        <v>410</v>
      </c>
      <c r="K570" t="s">
        <v>38</v>
      </c>
      <c r="M570" t="s">
        <v>80</v>
      </c>
      <c r="N570" t="str">
        <v>Destino</v>
      </c>
      <c r="O570" t="str">
        <v>LANZAROTE</v>
      </c>
      <c r="P570" t="str">
        <v>ACE</v>
      </c>
      <c r="Q570" t="str">
        <v>07:00:00</v>
      </c>
      <c r="R570" t="str">
        <v>AT7</v>
      </c>
      <c r="S570" t="str">
        <v xml:space="preserve">  IBB452</v>
      </c>
      <c r="T570" t="str">
        <v>ESPAÑA</v>
      </c>
      <c r="U570" t="str">
        <v/>
      </c>
      <c r="V570" t="str">
        <v>TFN</v>
      </c>
      <c r="W570" t="str">
        <v>08/02/2019</v>
      </c>
      <c r="X570">
        <v>72</v>
      </c>
      <c r="Y570" t="str">
        <v>Aerospatiale/Alenia ATR72</v>
      </c>
    </row>
    <row r="571" spans="1:25" x14ac:dyDescent="0.25">
      <c r="A571" t="s">
        <v>1436</v>
      </c>
      <c r="B571" t="s">
        <v>0</v>
      </c>
      <c r="C571" t="s">
        <v>202</v>
      </c>
      <c r="D571" t="s">
        <v>203</v>
      </c>
      <c r="E571" t="s">
        <v>22</v>
      </c>
      <c r="F571" s="5">
        <v>43512</v>
      </c>
      <c r="G571" s="5">
        <v>43554</v>
      </c>
      <c r="H571" s="6">
        <v>0.46527777777777773</v>
      </c>
      <c r="I571" t="s">
        <v>14</v>
      </c>
      <c r="J571" t="s">
        <v>411</v>
      </c>
      <c r="K571" t="s">
        <v>38</v>
      </c>
      <c r="M571" t="s">
        <v>80</v>
      </c>
      <c r="N571" t="str">
        <v>Destino</v>
      </c>
      <c r="O571" t="str">
        <v>LANZAROTE</v>
      </c>
      <c r="P571" t="str">
        <v>ACE</v>
      </c>
      <c r="Q571" t="str">
        <v>07:00:00</v>
      </c>
      <c r="R571" t="str">
        <v>AT7</v>
      </c>
      <c r="S571" t="str">
        <v xml:space="preserve">  IBB452</v>
      </c>
      <c r="T571" t="str">
        <v>ESPAÑA</v>
      </c>
      <c r="U571" t="str">
        <v/>
      </c>
      <c r="V571" t="str">
        <v>TFN</v>
      </c>
      <c r="W571" t="str">
        <v>10/02/2019</v>
      </c>
      <c r="X571">
        <v>72</v>
      </c>
      <c r="Y571" t="str">
        <v>Aerospatiale/Alenia ATR72</v>
      </c>
    </row>
    <row r="572" spans="1:25" x14ac:dyDescent="0.25">
      <c r="A572" t="s">
        <v>1436</v>
      </c>
      <c r="B572" t="s">
        <v>0</v>
      </c>
      <c r="C572" t="s">
        <v>202</v>
      </c>
      <c r="D572" t="s">
        <v>203</v>
      </c>
      <c r="E572" t="s">
        <v>84</v>
      </c>
      <c r="F572" s="5">
        <v>43401</v>
      </c>
      <c r="G572" s="5">
        <v>43551</v>
      </c>
      <c r="H572" s="6">
        <v>0.66666666666666663</v>
      </c>
      <c r="I572" t="s">
        <v>14</v>
      </c>
      <c r="J572" t="s">
        <v>411</v>
      </c>
      <c r="K572" t="s">
        <v>38</v>
      </c>
      <c r="M572" t="s">
        <v>80</v>
      </c>
      <c r="N572" t="str">
        <v>Destino</v>
      </c>
      <c r="O572" t="str">
        <v>LANZAROTE</v>
      </c>
      <c r="P572" t="str">
        <v>ACE</v>
      </c>
      <c r="Q572" t="str">
        <v>07:00:00</v>
      </c>
      <c r="R572" t="str">
        <v>AT7</v>
      </c>
      <c r="S572" t="str">
        <v xml:space="preserve">  IBB452</v>
      </c>
      <c r="T572" t="str">
        <v>ESPAÑA</v>
      </c>
      <c r="U572" t="str">
        <v/>
      </c>
      <c r="V572" t="str">
        <v>TFN</v>
      </c>
      <c r="W572" t="str">
        <v>09/02/2019</v>
      </c>
      <c r="X572">
        <v>72</v>
      </c>
      <c r="Y572" t="str">
        <v>Aerospatiale/Alenia ATR72</v>
      </c>
    </row>
    <row r="573" spans="1:25" x14ac:dyDescent="0.25">
      <c r="A573" t="s">
        <v>1436</v>
      </c>
      <c r="B573" t="s">
        <v>0</v>
      </c>
      <c r="C573" t="s">
        <v>208</v>
      </c>
      <c r="D573" t="s">
        <v>209</v>
      </c>
      <c r="E573" t="s">
        <v>18</v>
      </c>
      <c r="F573" s="5">
        <v>43401</v>
      </c>
      <c r="G573" s="5">
        <v>43548</v>
      </c>
      <c r="H573" s="6">
        <v>0.51041666666666663</v>
      </c>
      <c r="I573">
        <v>320</v>
      </c>
      <c r="J573" t="s">
        <v>412</v>
      </c>
      <c r="K573" t="s">
        <v>38</v>
      </c>
      <c r="M573" t="s">
        <v>80</v>
      </c>
      <c r="N573" t="str">
        <v>Destino</v>
      </c>
      <c r="O573" t="str">
        <v>LANZAROTE</v>
      </c>
      <c r="P573" t="str">
        <v>ACE</v>
      </c>
      <c r="Q573" t="str">
        <v>07:00:00</v>
      </c>
      <c r="R573" t="str">
        <v>AT7</v>
      </c>
      <c r="S573" t="str">
        <v xml:space="preserve">  IBB452</v>
      </c>
      <c r="T573" t="str">
        <v>ESPAÑA</v>
      </c>
      <c r="U573" t="str">
        <v/>
      </c>
      <c r="V573" t="str">
        <v>TFN</v>
      </c>
      <c r="W573" t="str">
        <v>05/02/2019</v>
      </c>
      <c r="X573">
        <v>72</v>
      </c>
      <c r="Y573" t="str">
        <v>Aerospatiale/Alenia ATR72</v>
      </c>
    </row>
    <row r="574" spans="1:25" x14ac:dyDescent="0.25">
      <c r="A574" t="s">
        <v>1436</v>
      </c>
      <c r="B574" t="s">
        <v>0</v>
      </c>
      <c r="C574" t="s">
        <v>208</v>
      </c>
      <c r="D574" t="s">
        <v>209</v>
      </c>
      <c r="E574" t="s">
        <v>190</v>
      </c>
      <c r="F574" s="5">
        <v>43421</v>
      </c>
      <c r="G574" s="5">
        <v>43554</v>
      </c>
      <c r="H574" s="6">
        <v>0.51041666666666663</v>
      </c>
      <c r="I574">
        <v>320</v>
      </c>
      <c r="J574" t="s">
        <v>412</v>
      </c>
      <c r="K574" t="s">
        <v>38</v>
      </c>
      <c r="M574" t="s">
        <v>80</v>
      </c>
      <c r="N574" t="str">
        <v>Destino</v>
      </c>
      <c r="O574" t="str">
        <v>LANZAROTE</v>
      </c>
      <c r="P574" t="str">
        <v>ACE</v>
      </c>
      <c r="Q574" t="str">
        <v>07:00:00</v>
      </c>
      <c r="R574" t="str">
        <v>AT7</v>
      </c>
      <c r="S574" t="str">
        <v xml:space="preserve">  IBB452</v>
      </c>
      <c r="T574" t="str">
        <v>ESPAÑA</v>
      </c>
      <c r="U574" t="str">
        <v/>
      </c>
      <c r="V574" t="str">
        <v>TFN</v>
      </c>
      <c r="W574" t="str">
        <v>04/02/2019</v>
      </c>
      <c r="X574">
        <v>72</v>
      </c>
      <c r="Y574" t="str">
        <v>Aerospatiale/Alenia ATR72</v>
      </c>
    </row>
    <row r="575" spans="1:25" x14ac:dyDescent="0.25">
      <c r="A575" t="s">
        <v>1436</v>
      </c>
      <c r="B575" t="s">
        <v>0</v>
      </c>
      <c r="C575" t="s">
        <v>208</v>
      </c>
      <c r="D575" t="s">
        <v>209</v>
      </c>
      <c r="E575" t="s">
        <v>59</v>
      </c>
      <c r="F575" s="5">
        <v>43514</v>
      </c>
      <c r="G575" s="5">
        <v>43549</v>
      </c>
      <c r="H575" s="6">
        <v>0.60763888888888895</v>
      </c>
      <c r="I575" t="s">
        <v>39</v>
      </c>
      <c r="J575" t="s">
        <v>413</v>
      </c>
      <c r="K575" t="s">
        <v>38</v>
      </c>
      <c r="M575" t="s">
        <v>80</v>
      </c>
      <c r="N575" t="str">
        <v>Destino</v>
      </c>
      <c r="O575" t="str">
        <v>LANZAROTE</v>
      </c>
      <c r="P575" t="str">
        <v>ACE</v>
      </c>
      <c r="Q575" t="str">
        <v>10:00:00</v>
      </c>
      <c r="R575" t="str">
        <v>AT7</v>
      </c>
      <c r="S575" t="str">
        <v xml:space="preserve">  IBB468</v>
      </c>
      <c r="T575" t="str">
        <v>ESPAÑA</v>
      </c>
      <c r="U575" t="str">
        <v/>
      </c>
      <c r="V575" t="str">
        <v>TFN</v>
      </c>
      <c r="W575" t="str">
        <v>06/02/2019</v>
      </c>
      <c r="X575">
        <v>72</v>
      </c>
      <c r="Y575" t="str">
        <v>Aerospatiale/Alenia ATR72</v>
      </c>
    </row>
    <row r="576" spans="1:25" x14ac:dyDescent="0.25">
      <c r="A576" t="s">
        <v>1436</v>
      </c>
      <c r="B576" t="s">
        <v>0</v>
      </c>
      <c r="C576" t="s">
        <v>208</v>
      </c>
      <c r="D576" t="s">
        <v>209</v>
      </c>
      <c r="E576" t="s">
        <v>22</v>
      </c>
      <c r="F576" s="5">
        <v>43505</v>
      </c>
      <c r="G576" s="5">
        <v>43554</v>
      </c>
      <c r="H576" s="6">
        <v>0.74652777777777779</v>
      </c>
      <c r="I576">
        <v>320</v>
      </c>
      <c r="J576" t="s">
        <v>415</v>
      </c>
      <c r="K576" t="s">
        <v>38</v>
      </c>
      <c r="M576" t="s">
        <v>80</v>
      </c>
      <c r="N576" t="str">
        <v>Destino</v>
      </c>
      <c r="O576" t="str">
        <v>LANZAROTE</v>
      </c>
      <c r="P576" t="str">
        <v>ACE</v>
      </c>
      <c r="Q576" t="str">
        <v>10:00:00</v>
      </c>
      <c r="R576" t="str">
        <v>AT7</v>
      </c>
      <c r="S576" t="str">
        <v xml:space="preserve">  IBB468</v>
      </c>
      <c r="T576" t="str">
        <v>ESPAÑA</v>
      </c>
      <c r="U576" t="str">
        <v/>
      </c>
      <c r="V576" t="str">
        <v>TFN</v>
      </c>
      <c r="W576" t="str">
        <v>05/02/2019</v>
      </c>
      <c r="X576">
        <v>72</v>
      </c>
      <c r="Y576" t="str">
        <v>Aerospatiale/Alenia ATR72</v>
      </c>
    </row>
    <row r="577" spans="1:25" x14ac:dyDescent="0.25">
      <c r="A577" t="s">
        <v>1436</v>
      </c>
      <c r="B577" t="s">
        <v>0</v>
      </c>
      <c r="C577" t="s">
        <v>208</v>
      </c>
      <c r="D577" t="s">
        <v>209</v>
      </c>
      <c r="E577" t="s">
        <v>20</v>
      </c>
      <c r="F577" s="5">
        <v>43439</v>
      </c>
      <c r="G577" s="5">
        <v>43551</v>
      </c>
      <c r="H577" s="6">
        <v>0.77777777777777779</v>
      </c>
      <c r="I577">
        <v>320</v>
      </c>
      <c r="J577" t="s">
        <v>415</v>
      </c>
      <c r="K577" t="s">
        <v>38</v>
      </c>
      <c r="M577" t="s">
        <v>80</v>
      </c>
      <c r="N577" t="str">
        <v>Destino</v>
      </c>
      <c r="O577" t="str">
        <v>LANZAROTE</v>
      </c>
      <c r="P577" t="str">
        <v>ACE</v>
      </c>
      <c r="Q577" t="str">
        <v>10:00:00</v>
      </c>
      <c r="R577" t="str">
        <v>AT7</v>
      </c>
      <c r="S577" t="str">
        <v xml:space="preserve">  IBB468</v>
      </c>
      <c r="T577" t="str">
        <v>ESPAÑA</v>
      </c>
      <c r="U577" t="str">
        <v/>
      </c>
      <c r="V577" t="str">
        <v>TFN</v>
      </c>
      <c r="W577" t="str">
        <v>04/02/2019</v>
      </c>
      <c r="X577">
        <v>72</v>
      </c>
      <c r="Y577" t="str">
        <v>Aerospatiale/Alenia ATR72</v>
      </c>
    </row>
    <row r="578" spans="1:25" x14ac:dyDescent="0.25">
      <c r="A578" t="s">
        <v>1436</v>
      </c>
      <c r="B578" t="s">
        <v>0</v>
      </c>
      <c r="C578" t="s">
        <v>208</v>
      </c>
      <c r="D578" t="s">
        <v>209</v>
      </c>
      <c r="E578" t="s">
        <v>59</v>
      </c>
      <c r="F578" s="5">
        <v>43465</v>
      </c>
      <c r="G578" s="5">
        <v>43549</v>
      </c>
      <c r="H578" s="6">
        <v>0.77777777777777779</v>
      </c>
      <c r="I578">
        <v>320</v>
      </c>
      <c r="J578" t="s">
        <v>415</v>
      </c>
      <c r="K578" t="s">
        <v>38</v>
      </c>
      <c r="M578" t="s">
        <v>80</v>
      </c>
      <c r="N578" t="str">
        <v>Destino</v>
      </c>
      <c r="O578" t="str">
        <v>LANZAROTE</v>
      </c>
      <c r="P578" t="str">
        <v>ACE</v>
      </c>
      <c r="Q578" t="str">
        <v>10:00:00</v>
      </c>
      <c r="R578" t="str">
        <v>AT7</v>
      </c>
      <c r="S578" t="str">
        <v xml:space="preserve">  IBB468</v>
      </c>
      <c r="T578" t="str">
        <v>ESPAÑA</v>
      </c>
      <c r="U578" t="str">
        <v/>
      </c>
      <c r="V578" t="str">
        <v>TFN</v>
      </c>
      <c r="W578" t="str">
        <v>07/02/2019</v>
      </c>
      <c r="X578">
        <v>72</v>
      </c>
      <c r="Y578" t="str">
        <v>Aerospatiale/Alenia ATR72</v>
      </c>
    </row>
    <row r="579" spans="1:25" x14ac:dyDescent="0.25">
      <c r="A579" t="s">
        <v>1436</v>
      </c>
      <c r="B579" t="s">
        <v>0</v>
      </c>
      <c r="C579" t="s">
        <v>208</v>
      </c>
      <c r="D579" t="s">
        <v>209</v>
      </c>
      <c r="E579" t="s">
        <v>109</v>
      </c>
      <c r="F579" s="5">
        <v>43503</v>
      </c>
      <c r="G579" s="5">
        <v>43552</v>
      </c>
      <c r="H579" s="6">
        <v>0.77777777777777779</v>
      </c>
      <c r="I579">
        <v>320</v>
      </c>
      <c r="J579" t="s">
        <v>415</v>
      </c>
      <c r="K579" t="s">
        <v>38</v>
      </c>
      <c r="M579" t="s">
        <v>80</v>
      </c>
      <c r="N579" t="str">
        <v>Destino</v>
      </c>
      <c r="O579" t="str">
        <v>LANZAROTE</v>
      </c>
      <c r="P579" t="str">
        <v>ACE</v>
      </c>
      <c r="Q579" t="str">
        <v>10:00:00</v>
      </c>
      <c r="R579" t="str">
        <v>AT7</v>
      </c>
      <c r="S579" t="str">
        <v xml:space="preserve">  IBB468</v>
      </c>
      <c r="T579" t="str">
        <v>ESPAÑA</v>
      </c>
      <c r="U579" t="str">
        <v/>
      </c>
      <c r="V579" t="str">
        <v>TFN</v>
      </c>
      <c r="W579" t="str">
        <v>09/02/2019</v>
      </c>
      <c r="X579">
        <v>72</v>
      </c>
      <c r="Y579" t="str">
        <v>Aerospatiale/Alenia ATR72</v>
      </c>
    </row>
    <row r="580" spans="1:25" x14ac:dyDescent="0.25">
      <c r="A580" t="s">
        <v>1436</v>
      </c>
      <c r="B580" t="s">
        <v>0</v>
      </c>
      <c r="C580" t="s">
        <v>208</v>
      </c>
      <c r="D580" t="s">
        <v>209</v>
      </c>
      <c r="E580" t="s">
        <v>22</v>
      </c>
      <c r="F580" s="5">
        <v>43512</v>
      </c>
      <c r="G580" s="5">
        <v>43519</v>
      </c>
      <c r="H580" s="6">
        <v>0.78472222222222221</v>
      </c>
      <c r="I580" t="s">
        <v>39</v>
      </c>
      <c r="J580" t="s">
        <v>414</v>
      </c>
      <c r="K580" t="s">
        <v>38</v>
      </c>
      <c r="M580" t="s">
        <v>80</v>
      </c>
      <c r="N580" t="str">
        <v>Destino</v>
      </c>
      <c r="O580" t="str">
        <v>LANZAROTE</v>
      </c>
      <c r="P580" t="str">
        <v>ACE</v>
      </c>
      <c r="Q580" t="str">
        <v>10:10:00</v>
      </c>
      <c r="R580" t="str">
        <v>AT7</v>
      </c>
      <c r="S580" t="str">
        <v xml:space="preserve">  IBB468</v>
      </c>
      <c r="T580" t="str">
        <v>ESPAÑA</v>
      </c>
      <c r="U580" t="str">
        <v/>
      </c>
      <c r="V580" t="str">
        <v>TFN</v>
      </c>
      <c r="W580" t="str">
        <v>08/02/2019</v>
      </c>
      <c r="X580">
        <v>72</v>
      </c>
      <c r="Y580" t="str">
        <v>Aerospatiale/Alenia ATR72</v>
      </c>
    </row>
    <row r="581" spans="1:25" x14ac:dyDescent="0.25">
      <c r="A581" t="s">
        <v>1436</v>
      </c>
      <c r="B581" t="s">
        <v>0</v>
      </c>
      <c r="C581" t="s">
        <v>216</v>
      </c>
      <c r="D581" t="s">
        <v>217</v>
      </c>
      <c r="E581" t="s">
        <v>18</v>
      </c>
      <c r="F581" s="5">
        <v>43506</v>
      </c>
      <c r="G581" s="5">
        <v>43534</v>
      </c>
      <c r="H581" s="6">
        <v>0.46180555555555558</v>
      </c>
      <c r="I581" t="s">
        <v>14</v>
      </c>
      <c r="J581" t="s">
        <v>1242</v>
      </c>
      <c r="K581" t="s">
        <v>216</v>
      </c>
      <c r="M581" t="s">
        <v>80</v>
      </c>
      <c r="N581" t="str">
        <v>Destino</v>
      </c>
      <c r="O581" t="str">
        <v>LANZAROTE</v>
      </c>
      <c r="P581" t="str">
        <v>ACE</v>
      </c>
      <c r="Q581" t="str">
        <v>12:35:00</v>
      </c>
      <c r="R581" t="str">
        <v>AT7</v>
      </c>
      <c r="S581" t="str">
        <v xml:space="preserve">  IBB468</v>
      </c>
      <c r="T581" t="str">
        <v>ESPAÑA</v>
      </c>
      <c r="U581" t="str">
        <v/>
      </c>
      <c r="V581" t="str">
        <v>TFN</v>
      </c>
      <c r="W581" t="str">
        <v>10/02/2019</v>
      </c>
      <c r="X581">
        <v>72</v>
      </c>
      <c r="Y581" t="str">
        <v>Aerospatiale/Alenia ATR72</v>
      </c>
    </row>
    <row r="582" spans="1:25" x14ac:dyDescent="0.25">
      <c r="A582" t="s">
        <v>1436</v>
      </c>
      <c r="B582" t="s">
        <v>0</v>
      </c>
      <c r="C582" t="s">
        <v>219</v>
      </c>
      <c r="D582" t="s">
        <v>220</v>
      </c>
      <c r="E582" t="s">
        <v>59</v>
      </c>
      <c r="F582" s="5">
        <v>43402</v>
      </c>
      <c r="G582" s="5">
        <v>43549</v>
      </c>
      <c r="H582" s="6">
        <v>0.47916666666666669</v>
      </c>
      <c r="I582">
        <v>320</v>
      </c>
      <c r="J582" t="s">
        <v>416</v>
      </c>
      <c r="K582" t="s">
        <v>221</v>
      </c>
      <c r="M582" t="s">
        <v>80</v>
      </c>
      <c r="N582" t="str">
        <v>Destino</v>
      </c>
      <c r="O582" t="str">
        <v>LANZAROTE</v>
      </c>
      <c r="P582" t="str">
        <v>ACE</v>
      </c>
      <c r="Q582" t="str">
        <v>12:50:00</v>
      </c>
      <c r="R582" t="str">
        <v>AT7</v>
      </c>
      <c r="S582" t="str">
        <v xml:space="preserve">  IBB454</v>
      </c>
      <c r="T582" t="str">
        <v>ESPAÑA</v>
      </c>
      <c r="U582" t="str">
        <v/>
      </c>
      <c r="V582" t="str">
        <v>TFN</v>
      </c>
      <c r="W582" t="str">
        <v>08/02/2019</v>
      </c>
      <c r="X582">
        <v>72</v>
      </c>
      <c r="Y582" t="str">
        <v>Aerospatiale/Alenia ATR72</v>
      </c>
    </row>
    <row r="583" spans="1:25" x14ac:dyDescent="0.25">
      <c r="A583" t="s">
        <v>1436</v>
      </c>
      <c r="B583" t="s">
        <v>0</v>
      </c>
      <c r="C583" t="s">
        <v>219</v>
      </c>
      <c r="D583" t="s">
        <v>220</v>
      </c>
      <c r="E583" t="s">
        <v>48</v>
      </c>
      <c r="F583" s="5">
        <v>43406</v>
      </c>
      <c r="G583" s="5">
        <v>43553</v>
      </c>
      <c r="H583" s="6">
        <v>0.52777777777777779</v>
      </c>
      <c r="I583">
        <v>320</v>
      </c>
      <c r="J583" t="s">
        <v>416</v>
      </c>
      <c r="K583" t="s">
        <v>221</v>
      </c>
      <c r="M583" t="s">
        <v>80</v>
      </c>
      <c r="N583" t="str">
        <v>Destino</v>
      </c>
      <c r="O583" t="str">
        <v>LANZAROTE</v>
      </c>
      <c r="P583" t="str">
        <v>ACE</v>
      </c>
      <c r="Q583" t="str">
        <v>12:50:00</v>
      </c>
      <c r="R583" t="str">
        <v>AT7</v>
      </c>
      <c r="S583" t="str">
        <v xml:space="preserve">  IBB454</v>
      </c>
      <c r="T583" t="str">
        <v>ESPAÑA</v>
      </c>
      <c r="U583" t="str">
        <v/>
      </c>
      <c r="V583" t="str">
        <v>TFN</v>
      </c>
      <c r="W583" t="str">
        <v>09/02/2019</v>
      </c>
      <c r="X583">
        <v>72</v>
      </c>
      <c r="Y583" t="str">
        <v>Aerospatiale/Alenia ATR72</v>
      </c>
    </row>
    <row r="584" spans="1:25" x14ac:dyDescent="0.25">
      <c r="A584" t="s">
        <v>1436</v>
      </c>
      <c r="B584" t="s">
        <v>0</v>
      </c>
      <c r="C584" t="s">
        <v>219</v>
      </c>
      <c r="D584" t="s">
        <v>220</v>
      </c>
      <c r="E584" t="s">
        <v>18</v>
      </c>
      <c r="F584" s="5">
        <v>43457</v>
      </c>
      <c r="G584" s="5">
        <v>43513</v>
      </c>
      <c r="H584" s="6">
        <v>0.84722222222222221</v>
      </c>
      <c r="I584" t="s">
        <v>14</v>
      </c>
      <c r="J584" t="s">
        <v>1837</v>
      </c>
      <c r="K584" t="s">
        <v>221</v>
      </c>
      <c r="M584" t="s">
        <v>80</v>
      </c>
      <c r="N584" t="str">
        <v>Destino</v>
      </c>
      <c r="O584" t="str">
        <v>LANZAROTE</v>
      </c>
      <c r="P584" t="str">
        <v>ACE</v>
      </c>
      <c r="Q584" t="str">
        <v>12:50:00</v>
      </c>
      <c r="R584" t="str">
        <v>AT7</v>
      </c>
      <c r="S584" t="str">
        <v xml:space="preserve">  IBB454</v>
      </c>
      <c r="T584" t="str">
        <v>ESPAÑA</v>
      </c>
      <c r="U584" t="str">
        <v/>
      </c>
      <c r="V584" t="str">
        <v>TFN</v>
      </c>
      <c r="W584" t="str">
        <v>05/02/2019</v>
      </c>
      <c r="X584">
        <v>72</v>
      </c>
      <c r="Y584" t="str">
        <v>Aerospatiale/Alenia ATR72</v>
      </c>
    </row>
    <row r="585" spans="1:25" x14ac:dyDescent="0.25">
      <c r="A585" t="s">
        <v>1436</v>
      </c>
      <c r="B585" t="s">
        <v>0</v>
      </c>
      <c r="C585" t="s">
        <v>222</v>
      </c>
      <c r="D585" t="s">
        <v>223</v>
      </c>
      <c r="E585" t="s">
        <v>143</v>
      </c>
      <c r="F585" s="5">
        <v>43436</v>
      </c>
      <c r="G585" s="5">
        <v>43553</v>
      </c>
      <c r="H585" s="6">
        <v>0.29166666666666669</v>
      </c>
      <c r="I585">
        <v>320</v>
      </c>
      <c r="J585" t="s">
        <v>1507</v>
      </c>
      <c r="K585" t="s">
        <v>25</v>
      </c>
      <c r="M585" t="s">
        <v>80</v>
      </c>
      <c r="N585" t="str">
        <v>Destino</v>
      </c>
      <c r="O585" t="str">
        <v>LANZAROTE</v>
      </c>
      <c r="P585" t="str">
        <v>ACE</v>
      </c>
      <c r="Q585" t="str">
        <v>12:50:00</v>
      </c>
      <c r="R585" t="str">
        <v>AT7</v>
      </c>
      <c r="S585" t="str">
        <v xml:space="preserve">  IBB454</v>
      </c>
      <c r="T585" t="str">
        <v>ESPAÑA</v>
      </c>
      <c r="U585" t="str">
        <v/>
      </c>
      <c r="V585" t="str">
        <v>TFN</v>
      </c>
      <c r="W585" t="str">
        <v>06/02/2019</v>
      </c>
      <c r="X585">
        <v>72</v>
      </c>
      <c r="Y585" t="str">
        <v>Aerospatiale/Alenia ATR72</v>
      </c>
    </row>
    <row r="586" spans="1:25" x14ac:dyDescent="0.25">
      <c r="A586" t="s">
        <v>1436</v>
      </c>
      <c r="B586" t="s">
        <v>0</v>
      </c>
      <c r="C586" t="s">
        <v>222</v>
      </c>
      <c r="D586" t="s">
        <v>223</v>
      </c>
      <c r="E586" t="s">
        <v>393</v>
      </c>
      <c r="F586" s="5">
        <v>43401</v>
      </c>
      <c r="G586" s="5">
        <v>43554</v>
      </c>
      <c r="H586" s="6">
        <v>0.55555555555555558</v>
      </c>
      <c r="I586" t="s">
        <v>14</v>
      </c>
      <c r="J586" t="s">
        <v>417</v>
      </c>
      <c r="K586" t="s">
        <v>25</v>
      </c>
      <c r="M586" t="s">
        <v>80</v>
      </c>
      <c r="N586" t="str">
        <v>Destino</v>
      </c>
      <c r="O586" t="str">
        <v>LANZAROTE</v>
      </c>
      <c r="P586" t="str">
        <v>ACE</v>
      </c>
      <c r="Q586" t="str">
        <v>12:50:00</v>
      </c>
      <c r="R586" t="str">
        <v>AT7</v>
      </c>
      <c r="S586" t="str">
        <v xml:space="preserve">  IBB454</v>
      </c>
      <c r="T586" t="str">
        <v>ESPAÑA</v>
      </c>
      <c r="U586" t="str">
        <v/>
      </c>
      <c r="V586" t="str">
        <v>TFN</v>
      </c>
      <c r="W586" t="str">
        <v>04/02/2019</v>
      </c>
      <c r="X586">
        <v>72</v>
      </c>
      <c r="Y586" t="str">
        <v>Aerospatiale/Alenia ATR72</v>
      </c>
    </row>
    <row r="587" spans="1:25" x14ac:dyDescent="0.25">
      <c r="A587" t="s">
        <v>1436</v>
      </c>
      <c r="B587" t="s">
        <v>0</v>
      </c>
      <c r="C587" t="s">
        <v>222</v>
      </c>
      <c r="D587" t="s">
        <v>223</v>
      </c>
      <c r="E587" t="s">
        <v>19</v>
      </c>
      <c r="F587" s="5">
        <v>43466</v>
      </c>
      <c r="G587" s="5">
        <v>43550</v>
      </c>
      <c r="H587" s="6">
        <v>0.55555555555555558</v>
      </c>
      <c r="I587" t="s">
        <v>14</v>
      </c>
      <c r="J587" t="s">
        <v>417</v>
      </c>
      <c r="K587" t="s">
        <v>25</v>
      </c>
      <c r="M587" t="s">
        <v>80</v>
      </c>
      <c r="N587" t="str">
        <v>Destino</v>
      </c>
      <c r="O587" t="str">
        <v>LANZAROTE</v>
      </c>
      <c r="P587" t="str">
        <v>ACE</v>
      </c>
      <c r="Q587" t="str">
        <v>12:50:00</v>
      </c>
      <c r="R587" t="str">
        <v>AT7</v>
      </c>
      <c r="S587" t="str">
        <v xml:space="preserve">  IBB454</v>
      </c>
      <c r="T587" t="str">
        <v>ESPAÑA</v>
      </c>
      <c r="U587" t="str">
        <v/>
      </c>
      <c r="V587" t="str">
        <v>TFN</v>
      </c>
      <c r="W587" t="str">
        <v>07/02/2019</v>
      </c>
      <c r="X587">
        <v>72</v>
      </c>
      <c r="Y587" t="str">
        <v>Aerospatiale/Alenia ATR72</v>
      </c>
    </row>
    <row r="588" spans="1:25" x14ac:dyDescent="0.25">
      <c r="A588" t="s">
        <v>1436</v>
      </c>
      <c r="B588" t="s">
        <v>0</v>
      </c>
      <c r="C588" t="s">
        <v>222</v>
      </c>
      <c r="D588" t="s">
        <v>223</v>
      </c>
      <c r="E588" t="s">
        <v>144</v>
      </c>
      <c r="F588" s="5">
        <v>43401</v>
      </c>
      <c r="G588" s="5">
        <v>43554</v>
      </c>
      <c r="H588" s="6">
        <v>0.57291666666666663</v>
      </c>
      <c r="I588">
        <v>320</v>
      </c>
      <c r="J588" t="s">
        <v>418</v>
      </c>
      <c r="K588" t="s">
        <v>25</v>
      </c>
      <c r="M588" t="s">
        <v>80</v>
      </c>
      <c r="N588" t="str">
        <v>Destino</v>
      </c>
      <c r="O588" t="str">
        <v>LANZAROTE</v>
      </c>
      <c r="P588" t="str">
        <v>ACE</v>
      </c>
      <c r="Q588" t="str">
        <v>13:20:00</v>
      </c>
      <c r="R588" t="str">
        <v>AT7</v>
      </c>
      <c r="S588" t="str">
        <v xml:space="preserve">  IBB470</v>
      </c>
      <c r="T588" t="str">
        <v>ESPAÑA</v>
      </c>
      <c r="U588" t="str">
        <v/>
      </c>
      <c r="V588" t="str">
        <v>TFN</v>
      </c>
      <c r="W588" t="str">
        <v>07/02/2019</v>
      </c>
      <c r="X588">
        <v>72</v>
      </c>
      <c r="Y588" t="str">
        <v>Aerospatiale/Alenia ATR72</v>
      </c>
    </row>
    <row r="589" spans="1:25" x14ac:dyDescent="0.25">
      <c r="A589" t="s">
        <v>1436</v>
      </c>
      <c r="B589" t="s">
        <v>0</v>
      </c>
      <c r="C589" t="s">
        <v>230</v>
      </c>
      <c r="D589" t="s">
        <v>231</v>
      </c>
      <c r="E589" t="s">
        <v>111</v>
      </c>
      <c r="F589" s="5">
        <v>43401</v>
      </c>
      <c r="G589" s="5">
        <v>43552</v>
      </c>
      <c r="H589" s="6">
        <v>0.39930555555555558</v>
      </c>
      <c r="I589">
        <v>320</v>
      </c>
      <c r="J589" t="s">
        <v>420</v>
      </c>
      <c r="K589" t="s">
        <v>25</v>
      </c>
      <c r="M589" t="s">
        <v>80</v>
      </c>
      <c r="N589" t="str">
        <v>Destino</v>
      </c>
      <c r="O589" t="str">
        <v>LANZAROTE</v>
      </c>
      <c r="P589" t="str">
        <v>ACE</v>
      </c>
      <c r="Q589" t="str">
        <v>14:00:00</v>
      </c>
      <c r="R589" t="str">
        <v>AT7</v>
      </c>
      <c r="S589" t="str">
        <v xml:space="preserve">  IBB470</v>
      </c>
      <c r="T589" t="str">
        <v>ESPAÑA</v>
      </c>
      <c r="U589" t="str">
        <v/>
      </c>
      <c r="V589" t="str">
        <v>TFN</v>
      </c>
      <c r="W589" t="str">
        <v>06/02/2019</v>
      </c>
      <c r="X589">
        <v>72</v>
      </c>
      <c r="Y589" t="str">
        <v>Aerospatiale/Alenia ATR72</v>
      </c>
    </row>
    <row r="590" spans="1:25" x14ac:dyDescent="0.25">
      <c r="A590" t="s">
        <v>1436</v>
      </c>
      <c r="B590" t="s">
        <v>0</v>
      </c>
      <c r="C590" t="s">
        <v>233</v>
      </c>
      <c r="D590" t="s">
        <v>234</v>
      </c>
      <c r="E590" t="s">
        <v>672</v>
      </c>
      <c r="F590" s="5">
        <v>43402</v>
      </c>
      <c r="G590" s="5">
        <v>43554</v>
      </c>
      <c r="H590" s="6">
        <v>0.46875</v>
      </c>
      <c r="I590" t="s">
        <v>14</v>
      </c>
      <c r="J590" t="s">
        <v>424</v>
      </c>
      <c r="K590" t="s">
        <v>38</v>
      </c>
      <c r="M590" t="s">
        <v>80</v>
      </c>
      <c r="N590" t="str">
        <v>Destino</v>
      </c>
      <c r="O590" t="str">
        <v>LANZAROTE</v>
      </c>
      <c r="P590" t="str">
        <v>ACE</v>
      </c>
      <c r="Q590" t="str">
        <v>14:00:00</v>
      </c>
      <c r="R590" t="str">
        <v>AT7</v>
      </c>
      <c r="S590" t="str">
        <v xml:space="preserve">  IBB470</v>
      </c>
      <c r="T590" t="str">
        <v>ESPAÑA</v>
      </c>
      <c r="U590" t="str">
        <v/>
      </c>
      <c r="V590" t="str">
        <v>TFN</v>
      </c>
      <c r="W590" t="str">
        <v>05/02/2019</v>
      </c>
      <c r="X590">
        <v>72</v>
      </c>
      <c r="Y590" t="str">
        <v>Aerospatiale/Alenia ATR72</v>
      </c>
    </row>
    <row r="591" spans="1:25" x14ac:dyDescent="0.25">
      <c r="A591" t="s">
        <v>1436</v>
      </c>
      <c r="B591" t="s">
        <v>0</v>
      </c>
      <c r="C591" t="s">
        <v>233</v>
      </c>
      <c r="D591" t="s">
        <v>234</v>
      </c>
      <c r="E591" t="s">
        <v>48</v>
      </c>
      <c r="F591" s="5">
        <v>43406</v>
      </c>
      <c r="G591" s="5">
        <v>43553</v>
      </c>
      <c r="H591" s="6">
        <v>0.50694444444444442</v>
      </c>
      <c r="I591" t="s">
        <v>14</v>
      </c>
      <c r="J591" t="s">
        <v>424</v>
      </c>
      <c r="K591" t="s">
        <v>38</v>
      </c>
      <c r="M591" t="s">
        <v>80</v>
      </c>
      <c r="N591" t="str">
        <v>Destino</v>
      </c>
      <c r="O591" t="str">
        <v>LANZAROTE</v>
      </c>
      <c r="P591" t="str">
        <v>ACE</v>
      </c>
      <c r="Q591" t="str">
        <v>14:00:00</v>
      </c>
      <c r="R591" t="str">
        <v>AT7</v>
      </c>
      <c r="S591" t="str">
        <v xml:space="preserve">  IBB470</v>
      </c>
      <c r="T591" t="str">
        <v>ESPAÑA</v>
      </c>
      <c r="U591" t="str">
        <v/>
      </c>
      <c r="V591" t="str">
        <v>TFN</v>
      </c>
      <c r="W591" t="str">
        <v>04/02/2019</v>
      </c>
      <c r="X591">
        <v>72</v>
      </c>
      <c r="Y591" t="str">
        <v>Aerospatiale/Alenia ATR72</v>
      </c>
    </row>
    <row r="592" spans="1:25" x14ac:dyDescent="0.25">
      <c r="A592" t="s">
        <v>1436</v>
      </c>
      <c r="B592" t="s">
        <v>0</v>
      </c>
      <c r="C592" t="s">
        <v>233</v>
      </c>
      <c r="D592" t="s">
        <v>234</v>
      </c>
      <c r="E592" t="s">
        <v>48</v>
      </c>
      <c r="F592" s="5">
        <v>43511</v>
      </c>
      <c r="G592" s="5">
        <v>43553</v>
      </c>
      <c r="H592" s="6">
        <v>0.55555555555555558</v>
      </c>
      <c r="I592" t="s">
        <v>39</v>
      </c>
      <c r="J592" t="s">
        <v>421</v>
      </c>
      <c r="K592" t="s">
        <v>38</v>
      </c>
      <c r="M592" t="s">
        <v>80</v>
      </c>
      <c r="N592" t="str">
        <v>Destino</v>
      </c>
      <c r="O592" t="str">
        <v>LANZAROTE</v>
      </c>
      <c r="P592" t="str">
        <v>ACE</v>
      </c>
      <c r="Q592" t="str">
        <v>14:20:00</v>
      </c>
      <c r="R592" t="str">
        <v>AT7</v>
      </c>
      <c r="S592" t="str">
        <v xml:space="preserve">  IBB470</v>
      </c>
      <c r="T592" t="str">
        <v>ESPAÑA</v>
      </c>
      <c r="U592" t="str">
        <v/>
      </c>
      <c r="V592" t="str">
        <v>TFN</v>
      </c>
      <c r="W592" t="str">
        <v>10/02/2019</v>
      </c>
      <c r="X592">
        <v>72</v>
      </c>
      <c r="Y592" t="str">
        <v>Aerospatiale/Alenia ATR72</v>
      </c>
    </row>
    <row r="593" spans="1:25" x14ac:dyDescent="0.25">
      <c r="A593" t="s">
        <v>1436</v>
      </c>
      <c r="B593" t="s">
        <v>0</v>
      </c>
      <c r="C593" t="s">
        <v>233</v>
      </c>
      <c r="D593" t="s">
        <v>234</v>
      </c>
      <c r="E593" t="s">
        <v>18</v>
      </c>
      <c r="F593" s="5">
        <v>43457</v>
      </c>
      <c r="G593" s="5">
        <v>43548</v>
      </c>
      <c r="H593" s="6">
        <v>0.60763888888888895</v>
      </c>
      <c r="I593" t="s">
        <v>39</v>
      </c>
      <c r="J593" t="s">
        <v>1508</v>
      </c>
      <c r="K593" t="s">
        <v>38</v>
      </c>
      <c r="M593" t="s">
        <v>80</v>
      </c>
      <c r="N593" t="str">
        <v>Destino</v>
      </c>
      <c r="O593" t="str">
        <v>LANZAROTE</v>
      </c>
      <c r="P593" t="str">
        <v>ACE</v>
      </c>
      <c r="Q593" t="str">
        <v>15:10:00</v>
      </c>
      <c r="R593" t="str">
        <v>AT7</v>
      </c>
      <c r="S593" t="str">
        <v xml:space="preserve">  IBB456</v>
      </c>
      <c r="T593" t="str">
        <v>ESPAÑA</v>
      </c>
      <c r="U593" t="str">
        <v/>
      </c>
      <c r="V593" t="str">
        <v>TFN</v>
      </c>
      <c r="W593" t="str">
        <v>10/02/2019</v>
      </c>
      <c r="X593">
        <v>72</v>
      </c>
      <c r="Y593" t="str">
        <v>Aerospatiale/Alenia ATR72</v>
      </c>
    </row>
    <row r="594" spans="1:25" x14ac:dyDescent="0.25">
      <c r="A594" t="s">
        <v>1436</v>
      </c>
      <c r="B594" t="s">
        <v>0</v>
      </c>
      <c r="C594" t="s">
        <v>233</v>
      </c>
      <c r="D594" t="s">
        <v>234</v>
      </c>
      <c r="E594" t="s">
        <v>22</v>
      </c>
      <c r="F594" s="5">
        <v>43463</v>
      </c>
      <c r="G594" s="5">
        <v>43547</v>
      </c>
      <c r="H594" s="6">
        <v>0.61458333333333337</v>
      </c>
      <c r="I594">
        <v>320</v>
      </c>
      <c r="J594" t="s">
        <v>423</v>
      </c>
      <c r="K594" t="s">
        <v>38</v>
      </c>
      <c r="M594" t="s">
        <v>80</v>
      </c>
      <c r="N594" t="str">
        <v>Destino</v>
      </c>
      <c r="O594" t="str">
        <v>LANZAROTE</v>
      </c>
      <c r="P594" t="str">
        <v>ACE</v>
      </c>
      <c r="Q594" t="str">
        <v>15:15:00</v>
      </c>
      <c r="R594" t="str">
        <v>AT7</v>
      </c>
      <c r="S594" t="str">
        <v xml:space="preserve">  IBB470</v>
      </c>
      <c r="T594" t="str">
        <v>ESPAÑA</v>
      </c>
      <c r="U594" t="str">
        <v/>
      </c>
      <c r="V594" t="str">
        <v>TFN</v>
      </c>
      <c r="W594" t="str">
        <v>09/02/2019</v>
      </c>
      <c r="X594">
        <v>72</v>
      </c>
      <c r="Y594" t="str">
        <v>Aerospatiale/Alenia ATR72</v>
      </c>
    </row>
    <row r="595" spans="1:25" x14ac:dyDescent="0.25">
      <c r="A595" t="s">
        <v>1436</v>
      </c>
      <c r="B595" t="s">
        <v>0</v>
      </c>
      <c r="C595" t="s">
        <v>233</v>
      </c>
      <c r="D595" t="s">
        <v>234</v>
      </c>
      <c r="E595" t="s">
        <v>59</v>
      </c>
      <c r="F595" s="5">
        <v>43514</v>
      </c>
      <c r="G595" s="5">
        <v>43549</v>
      </c>
      <c r="H595" s="6">
        <v>0.63541666666666663</v>
      </c>
      <c r="I595">
        <v>320</v>
      </c>
      <c r="J595" t="s">
        <v>421</v>
      </c>
      <c r="K595" t="s">
        <v>38</v>
      </c>
      <c r="M595" t="s">
        <v>80</v>
      </c>
      <c r="N595" t="str">
        <v>Destino</v>
      </c>
      <c r="O595" t="str">
        <v>LANZAROTE</v>
      </c>
      <c r="P595" t="str">
        <v>ACE</v>
      </c>
      <c r="Q595" t="str">
        <v>15:20:00</v>
      </c>
      <c r="R595" t="str">
        <v>AT7</v>
      </c>
      <c r="S595" t="str">
        <v xml:space="preserve">  IBB472</v>
      </c>
      <c r="T595" t="str">
        <v>ESPAÑA</v>
      </c>
      <c r="U595" t="str">
        <v/>
      </c>
      <c r="V595" t="str">
        <v>TFN</v>
      </c>
      <c r="W595" t="str">
        <v>10/02/2019</v>
      </c>
      <c r="X595">
        <v>72</v>
      </c>
      <c r="Y595" t="str">
        <v>Aerospatiale/Alenia ATR72</v>
      </c>
    </row>
    <row r="596" spans="1:25" x14ac:dyDescent="0.25">
      <c r="A596" t="s">
        <v>1436</v>
      </c>
      <c r="B596" t="s">
        <v>0</v>
      </c>
      <c r="C596" t="s">
        <v>233</v>
      </c>
      <c r="D596" t="s">
        <v>234</v>
      </c>
      <c r="E596" t="s">
        <v>20</v>
      </c>
      <c r="F596" s="5">
        <v>43404</v>
      </c>
      <c r="G596" s="5">
        <v>43551</v>
      </c>
      <c r="H596" s="6">
        <v>0.64236111111111105</v>
      </c>
      <c r="I596" t="s">
        <v>39</v>
      </c>
      <c r="J596" t="s">
        <v>421</v>
      </c>
      <c r="K596" t="s">
        <v>38</v>
      </c>
      <c r="M596" t="s">
        <v>80</v>
      </c>
      <c r="N596" t="str">
        <v>Destino</v>
      </c>
      <c r="O596" t="str">
        <v>LANZAROTE</v>
      </c>
      <c r="P596" t="str">
        <v>ACE</v>
      </c>
      <c r="Q596" t="str">
        <v>15:30:00</v>
      </c>
      <c r="R596" t="str">
        <v>AT7</v>
      </c>
      <c r="S596" t="str">
        <v xml:space="preserve">  IBB456</v>
      </c>
      <c r="T596" t="str">
        <v>ESPAÑA</v>
      </c>
      <c r="U596" t="str">
        <v/>
      </c>
      <c r="V596" t="str">
        <v>TFN</v>
      </c>
      <c r="W596" t="str">
        <v>08/02/2019</v>
      </c>
      <c r="X596">
        <v>72</v>
      </c>
      <c r="Y596" t="str">
        <v>Aerospatiale/Alenia ATR72</v>
      </c>
    </row>
    <row r="597" spans="1:25" x14ac:dyDescent="0.25">
      <c r="A597" t="s">
        <v>1436</v>
      </c>
      <c r="B597" t="s">
        <v>0</v>
      </c>
      <c r="C597" t="s">
        <v>233</v>
      </c>
      <c r="D597" t="s">
        <v>234</v>
      </c>
      <c r="E597" t="s">
        <v>13</v>
      </c>
      <c r="F597" s="5">
        <v>43475</v>
      </c>
      <c r="G597" s="5">
        <v>43552</v>
      </c>
      <c r="H597" s="6">
        <v>0.64930555555555558</v>
      </c>
      <c r="I597" t="s">
        <v>207</v>
      </c>
      <c r="J597" t="s">
        <v>422</v>
      </c>
      <c r="K597" t="s">
        <v>38</v>
      </c>
      <c r="M597" t="s">
        <v>80</v>
      </c>
      <c r="N597" t="str">
        <v>Destino</v>
      </c>
      <c r="O597" t="str">
        <v>LANZAROTE</v>
      </c>
      <c r="P597" t="str">
        <v>ACE</v>
      </c>
      <c r="Q597" t="str">
        <v>16:15:00</v>
      </c>
      <c r="R597" t="str">
        <v>AT7</v>
      </c>
      <c r="S597" t="str">
        <v xml:space="preserve">  CNF549</v>
      </c>
      <c r="T597" t="str">
        <v>ESPAÑA</v>
      </c>
      <c r="U597" t="str">
        <v/>
      </c>
      <c r="V597" t="str">
        <v>TFN</v>
      </c>
      <c r="W597" t="str">
        <v>05/02/2019</v>
      </c>
      <c r="X597">
        <v>72</v>
      </c>
      <c r="Y597" t="str">
        <v>Aerospatiale/Alenia ATR72</v>
      </c>
    </row>
    <row r="598" spans="1:25" x14ac:dyDescent="0.25">
      <c r="A598" t="s">
        <v>1436</v>
      </c>
      <c r="B598" t="s">
        <v>0</v>
      </c>
      <c r="C598" t="s">
        <v>233</v>
      </c>
      <c r="D598" t="s">
        <v>234</v>
      </c>
      <c r="E598" t="s">
        <v>22</v>
      </c>
      <c r="F598" s="5">
        <v>43505</v>
      </c>
      <c r="G598" s="5">
        <v>43554</v>
      </c>
      <c r="H598" s="6">
        <v>0.64930555555555558</v>
      </c>
      <c r="I598" t="s">
        <v>207</v>
      </c>
      <c r="J598" t="s">
        <v>422</v>
      </c>
      <c r="K598" t="s">
        <v>38</v>
      </c>
      <c r="M598" t="s">
        <v>80</v>
      </c>
      <c r="N598" t="str">
        <v>Destino</v>
      </c>
      <c r="O598" t="str">
        <v>LANZAROTE</v>
      </c>
      <c r="P598" t="str">
        <v>ACE</v>
      </c>
      <c r="Q598" t="str">
        <v>16:15:00</v>
      </c>
      <c r="R598" t="str">
        <v>AT7</v>
      </c>
      <c r="S598" t="str">
        <v xml:space="preserve">  CNF549</v>
      </c>
      <c r="T598" t="str">
        <v>ESPAÑA</v>
      </c>
      <c r="U598" t="str">
        <v/>
      </c>
      <c r="V598" t="str">
        <v>TFN</v>
      </c>
      <c r="W598" t="str">
        <v>04/02/2019</v>
      </c>
      <c r="X598">
        <v>72</v>
      </c>
      <c r="Y598" t="str">
        <v>Aerospatiale/Alenia ATR72</v>
      </c>
    </row>
    <row r="599" spans="1:25" x14ac:dyDescent="0.25">
      <c r="A599" t="s">
        <v>1436</v>
      </c>
      <c r="B599" t="s">
        <v>0</v>
      </c>
      <c r="C599" t="s">
        <v>233</v>
      </c>
      <c r="D599" t="s">
        <v>234</v>
      </c>
      <c r="E599" t="s">
        <v>18</v>
      </c>
      <c r="F599" s="5">
        <v>43513</v>
      </c>
      <c r="G599" s="5">
        <v>43548</v>
      </c>
      <c r="H599" s="6">
        <v>0.64930555555555558</v>
      </c>
      <c r="I599" t="s">
        <v>207</v>
      </c>
      <c r="J599" t="s">
        <v>422</v>
      </c>
      <c r="K599" t="s">
        <v>38</v>
      </c>
      <c r="M599" t="s">
        <v>80</v>
      </c>
      <c r="N599" t="str">
        <v>Destino</v>
      </c>
      <c r="O599" t="str">
        <v>LANZAROTE</v>
      </c>
      <c r="P599" t="str">
        <v>ACE</v>
      </c>
      <c r="Q599" t="str">
        <v>16:15:00</v>
      </c>
      <c r="R599" t="str">
        <v>AT7</v>
      </c>
      <c r="S599" t="str">
        <v xml:space="preserve">  CNF549</v>
      </c>
      <c r="T599" t="str">
        <v>ESPAÑA</v>
      </c>
      <c r="U599" t="str">
        <v/>
      </c>
      <c r="V599" t="str">
        <v>TFN</v>
      </c>
      <c r="W599" t="str">
        <v>08/02/2019</v>
      </c>
      <c r="X599">
        <v>72</v>
      </c>
      <c r="Y599" t="str">
        <v>Aerospatiale/Alenia ATR72</v>
      </c>
    </row>
    <row r="600" spans="1:25" x14ac:dyDescent="0.25">
      <c r="A600" t="s">
        <v>1436</v>
      </c>
      <c r="B600" t="s">
        <v>0</v>
      </c>
      <c r="C600" t="s">
        <v>1829</v>
      </c>
      <c r="D600" t="s">
        <v>1830</v>
      </c>
      <c r="E600" t="s">
        <v>18</v>
      </c>
      <c r="F600" s="5">
        <v>43478</v>
      </c>
      <c r="G600" s="5">
        <v>43534</v>
      </c>
      <c r="H600" s="6">
        <v>0.3888888888888889</v>
      </c>
      <c r="I600">
        <v>717</v>
      </c>
      <c r="J600" t="s">
        <v>1838</v>
      </c>
      <c r="K600" t="s">
        <v>221</v>
      </c>
      <c r="M600" t="s">
        <v>80</v>
      </c>
      <c r="N600" t="str">
        <v>Destino</v>
      </c>
      <c r="O600" t="str">
        <v>LANZAROTE</v>
      </c>
      <c r="P600" t="str">
        <v>ACE</v>
      </c>
      <c r="Q600" t="str">
        <v>16:15:00</v>
      </c>
      <c r="R600" t="str">
        <v>AT7</v>
      </c>
      <c r="S600" t="str">
        <v xml:space="preserve">  CNF549</v>
      </c>
      <c r="T600" t="str">
        <v>ESPAÑA</v>
      </c>
      <c r="U600" t="str">
        <v/>
      </c>
      <c r="V600" t="str">
        <v>TFN</v>
      </c>
      <c r="W600" t="str">
        <v>07/02/2019</v>
      </c>
      <c r="X600">
        <v>72</v>
      </c>
      <c r="Y600" t="str">
        <v>Aerospatiale/Alenia ATR72</v>
      </c>
    </row>
    <row r="601" spans="1:25" x14ac:dyDescent="0.25">
      <c r="A601" t="s">
        <v>1436</v>
      </c>
      <c r="B601" t="s">
        <v>0</v>
      </c>
      <c r="C601" t="s">
        <v>240</v>
      </c>
      <c r="D601" t="s">
        <v>241</v>
      </c>
      <c r="E601" t="s">
        <v>48</v>
      </c>
      <c r="F601" s="5">
        <v>43406</v>
      </c>
      <c r="G601" s="5">
        <v>43553</v>
      </c>
      <c r="H601" s="6">
        <v>0.45833333333333331</v>
      </c>
      <c r="I601">
        <v>320</v>
      </c>
      <c r="J601" t="s">
        <v>1511</v>
      </c>
      <c r="K601" t="s">
        <v>66</v>
      </c>
      <c r="M601" t="s">
        <v>80</v>
      </c>
      <c r="N601" t="str">
        <v>Destino</v>
      </c>
      <c r="O601" t="str">
        <v>LANZAROTE</v>
      </c>
      <c r="P601" t="str">
        <v>ACE</v>
      </c>
      <c r="Q601" t="str">
        <v>16:15:00</v>
      </c>
      <c r="R601" t="str">
        <v>AT7</v>
      </c>
      <c r="S601" t="str">
        <v xml:space="preserve">  CNF549</v>
      </c>
      <c r="T601" t="str">
        <v>ESPAÑA</v>
      </c>
      <c r="U601" t="str">
        <v/>
      </c>
      <c r="V601" t="str">
        <v>TFN</v>
      </c>
      <c r="W601" t="str">
        <v>10/02/2019</v>
      </c>
      <c r="X601">
        <v>72</v>
      </c>
      <c r="Y601" t="str">
        <v>Aerospatiale/Alenia ATR72</v>
      </c>
    </row>
    <row r="602" spans="1:25" x14ac:dyDescent="0.25">
      <c r="A602" t="s">
        <v>1436</v>
      </c>
      <c r="B602" t="s">
        <v>0</v>
      </c>
      <c r="C602" t="s">
        <v>240</v>
      </c>
      <c r="D602" t="s">
        <v>241</v>
      </c>
      <c r="E602" t="s">
        <v>59</v>
      </c>
      <c r="F602" s="5">
        <v>43486</v>
      </c>
      <c r="G602" s="5">
        <v>43514</v>
      </c>
      <c r="H602" s="6">
        <v>0.57638888888888895</v>
      </c>
      <c r="I602" t="s">
        <v>106</v>
      </c>
      <c r="J602" t="s">
        <v>1895</v>
      </c>
      <c r="K602" t="s">
        <v>66</v>
      </c>
      <c r="L602" t="s">
        <v>138</v>
      </c>
      <c r="M602" t="s">
        <v>80</v>
      </c>
      <c r="N602" t="str">
        <v>Destino</v>
      </c>
      <c r="O602" t="str">
        <v>LANZAROTE</v>
      </c>
      <c r="P602" t="str">
        <v>ACE</v>
      </c>
      <c r="Q602" t="str">
        <v>16:15:00</v>
      </c>
      <c r="R602" t="str">
        <v>AT7</v>
      </c>
      <c r="S602" t="str">
        <v xml:space="preserve">  CNF549</v>
      </c>
      <c r="T602" t="str">
        <v>ESPAÑA</v>
      </c>
      <c r="U602" t="str">
        <v/>
      </c>
      <c r="V602" t="str">
        <v>TFN</v>
      </c>
      <c r="W602" t="str">
        <v>09/02/2019</v>
      </c>
      <c r="X602">
        <v>72</v>
      </c>
      <c r="Y602" t="str">
        <v>Aerospatiale/Alenia ATR72</v>
      </c>
    </row>
    <row r="603" spans="1:25" x14ac:dyDescent="0.25">
      <c r="A603" t="s">
        <v>1436</v>
      </c>
      <c r="B603" t="s">
        <v>0</v>
      </c>
      <c r="C603" t="s">
        <v>240</v>
      </c>
      <c r="D603" t="s">
        <v>241</v>
      </c>
      <c r="E603" t="s">
        <v>59</v>
      </c>
      <c r="F603" s="5">
        <v>43465</v>
      </c>
      <c r="G603" s="5">
        <v>43549</v>
      </c>
      <c r="H603" s="6">
        <v>0.71527777777777779</v>
      </c>
      <c r="I603">
        <v>320</v>
      </c>
      <c r="J603" t="s">
        <v>1511</v>
      </c>
      <c r="K603" t="s">
        <v>66</v>
      </c>
      <c r="M603" t="s">
        <v>80</v>
      </c>
      <c r="N603" t="str">
        <v>Destino</v>
      </c>
      <c r="O603" t="str">
        <v>LANZAROTE</v>
      </c>
      <c r="P603" t="str">
        <v>ACE</v>
      </c>
      <c r="Q603" t="str">
        <v>16:15:00</v>
      </c>
      <c r="R603" t="str">
        <v>AT7</v>
      </c>
      <c r="S603" t="str">
        <v xml:space="preserve">  CNF549</v>
      </c>
      <c r="T603" t="str">
        <v>ESPAÑA</v>
      </c>
      <c r="U603" t="str">
        <v/>
      </c>
      <c r="V603" t="str">
        <v>TFN</v>
      </c>
      <c r="W603" t="str">
        <v>06/02/2019</v>
      </c>
      <c r="X603">
        <v>72</v>
      </c>
      <c r="Y603" t="str">
        <v>Aerospatiale/Alenia ATR72</v>
      </c>
    </row>
    <row r="604" spans="1:25" x14ac:dyDescent="0.25">
      <c r="A604" t="s">
        <v>1436</v>
      </c>
      <c r="B604" t="s">
        <v>0</v>
      </c>
      <c r="C604" t="s">
        <v>243</v>
      </c>
      <c r="D604" t="s">
        <v>244</v>
      </c>
      <c r="E604" t="s">
        <v>95</v>
      </c>
      <c r="F604" s="5">
        <v>43405</v>
      </c>
      <c r="G604" s="5">
        <v>43554</v>
      </c>
      <c r="H604" s="6">
        <v>0.44791666666666669</v>
      </c>
      <c r="I604" t="s">
        <v>14</v>
      </c>
      <c r="J604" t="s">
        <v>425</v>
      </c>
      <c r="K604" t="s">
        <v>66</v>
      </c>
      <c r="M604" t="s">
        <v>80</v>
      </c>
      <c r="N604" t="str">
        <v>Destino</v>
      </c>
      <c r="O604" t="str">
        <v>LANZAROTE</v>
      </c>
      <c r="P604" t="str">
        <v>ACE</v>
      </c>
      <c r="Q604" t="str">
        <v>17:20:00</v>
      </c>
      <c r="R604" t="str">
        <v>AT7</v>
      </c>
      <c r="S604" t="str">
        <v xml:space="preserve">  IBB474</v>
      </c>
      <c r="T604" t="str">
        <v>ESPAÑA</v>
      </c>
      <c r="U604" t="str">
        <v/>
      </c>
      <c r="V604" t="str">
        <v>TFN</v>
      </c>
      <c r="W604" t="str">
        <v>04/02/2019</v>
      </c>
      <c r="X604">
        <v>72</v>
      </c>
      <c r="Y604" t="str">
        <v>Aerospatiale/Alenia ATR72</v>
      </c>
    </row>
    <row r="605" spans="1:25" x14ac:dyDescent="0.25">
      <c r="A605" t="s">
        <v>1436</v>
      </c>
      <c r="B605" t="s">
        <v>0</v>
      </c>
      <c r="C605" t="s">
        <v>243</v>
      </c>
      <c r="D605" t="s">
        <v>244</v>
      </c>
      <c r="E605" t="s">
        <v>19</v>
      </c>
      <c r="F605" s="5">
        <v>43473</v>
      </c>
      <c r="G605" s="5">
        <v>43550</v>
      </c>
      <c r="H605" s="6">
        <v>0.44791666666666669</v>
      </c>
      <c r="I605" t="s">
        <v>14</v>
      </c>
      <c r="J605" t="s">
        <v>425</v>
      </c>
      <c r="K605" t="s">
        <v>66</v>
      </c>
      <c r="M605" t="s">
        <v>80</v>
      </c>
      <c r="N605" t="str">
        <v>Destino</v>
      </c>
      <c r="O605" t="str">
        <v>LANZAROTE</v>
      </c>
      <c r="P605" t="str">
        <v>ACE</v>
      </c>
      <c r="Q605" t="str">
        <v>17:30:00</v>
      </c>
      <c r="R605" t="str">
        <v>AT7</v>
      </c>
      <c r="S605" t="str">
        <v xml:space="preserve">  IBB474</v>
      </c>
      <c r="T605" t="str">
        <v>ESPAÑA</v>
      </c>
      <c r="U605" t="str">
        <v/>
      </c>
      <c r="V605" t="str">
        <v>TFN</v>
      </c>
      <c r="W605" t="str">
        <v>05/02/2019</v>
      </c>
      <c r="X605">
        <v>72</v>
      </c>
      <c r="Y605" t="str">
        <v>Aerospatiale/Alenia ATR72</v>
      </c>
    </row>
    <row r="606" spans="1:25" x14ac:dyDescent="0.25">
      <c r="A606" t="s">
        <v>1436</v>
      </c>
      <c r="B606" t="s">
        <v>0</v>
      </c>
      <c r="C606" t="s">
        <v>426</v>
      </c>
      <c r="D606" t="s">
        <v>427</v>
      </c>
      <c r="E606" t="s">
        <v>22</v>
      </c>
      <c r="F606" s="5">
        <v>43414</v>
      </c>
      <c r="G606" s="5">
        <v>43554</v>
      </c>
      <c r="H606" s="6">
        <v>0.72569444444444453</v>
      </c>
      <c r="I606">
        <v>319</v>
      </c>
      <c r="J606" t="s">
        <v>428</v>
      </c>
      <c r="K606" t="s">
        <v>45</v>
      </c>
      <c r="M606" t="s">
        <v>80</v>
      </c>
      <c r="N606" t="str">
        <v>Destino</v>
      </c>
      <c r="O606" t="str">
        <v>LANZAROTE</v>
      </c>
      <c r="P606" t="str">
        <v>ACE</v>
      </c>
      <c r="Q606" t="str">
        <v>18:00:00</v>
      </c>
      <c r="R606" t="str">
        <v>AT7</v>
      </c>
      <c r="S606" t="str">
        <v xml:space="preserve">  IBB474</v>
      </c>
      <c r="T606" t="str">
        <v>ESPAÑA</v>
      </c>
      <c r="U606" t="str">
        <v/>
      </c>
      <c r="V606" t="str">
        <v>TFN</v>
      </c>
      <c r="W606" t="str">
        <v>06/02/2019</v>
      </c>
      <c r="X606">
        <v>72</v>
      </c>
      <c r="Y606" t="str">
        <v>Aerospatiale/Alenia ATR72</v>
      </c>
    </row>
    <row r="607" spans="1:25" x14ac:dyDescent="0.25">
      <c r="A607" t="s">
        <v>1436</v>
      </c>
      <c r="B607" t="s">
        <v>0</v>
      </c>
      <c r="C607" t="s">
        <v>426</v>
      </c>
      <c r="D607" t="s">
        <v>427</v>
      </c>
      <c r="E607" t="s">
        <v>59</v>
      </c>
      <c r="F607" s="5">
        <v>43507</v>
      </c>
      <c r="G607" s="5">
        <v>43549</v>
      </c>
      <c r="H607" s="6">
        <v>0.80208333333333337</v>
      </c>
      <c r="I607">
        <v>319</v>
      </c>
      <c r="J607" t="s">
        <v>428</v>
      </c>
      <c r="K607" t="s">
        <v>45</v>
      </c>
      <c r="M607" t="s">
        <v>80</v>
      </c>
      <c r="N607" t="str">
        <v>Destino</v>
      </c>
      <c r="O607" t="str">
        <v>LANZAROTE</v>
      </c>
      <c r="P607" t="str">
        <v>ACE</v>
      </c>
      <c r="Q607" t="str">
        <v>18:00:00</v>
      </c>
      <c r="R607" t="str">
        <v>AT7</v>
      </c>
      <c r="S607" t="str">
        <v xml:space="preserve">  IBB474</v>
      </c>
      <c r="T607" t="str">
        <v>ESPAÑA</v>
      </c>
      <c r="U607" t="str">
        <v/>
      </c>
      <c r="V607" t="str">
        <v>TFN</v>
      </c>
      <c r="W607" t="str">
        <v>08/02/2019</v>
      </c>
      <c r="X607">
        <v>72</v>
      </c>
      <c r="Y607" t="str">
        <v>Aerospatiale/Alenia ATR72</v>
      </c>
    </row>
    <row r="608" spans="1:25" x14ac:dyDescent="0.25">
      <c r="A608" t="s">
        <v>1436</v>
      </c>
      <c r="B608" t="s">
        <v>0</v>
      </c>
      <c r="C608" t="s">
        <v>246</v>
      </c>
      <c r="D608" t="s">
        <v>247</v>
      </c>
      <c r="E608" t="s">
        <v>976</v>
      </c>
      <c r="F608" s="5">
        <v>43401</v>
      </c>
      <c r="G608" s="5">
        <v>43550</v>
      </c>
      <c r="H608" s="6">
        <v>0.4548611111111111</v>
      </c>
      <c r="I608" t="s">
        <v>352</v>
      </c>
      <c r="J608" t="s">
        <v>1512</v>
      </c>
      <c r="K608" t="s">
        <v>45</v>
      </c>
      <c r="M608" t="s">
        <v>80</v>
      </c>
      <c r="N608" t="str">
        <v>Destino</v>
      </c>
      <c r="O608" t="str">
        <v>LANZAROTE</v>
      </c>
      <c r="P608" t="str">
        <v>ACE</v>
      </c>
      <c r="Q608" t="str">
        <v>18:00:00</v>
      </c>
      <c r="R608" t="str">
        <v>AT7</v>
      </c>
      <c r="S608" t="str">
        <v xml:space="preserve">  IBB474</v>
      </c>
      <c r="T608" t="str">
        <v>ESPAÑA</v>
      </c>
      <c r="U608" t="str">
        <v/>
      </c>
      <c r="V608" t="str">
        <v>TFN</v>
      </c>
      <c r="W608" t="str">
        <v>10/02/2019</v>
      </c>
      <c r="X608">
        <v>72</v>
      </c>
      <c r="Y608" t="str">
        <v>Aerospatiale/Alenia ATR72</v>
      </c>
    </row>
    <row r="609" spans="1:25" x14ac:dyDescent="0.25">
      <c r="A609" t="s">
        <v>1436</v>
      </c>
      <c r="B609" t="s">
        <v>0</v>
      </c>
      <c r="C609" t="s">
        <v>246</v>
      </c>
      <c r="D609" t="s">
        <v>247</v>
      </c>
      <c r="E609" t="s">
        <v>19</v>
      </c>
      <c r="F609" s="5">
        <v>43480</v>
      </c>
      <c r="G609" s="5">
        <v>43522</v>
      </c>
      <c r="H609" s="6">
        <v>0.60763888888888895</v>
      </c>
      <c r="I609">
        <v>320</v>
      </c>
      <c r="J609" t="s">
        <v>1892</v>
      </c>
      <c r="K609" t="s">
        <v>45</v>
      </c>
      <c r="M609" t="s">
        <v>80</v>
      </c>
      <c r="N609" t="str">
        <v>Destino</v>
      </c>
      <c r="O609" t="str">
        <v>LANZAROTE</v>
      </c>
      <c r="P609" t="str">
        <v>ACE</v>
      </c>
      <c r="Q609" t="str">
        <v>18:05:00</v>
      </c>
      <c r="R609" t="str">
        <v>AT7</v>
      </c>
      <c r="S609" t="str">
        <v xml:space="preserve">  IBB474</v>
      </c>
      <c r="T609" t="str">
        <v>ESPAÑA</v>
      </c>
      <c r="U609" t="str">
        <v/>
      </c>
      <c r="V609" t="str">
        <v>TFN</v>
      </c>
      <c r="W609" t="str">
        <v>07/02/2019</v>
      </c>
      <c r="X609">
        <v>72</v>
      </c>
      <c r="Y609" t="str">
        <v>Aerospatiale/Alenia ATR72</v>
      </c>
    </row>
    <row r="610" spans="1:25" x14ac:dyDescent="0.25">
      <c r="A610" t="s">
        <v>1436</v>
      </c>
      <c r="B610" t="s">
        <v>0</v>
      </c>
      <c r="C610" t="s">
        <v>246</v>
      </c>
      <c r="D610" t="s">
        <v>247</v>
      </c>
      <c r="E610" t="s">
        <v>13</v>
      </c>
      <c r="F610" s="5">
        <v>43454</v>
      </c>
      <c r="G610" s="5">
        <v>43552</v>
      </c>
      <c r="H610" s="6">
        <v>0.63888888888888895</v>
      </c>
      <c r="I610" t="s">
        <v>106</v>
      </c>
      <c r="J610" t="s">
        <v>429</v>
      </c>
      <c r="K610" t="s">
        <v>45</v>
      </c>
      <c r="M610" t="s">
        <v>80</v>
      </c>
      <c r="N610" t="str">
        <v>Destino</v>
      </c>
      <c r="O610" t="str">
        <v>LANZAROTE</v>
      </c>
      <c r="P610" t="str">
        <v>ACE</v>
      </c>
      <c r="Q610" t="str">
        <v>19:10:00</v>
      </c>
      <c r="R610" t="str">
        <v>AT7</v>
      </c>
      <c r="S610" t="str">
        <v xml:space="preserve">  IBB484</v>
      </c>
      <c r="T610" t="str">
        <v>ESPAÑA</v>
      </c>
      <c r="U610" t="str">
        <v/>
      </c>
      <c r="V610" t="str">
        <v>TFN</v>
      </c>
      <c r="W610" t="str">
        <v>06/02/2019</v>
      </c>
      <c r="X610">
        <v>72</v>
      </c>
      <c r="Y610" t="str">
        <v>Aerospatiale/Alenia ATR72</v>
      </c>
    </row>
    <row r="611" spans="1:25" x14ac:dyDescent="0.25">
      <c r="A611" t="s">
        <v>1436</v>
      </c>
      <c r="B611" t="s">
        <v>0</v>
      </c>
      <c r="C611" t="s">
        <v>246</v>
      </c>
      <c r="D611" t="s">
        <v>247</v>
      </c>
      <c r="E611" t="s">
        <v>22</v>
      </c>
      <c r="F611" s="5">
        <v>43407</v>
      </c>
      <c r="G611" s="5">
        <v>43554</v>
      </c>
      <c r="H611" s="6">
        <v>0.74305555555555547</v>
      </c>
      <c r="I611" t="s">
        <v>104</v>
      </c>
      <c r="J611" t="s">
        <v>430</v>
      </c>
      <c r="K611" t="s">
        <v>45</v>
      </c>
      <c r="M611" t="s">
        <v>80</v>
      </c>
      <c r="N611" t="str">
        <v>Destino</v>
      </c>
      <c r="O611" t="str">
        <v>LANZAROTE</v>
      </c>
      <c r="P611" t="str">
        <v>ACE</v>
      </c>
      <c r="Q611" t="str">
        <v>19:10:00</v>
      </c>
      <c r="R611" t="str">
        <v>AT7</v>
      </c>
      <c r="S611" t="str">
        <v xml:space="preserve">  IBB484</v>
      </c>
      <c r="T611" t="str">
        <v>ESPAÑA</v>
      </c>
      <c r="U611" t="str">
        <v/>
      </c>
      <c r="V611" t="str">
        <v>TFN</v>
      </c>
      <c r="W611" t="str">
        <v>05/02/2019</v>
      </c>
      <c r="X611">
        <v>72</v>
      </c>
      <c r="Y611" t="str">
        <v>Aerospatiale/Alenia ATR72</v>
      </c>
    </row>
    <row r="612" spans="1:25" x14ac:dyDescent="0.25">
      <c r="A612" t="s">
        <v>1436</v>
      </c>
      <c r="B612" t="s">
        <v>0</v>
      </c>
      <c r="C612" t="s">
        <v>246</v>
      </c>
      <c r="D612" t="s">
        <v>247</v>
      </c>
      <c r="E612" t="s">
        <v>22</v>
      </c>
      <c r="F612" s="5">
        <v>43456</v>
      </c>
      <c r="G612" s="5">
        <v>43512</v>
      </c>
      <c r="H612" s="6">
        <v>0.74305555555555547</v>
      </c>
      <c r="I612" t="s">
        <v>106</v>
      </c>
      <c r="J612" t="s">
        <v>429</v>
      </c>
      <c r="K612" t="s">
        <v>45</v>
      </c>
      <c r="M612" t="s">
        <v>80</v>
      </c>
      <c r="N612" t="str">
        <v>Destino</v>
      </c>
      <c r="O612" t="str">
        <v>LANZAROTE</v>
      </c>
      <c r="P612" t="str">
        <v>ACE</v>
      </c>
      <c r="Q612" t="str">
        <v>19:10:00</v>
      </c>
      <c r="R612" t="str">
        <v>AT7</v>
      </c>
      <c r="S612" t="str">
        <v xml:space="preserve">  IBB484</v>
      </c>
      <c r="T612" t="str">
        <v>ESPAÑA</v>
      </c>
      <c r="U612" t="str">
        <v/>
      </c>
      <c r="V612" t="str">
        <v>TFN</v>
      </c>
      <c r="W612" t="str">
        <v>04/02/2019</v>
      </c>
      <c r="X612">
        <v>72</v>
      </c>
      <c r="Y612" t="str">
        <v>Aerospatiale/Alenia ATR72</v>
      </c>
    </row>
    <row r="613" spans="1:25" x14ac:dyDescent="0.25">
      <c r="A613" t="s">
        <v>1436</v>
      </c>
      <c r="B613" t="s">
        <v>0</v>
      </c>
      <c r="C613" t="s">
        <v>249</v>
      </c>
      <c r="D613" t="s">
        <v>250</v>
      </c>
      <c r="E613" t="s">
        <v>18</v>
      </c>
      <c r="F613" s="5">
        <v>43478</v>
      </c>
      <c r="G613" s="5">
        <v>43534</v>
      </c>
      <c r="H613" s="6">
        <v>0.375</v>
      </c>
      <c r="I613">
        <v>319</v>
      </c>
      <c r="J613" t="s">
        <v>431</v>
      </c>
      <c r="K613" t="s">
        <v>221</v>
      </c>
      <c r="M613" t="s">
        <v>80</v>
      </c>
      <c r="N613" t="str">
        <v>Destino</v>
      </c>
      <c r="O613" t="str">
        <v>LANZAROTE</v>
      </c>
      <c r="P613" t="str">
        <v>ACE</v>
      </c>
      <c r="Q613" t="str">
        <v>19:10:00</v>
      </c>
      <c r="R613" t="str">
        <v>AT7</v>
      </c>
      <c r="S613" t="str">
        <v xml:space="preserve">  IBB484</v>
      </c>
      <c r="T613" t="str">
        <v>ESPAÑA</v>
      </c>
      <c r="U613" t="str">
        <v/>
      </c>
      <c r="V613" t="str">
        <v>TFN</v>
      </c>
      <c r="W613" t="str">
        <v>07/02/2019</v>
      </c>
      <c r="X613">
        <v>72</v>
      </c>
      <c r="Y613" t="str">
        <v>Aerospatiale/Alenia ATR72</v>
      </c>
    </row>
    <row r="614" spans="1:25" x14ac:dyDescent="0.25">
      <c r="A614" t="s">
        <v>1436</v>
      </c>
      <c r="B614" t="s">
        <v>0</v>
      </c>
      <c r="C614" t="s">
        <v>249</v>
      </c>
      <c r="D614" t="s">
        <v>250</v>
      </c>
      <c r="E614" t="s">
        <v>18</v>
      </c>
      <c r="F614" s="5">
        <v>43457</v>
      </c>
      <c r="G614" s="5">
        <v>43513</v>
      </c>
      <c r="H614" s="6">
        <v>0.42708333333333331</v>
      </c>
      <c r="I614" t="s">
        <v>14</v>
      </c>
      <c r="J614" t="s">
        <v>1839</v>
      </c>
      <c r="K614" t="s">
        <v>221</v>
      </c>
      <c r="M614" t="s">
        <v>80</v>
      </c>
      <c r="N614" t="str">
        <v>Destino</v>
      </c>
      <c r="O614" t="str">
        <v>LANZAROTE</v>
      </c>
      <c r="P614" t="str">
        <v>ACE</v>
      </c>
      <c r="Q614" t="str">
        <v>19:10:00</v>
      </c>
      <c r="R614" t="str">
        <v>AT7</v>
      </c>
      <c r="S614" t="str">
        <v xml:space="preserve">  IBB484</v>
      </c>
      <c r="T614" t="str">
        <v>ESPAÑA</v>
      </c>
      <c r="U614" t="str">
        <v/>
      </c>
      <c r="V614" t="str">
        <v>TFN</v>
      </c>
      <c r="W614" t="str">
        <v>08/02/2019</v>
      </c>
      <c r="X614">
        <v>72</v>
      </c>
      <c r="Y614" t="str">
        <v>Aerospatiale/Alenia ATR72</v>
      </c>
    </row>
    <row r="615" spans="1:25" x14ac:dyDescent="0.25">
      <c r="A615" t="s">
        <v>1436</v>
      </c>
      <c r="B615" t="s">
        <v>0</v>
      </c>
      <c r="C615" t="s">
        <v>252</v>
      </c>
      <c r="D615" t="s">
        <v>253</v>
      </c>
      <c r="E615" t="s">
        <v>22</v>
      </c>
      <c r="F615" s="5">
        <v>43463</v>
      </c>
      <c r="G615" s="5">
        <v>43554</v>
      </c>
      <c r="H615" s="6">
        <v>0.63194444444444442</v>
      </c>
      <c r="I615" t="s">
        <v>14</v>
      </c>
      <c r="J615" t="s">
        <v>433</v>
      </c>
      <c r="K615" t="s">
        <v>38</v>
      </c>
      <c r="M615" t="s">
        <v>80</v>
      </c>
      <c r="N615" t="str">
        <v>Destino</v>
      </c>
      <c r="O615" t="str">
        <v>LANZAROTE</v>
      </c>
      <c r="P615" t="str">
        <v>ACE</v>
      </c>
      <c r="Q615" t="str">
        <v>19:10:00</v>
      </c>
      <c r="R615" t="str">
        <v>AT7</v>
      </c>
      <c r="S615" t="str">
        <v xml:space="preserve">  IBB484</v>
      </c>
      <c r="T615" t="str">
        <v>ESPAÑA</v>
      </c>
      <c r="U615" t="str">
        <v/>
      </c>
      <c r="V615" t="str">
        <v>TFN</v>
      </c>
      <c r="W615" t="str">
        <v>10/02/2019</v>
      </c>
      <c r="X615">
        <v>72</v>
      </c>
      <c r="Y615" t="str">
        <v>Aerospatiale/Alenia ATR72</v>
      </c>
    </row>
    <row r="616" spans="1:25" x14ac:dyDescent="0.25">
      <c r="A616" t="s">
        <v>1436</v>
      </c>
      <c r="B616" t="s">
        <v>0</v>
      </c>
      <c r="C616" t="s">
        <v>252</v>
      </c>
      <c r="D616" t="s">
        <v>253</v>
      </c>
      <c r="E616" t="s">
        <v>20</v>
      </c>
      <c r="F616" s="5">
        <v>43404</v>
      </c>
      <c r="G616" s="5">
        <v>43551</v>
      </c>
      <c r="H616" s="6">
        <v>0.65277777777777779</v>
      </c>
      <c r="I616" t="s">
        <v>39</v>
      </c>
      <c r="J616" t="s">
        <v>432</v>
      </c>
      <c r="K616" t="s">
        <v>38</v>
      </c>
      <c r="M616" t="s">
        <v>80</v>
      </c>
      <c r="N616" t="str">
        <v>Destino</v>
      </c>
      <c r="O616" t="str">
        <v>LANZAROTE</v>
      </c>
      <c r="P616" t="str">
        <v>ACE</v>
      </c>
      <c r="Q616" t="str">
        <v>19:10:00</v>
      </c>
      <c r="R616" t="str">
        <v>AT7</v>
      </c>
      <c r="S616" t="str">
        <v xml:space="preserve">  IBB484</v>
      </c>
      <c r="T616" t="str">
        <v>ESPAÑA</v>
      </c>
      <c r="U616" t="str">
        <v/>
      </c>
      <c r="V616" t="str">
        <v>TFN</v>
      </c>
      <c r="W616" t="str">
        <v>09/02/2019</v>
      </c>
      <c r="X616">
        <v>72</v>
      </c>
      <c r="Y616" t="str">
        <v>Aerospatiale/Alenia ATR72</v>
      </c>
    </row>
    <row r="617" spans="1:25" x14ac:dyDescent="0.25">
      <c r="A617" t="s">
        <v>1436</v>
      </c>
      <c r="B617" t="s">
        <v>0</v>
      </c>
      <c r="C617" t="s">
        <v>258</v>
      </c>
      <c r="D617" t="s">
        <v>259</v>
      </c>
      <c r="E617" t="s">
        <v>13</v>
      </c>
      <c r="F617" s="5">
        <v>43405</v>
      </c>
      <c r="G617" s="5">
        <v>43552</v>
      </c>
      <c r="H617" s="6">
        <v>0.64236111111111105</v>
      </c>
      <c r="I617" t="s">
        <v>14</v>
      </c>
      <c r="J617" t="s">
        <v>1513</v>
      </c>
      <c r="K617" t="s">
        <v>45</v>
      </c>
      <c r="M617" t="s">
        <v>80</v>
      </c>
      <c r="N617" t="str">
        <v>Destino</v>
      </c>
      <c r="O617" t="str">
        <v>LANZAROTE</v>
      </c>
      <c r="P617" t="str">
        <v>ACE</v>
      </c>
      <c r="Q617" t="str">
        <v>20:00:00</v>
      </c>
      <c r="R617" t="str">
        <v>AT7</v>
      </c>
      <c r="S617" t="str">
        <v xml:space="preserve">  IBB456</v>
      </c>
      <c r="T617" t="str">
        <v>ESPAÑA</v>
      </c>
      <c r="U617" t="str">
        <v/>
      </c>
      <c r="V617" t="str">
        <v>TFN</v>
      </c>
      <c r="W617" t="str">
        <v>09/02/2019</v>
      </c>
      <c r="X617">
        <v>72</v>
      </c>
      <c r="Y617" t="str">
        <v>Aerospatiale/Alenia ATR72</v>
      </c>
    </row>
    <row r="618" spans="1:25" x14ac:dyDescent="0.25">
      <c r="A618" t="s">
        <v>1436</v>
      </c>
      <c r="B618" t="s">
        <v>0</v>
      </c>
      <c r="C618" t="s">
        <v>258</v>
      </c>
      <c r="D618" t="s">
        <v>259</v>
      </c>
      <c r="E618" t="s">
        <v>19</v>
      </c>
      <c r="F618" s="5">
        <v>43501</v>
      </c>
      <c r="G618" s="5">
        <v>43550</v>
      </c>
      <c r="H618" s="6">
        <v>0.64236111111111105</v>
      </c>
      <c r="I618" t="s">
        <v>14</v>
      </c>
      <c r="J618" t="s">
        <v>1513</v>
      </c>
      <c r="K618" t="s">
        <v>45</v>
      </c>
      <c r="M618" t="s">
        <v>80</v>
      </c>
      <c r="N618" t="str">
        <v>Destino</v>
      </c>
      <c r="O618" t="str">
        <v>LANZAROTE</v>
      </c>
      <c r="P618" t="str">
        <v>ACE</v>
      </c>
      <c r="Q618" t="str">
        <v>20:00:00</v>
      </c>
      <c r="R618" t="str">
        <v>AT7</v>
      </c>
      <c r="S618" t="str">
        <v xml:space="preserve">  IBB456</v>
      </c>
      <c r="T618" t="str">
        <v>ESPAÑA</v>
      </c>
      <c r="U618" t="str">
        <v/>
      </c>
      <c r="V618" t="str">
        <v>TFN</v>
      </c>
      <c r="W618" t="str">
        <v>07/02/2019</v>
      </c>
      <c r="X618">
        <v>72</v>
      </c>
      <c r="Y618" t="str">
        <v>Aerospatiale/Alenia ATR72</v>
      </c>
    </row>
    <row r="619" spans="1:25" x14ac:dyDescent="0.25">
      <c r="A619" t="s">
        <v>1436</v>
      </c>
      <c r="B619" t="s">
        <v>0</v>
      </c>
      <c r="C619" t="s">
        <v>258</v>
      </c>
      <c r="D619" t="s">
        <v>259</v>
      </c>
      <c r="E619" t="s">
        <v>22</v>
      </c>
      <c r="F619" s="5">
        <v>43512</v>
      </c>
      <c r="G619" s="5">
        <v>43554</v>
      </c>
      <c r="H619" s="6">
        <v>0.72569444444444453</v>
      </c>
      <c r="I619">
        <v>321</v>
      </c>
      <c r="J619" t="s">
        <v>434</v>
      </c>
      <c r="K619" t="s">
        <v>45</v>
      </c>
      <c r="M619" t="s">
        <v>80</v>
      </c>
      <c r="N619" t="str">
        <v>Destino</v>
      </c>
      <c r="O619" t="str">
        <v>LANZAROTE</v>
      </c>
      <c r="P619" t="str">
        <v>ACE</v>
      </c>
      <c r="Q619" t="str">
        <v>20:35:00</v>
      </c>
      <c r="R619" t="str">
        <v>AT7</v>
      </c>
      <c r="S619" t="str">
        <v xml:space="preserve">  IBB486</v>
      </c>
      <c r="T619" t="str">
        <v>ESPAÑA</v>
      </c>
      <c r="U619" t="str">
        <v/>
      </c>
      <c r="V619" t="str">
        <v>TFN</v>
      </c>
      <c r="W619" t="str">
        <v>08/02/2019</v>
      </c>
      <c r="X619">
        <v>72</v>
      </c>
      <c r="Y619" t="str">
        <v>Aerospatiale/Alenia ATR72</v>
      </c>
    </row>
    <row r="620" spans="1:25" x14ac:dyDescent="0.25">
      <c r="A620" t="s">
        <v>1436</v>
      </c>
      <c r="B620" t="s">
        <v>0</v>
      </c>
      <c r="C620" t="s">
        <v>258</v>
      </c>
      <c r="D620" t="s">
        <v>259</v>
      </c>
      <c r="E620" t="s">
        <v>59</v>
      </c>
      <c r="F620" s="5">
        <v>43507</v>
      </c>
      <c r="G620" s="5">
        <v>43549</v>
      </c>
      <c r="H620" s="6">
        <v>0.82291666666666663</v>
      </c>
      <c r="I620">
        <v>321</v>
      </c>
      <c r="J620" t="s">
        <v>434</v>
      </c>
      <c r="K620" t="s">
        <v>45</v>
      </c>
      <c r="M620" t="s">
        <v>80</v>
      </c>
      <c r="N620" t="str">
        <v>Destino</v>
      </c>
      <c r="O620" t="str">
        <v>LANZAROTE</v>
      </c>
      <c r="P620" t="str">
        <v>ACE</v>
      </c>
      <c r="Q620" t="str">
        <v>20:40:00</v>
      </c>
      <c r="R620" t="str">
        <v>AT7</v>
      </c>
      <c r="S620" t="str">
        <v xml:space="preserve">  IBB486</v>
      </c>
      <c r="T620" t="str">
        <v>ESPAÑA</v>
      </c>
      <c r="U620" t="str">
        <v/>
      </c>
      <c r="V620" t="str">
        <v>TFN</v>
      </c>
      <c r="W620" t="str">
        <v>10/02/2019</v>
      </c>
      <c r="X620">
        <v>72</v>
      </c>
      <c r="Y620" t="str">
        <v>Aerospatiale/Alenia ATR72</v>
      </c>
    </row>
    <row r="621" spans="1:25" x14ac:dyDescent="0.25">
      <c r="A621" t="s">
        <v>1436</v>
      </c>
      <c r="B621" t="s">
        <v>0</v>
      </c>
      <c r="C621" t="s">
        <v>701</v>
      </c>
      <c r="D621" t="s">
        <v>702</v>
      </c>
      <c r="E621" t="s">
        <v>22</v>
      </c>
      <c r="F621" s="5">
        <v>43407</v>
      </c>
      <c r="G621" s="5">
        <v>43526</v>
      </c>
      <c r="H621" s="6">
        <v>0.72222222222222221</v>
      </c>
      <c r="I621" t="s">
        <v>14</v>
      </c>
      <c r="J621" t="s">
        <v>1514</v>
      </c>
      <c r="K621" t="s">
        <v>488</v>
      </c>
      <c r="M621" t="s">
        <v>80</v>
      </c>
      <c r="N621" t="str">
        <v>Destino</v>
      </c>
      <c r="O621" t="str">
        <v>GRAN CANARIA</v>
      </c>
      <c r="P621" t="str">
        <v>LPA</v>
      </c>
      <c r="Q621" t="str">
        <v>07:00:00</v>
      </c>
      <c r="R621" t="str">
        <v>CRK</v>
      </c>
      <c r="S621" t="str">
        <v xml:space="preserve">  IBB106</v>
      </c>
      <c r="T621" t="str">
        <v>ESPAÑA</v>
      </c>
      <c r="U621" t="str">
        <v/>
      </c>
      <c r="V621" t="str">
        <v>TFN</v>
      </c>
      <c r="W621" t="str">
        <v>06/02/2019</v>
      </c>
      <c r="X621">
        <v>50</v>
      </c>
      <c r="Y621" t="str">
        <v>Canadair Regional Jet</v>
      </c>
    </row>
    <row r="622" spans="1:25" x14ac:dyDescent="0.25">
      <c r="A622" t="s">
        <v>1436</v>
      </c>
      <c r="B622" t="s">
        <v>0</v>
      </c>
      <c r="C622" t="s">
        <v>1160</v>
      </c>
      <c r="D622" t="s">
        <v>1161</v>
      </c>
      <c r="E622" t="s">
        <v>48</v>
      </c>
      <c r="F622" s="5">
        <v>43406</v>
      </c>
      <c r="G622" s="5">
        <v>43553</v>
      </c>
      <c r="H622" s="6">
        <v>0.58333333333333337</v>
      </c>
      <c r="I622" t="s">
        <v>331</v>
      </c>
      <c r="J622" t="s">
        <v>1515</v>
      </c>
      <c r="K622" t="s">
        <v>45</v>
      </c>
      <c r="M622" t="s">
        <v>80</v>
      </c>
      <c r="N622" t="str">
        <v>Destino</v>
      </c>
      <c r="O622" t="str">
        <v>GRAN CANARIA</v>
      </c>
      <c r="P622" t="str">
        <v>LPA</v>
      </c>
      <c r="Q622" t="str">
        <v>07:00:00</v>
      </c>
      <c r="R622" t="str">
        <v>CRK</v>
      </c>
      <c r="S622" t="str">
        <v xml:space="preserve">  IBB106</v>
      </c>
      <c r="T622" t="str">
        <v>ESPAÑA</v>
      </c>
      <c r="U622" t="str">
        <v/>
      </c>
      <c r="V622" t="str">
        <v>TFN</v>
      </c>
      <c r="W622" t="str">
        <v>08/02/2019</v>
      </c>
      <c r="X622">
        <v>50</v>
      </c>
      <c r="Y622" t="str">
        <v>Canadair Regional Jet</v>
      </c>
    </row>
    <row r="623" spans="1:25" x14ac:dyDescent="0.25">
      <c r="A623" t="s">
        <v>1436</v>
      </c>
      <c r="B623" t="s">
        <v>0</v>
      </c>
      <c r="C623" t="s">
        <v>264</v>
      </c>
      <c r="D623" t="s">
        <v>265</v>
      </c>
      <c r="E623" t="s">
        <v>22</v>
      </c>
      <c r="F623" s="5">
        <v>43407</v>
      </c>
      <c r="G623" s="5">
        <v>43554</v>
      </c>
      <c r="H623" s="6">
        <v>0.4201388888888889</v>
      </c>
      <c r="I623">
        <v>320</v>
      </c>
      <c r="J623" t="s">
        <v>435</v>
      </c>
      <c r="K623" t="s">
        <v>221</v>
      </c>
      <c r="M623" t="s">
        <v>80</v>
      </c>
      <c r="N623" t="str">
        <v>Destino</v>
      </c>
      <c r="O623" t="str">
        <v>GRAN CANARIA</v>
      </c>
      <c r="P623" t="str">
        <v>LPA</v>
      </c>
      <c r="Q623" t="str">
        <v>07:00:00</v>
      </c>
      <c r="R623" t="str">
        <v>CRK</v>
      </c>
      <c r="S623" t="str">
        <v xml:space="preserve">  IBB106</v>
      </c>
      <c r="T623" t="str">
        <v>ESPAÑA</v>
      </c>
      <c r="U623" t="str">
        <v/>
      </c>
      <c r="V623" t="str">
        <v>TFN</v>
      </c>
      <c r="W623" t="str">
        <v>04/02/2019</v>
      </c>
      <c r="X623">
        <v>50</v>
      </c>
      <c r="Y623" t="str">
        <v>Canadair Regional Jet</v>
      </c>
    </row>
    <row r="624" spans="1:25" x14ac:dyDescent="0.25">
      <c r="A624" t="s">
        <v>1436</v>
      </c>
      <c r="B624" t="s">
        <v>0</v>
      </c>
      <c r="C624" t="s">
        <v>264</v>
      </c>
      <c r="D624" t="s">
        <v>265</v>
      </c>
      <c r="E624" t="s">
        <v>18</v>
      </c>
      <c r="F624" s="5">
        <v>43506</v>
      </c>
      <c r="G624" s="5">
        <v>43513</v>
      </c>
      <c r="H624" s="6">
        <v>0.42708333333333331</v>
      </c>
      <c r="I624" t="s">
        <v>14</v>
      </c>
      <c r="J624" t="s">
        <v>436</v>
      </c>
      <c r="K624" t="s">
        <v>221</v>
      </c>
      <c r="M624" t="s">
        <v>80</v>
      </c>
      <c r="N624" t="str">
        <v>Destino</v>
      </c>
      <c r="O624" t="str">
        <v>GRAN CANARIA</v>
      </c>
      <c r="P624" t="str">
        <v>LPA</v>
      </c>
      <c r="Q624" t="str">
        <v>07:00:00</v>
      </c>
      <c r="R624" t="str">
        <v>CRK</v>
      </c>
      <c r="S624" t="str">
        <v xml:space="preserve">  IBB106</v>
      </c>
      <c r="T624" t="str">
        <v>ESPAÑA</v>
      </c>
      <c r="U624" t="str">
        <v/>
      </c>
      <c r="V624" t="str">
        <v>TFN</v>
      </c>
      <c r="W624" t="str">
        <v>07/02/2019</v>
      </c>
      <c r="X624">
        <v>50</v>
      </c>
      <c r="Y624" t="str">
        <v>Canadair Regional Jet</v>
      </c>
    </row>
    <row r="625" spans="1:25" x14ac:dyDescent="0.25">
      <c r="A625" t="s">
        <v>1436</v>
      </c>
      <c r="B625" t="s">
        <v>0</v>
      </c>
      <c r="C625" t="s">
        <v>264</v>
      </c>
      <c r="D625" t="s">
        <v>265</v>
      </c>
      <c r="E625" t="s">
        <v>19</v>
      </c>
      <c r="F625" s="5">
        <v>43466</v>
      </c>
      <c r="G625" s="5">
        <v>43550</v>
      </c>
      <c r="H625" s="6">
        <v>0.49305555555555558</v>
      </c>
      <c r="I625">
        <v>320</v>
      </c>
      <c r="J625" t="s">
        <v>1516</v>
      </c>
      <c r="K625" t="s">
        <v>221</v>
      </c>
      <c r="M625" t="s">
        <v>80</v>
      </c>
      <c r="N625" t="str">
        <v>Destino</v>
      </c>
      <c r="O625" t="str">
        <v>GRAN CANARIA</v>
      </c>
      <c r="P625" t="str">
        <v>LPA</v>
      </c>
      <c r="Q625" t="str">
        <v>07:00:00</v>
      </c>
      <c r="R625" t="str">
        <v>CRK</v>
      </c>
      <c r="S625" t="str">
        <v xml:space="preserve">  IBB106</v>
      </c>
      <c r="T625" t="str">
        <v>ESPAÑA</v>
      </c>
      <c r="U625" t="str">
        <v/>
      </c>
      <c r="V625" t="str">
        <v>TFN</v>
      </c>
      <c r="W625" t="str">
        <v>05/02/2019</v>
      </c>
      <c r="X625">
        <v>50</v>
      </c>
      <c r="Y625" t="str">
        <v>Canadair Regional Jet</v>
      </c>
    </row>
    <row r="626" spans="1:25" x14ac:dyDescent="0.25">
      <c r="A626" t="s">
        <v>1436</v>
      </c>
      <c r="B626" t="s">
        <v>0</v>
      </c>
      <c r="C626" t="s">
        <v>264</v>
      </c>
      <c r="D626" t="s">
        <v>265</v>
      </c>
      <c r="E626" t="s">
        <v>22</v>
      </c>
      <c r="F626" s="5">
        <v>43407</v>
      </c>
      <c r="G626" s="5">
        <v>43547</v>
      </c>
      <c r="H626" s="6">
        <v>0.67013888888888884</v>
      </c>
      <c r="I626">
        <v>320</v>
      </c>
      <c r="J626" t="s">
        <v>1516</v>
      </c>
      <c r="K626" t="s">
        <v>221</v>
      </c>
      <c r="M626" t="s">
        <v>80</v>
      </c>
      <c r="N626" t="str">
        <v>Destino</v>
      </c>
      <c r="O626" t="str">
        <v>GRAN CANARIA</v>
      </c>
      <c r="P626" t="str">
        <v>LPA</v>
      </c>
      <c r="Q626" t="str">
        <v>08:00:00</v>
      </c>
      <c r="R626" t="str">
        <v>CRK</v>
      </c>
      <c r="S626" t="str">
        <v xml:space="preserve">  IBB102</v>
      </c>
      <c r="T626" t="str">
        <v>ESPAÑA</v>
      </c>
      <c r="U626" t="str">
        <v/>
      </c>
      <c r="V626" t="str">
        <v>TFN</v>
      </c>
      <c r="W626" t="str">
        <v>06/02/2019</v>
      </c>
      <c r="X626">
        <v>50</v>
      </c>
      <c r="Y626" t="str">
        <v>Canadair Regional Jet</v>
      </c>
    </row>
    <row r="627" spans="1:25" x14ac:dyDescent="0.25">
      <c r="A627" t="s">
        <v>1436</v>
      </c>
      <c r="B627" t="s">
        <v>0</v>
      </c>
      <c r="C627" t="s">
        <v>264</v>
      </c>
      <c r="D627" t="s">
        <v>265</v>
      </c>
      <c r="E627" t="s">
        <v>22</v>
      </c>
      <c r="F627" s="5">
        <v>43414</v>
      </c>
      <c r="G627" s="5">
        <v>43554</v>
      </c>
      <c r="H627" s="6">
        <v>0.84722222222222221</v>
      </c>
      <c r="I627" t="s">
        <v>14</v>
      </c>
      <c r="J627" t="s">
        <v>1517</v>
      </c>
      <c r="K627" t="s">
        <v>221</v>
      </c>
      <c r="M627" t="s">
        <v>80</v>
      </c>
      <c r="N627" t="str">
        <v>Destino</v>
      </c>
      <c r="O627" t="str">
        <v>GRAN CANARIA</v>
      </c>
      <c r="P627" t="str">
        <v>LPA</v>
      </c>
      <c r="Q627" t="str">
        <v>08:00:00</v>
      </c>
      <c r="R627" t="str">
        <v>CRK</v>
      </c>
      <c r="S627" t="str">
        <v xml:space="preserve">  IBB102</v>
      </c>
      <c r="T627" t="str">
        <v>ESPAÑA</v>
      </c>
      <c r="U627" t="str">
        <v/>
      </c>
      <c r="V627" t="str">
        <v>TFN</v>
      </c>
      <c r="W627" t="str">
        <v>09/02/2019</v>
      </c>
      <c r="X627">
        <v>50</v>
      </c>
      <c r="Y627" t="str">
        <v>Canadair Regional Jet</v>
      </c>
    </row>
    <row r="628" spans="1:25" x14ac:dyDescent="0.25">
      <c r="A628" t="s">
        <v>1436</v>
      </c>
      <c r="B628" t="s">
        <v>0</v>
      </c>
      <c r="C628" t="s">
        <v>437</v>
      </c>
      <c r="D628" t="s">
        <v>438</v>
      </c>
      <c r="E628" t="s">
        <v>48</v>
      </c>
      <c r="F628" s="5">
        <v>43406</v>
      </c>
      <c r="G628" s="5">
        <v>43553</v>
      </c>
      <c r="H628" s="6">
        <v>0.73611111111111116</v>
      </c>
      <c r="I628" t="s">
        <v>14</v>
      </c>
      <c r="J628" t="s">
        <v>439</v>
      </c>
      <c r="K628" t="s">
        <v>66</v>
      </c>
      <c r="M628" t="s">
        <v>80</v>
      </c>
      <c r="N628" t="str">
        <v>Destino</v>
      </c>
      <c r="O628" t="str">
        <v>GRAN CANARIA</v>
      </c>
      <c r="P628" t="str">
        <v>LPA</v>
      </c>
      <c r="Q628" t="str">
        <v>08:00:00</v>
      </c>
      <c r="R628" t="str">
        <v>CRK</v>
      </c>
      <c r="S628" t="str">
        <v xml:space="preserve">  IBB102</v>
      </c>
      <c r="T628" t="str">
        <v>ESPAÑA</v>
      </c>
      <c r="U628" t="str">
        <v/>
      </c>
      <c r="V628" t="str">
        <v>TFN</v>
      </c>
      <c r="W628" t="str">
        <v>04/02/2019</v>
      </c>
      <c r="X628">
        <v>50</v>
      </c>
      <c r="Y628" t="str">
        <v>Canadair Regional Jet</v>
      </c>
    </row>
    <row r="629" spans="1:25" x14ac:dyDescent="0.25">
      <c r="A629" t="s">
        <v>1436</v>
      </c>
      <c r="B629" t="s">
        <v>0</v>
      </c>
      <c r="C629" t="s">
        <v>437</v>
      </c>
      <c r="D629" t="s">
        <v>438</v>
      </c>
      <c r="E629" t="s">
        <v>59</v>
      </c>
      <c r="F629" s="5">
        <v>43472</v>
      </c>
      <c r="G629" s="5">
        <v>43549</v>
      </c>
      <c r="H629" s="6">
        <v>0.77430555555555547</v>
      </c>
      <c r="I629" t="s">
        <v>14</v>
      </c>
      <c r="J629" t="s">
        <v>439</v>
      </c>
      <c r="K629" t="s">
        <v>66</v>
      </c>
      <c r="M629" t="s">
        <v>80</v>
      </c>
      <c r="N629" t="str">
        <v>Destino</v>
      </c>
      <c r="O629" t="str">
        <v>GRAN CANARIA</v>
      </c>
      <c r="P629" t="str">
        <v>LPA</v>
      </c>
      <c r="Q629" t="str">
        <v>08:00:00</v>
      </c>
      <c r="R629" t="str">
        <v>CRK</v>
      </c>
      <c r="S629" t="str">
        <v xml:space="preserve">  IBB102</v>
      </c>
      <c r="T629" t="str">
        <v>ESPAÑA</v>
      </c>
      <c r="U629" t="str">
        <v/>
      </c>
      <c r="V629" t="str">
        <v>TFN</v>
      </c>
      <c r="W629" t="str">
        <v>08/02/2019</v>
      </c>
      <c r="X629">
        <v>50</v>
      </c>
      <c r="Y629" t="str">
        <v>Canadair Regional Jet</v>
      </c>
    </row>
    <row r="630" spans="1:25" x14ac:dyDescent="0.25">
      <c r="A630" t="s">
        <v>1436</v>
      </c>
      <c r="B630" t="s">
        <v>0</v>
      </c>
      <c r="C630" t="s">
        <v>266</v>
      </c>
      <c r="D630" t="s">
        <v>267</v>
      </c>
      <c r="E630" t="s">
        <v>59</v>
      </c>
      <c r="F630" s="5">
        <v>43423</v>
      </c>
      <c r="G630" s="5">
        <v>43549</v>
      </c>
      <c r="H630" s="6">
        <v>0.60416666666666663</v>
      </c>
      <c r="I630">
        <v>738</v>
      </c>
      <c r="J630" t="s">
        <v>1518</v>
      </c>
      <c r="K630" t="s">
        <v>129</v>
      </c>
      <c r="M630" t="s">
        <v>80</v>
      </c>
      <c r="N630" t="str">
        <v>Destino</v>
      </c>
      <c r="O630" t="str">
        <v>GRAN CANARIA</v>
      </c>
      <c r="P630" t="str">
        <v>LPA</v>
      </c>
      <c r="Q630" t="str">
        <v>08:00:00</v>
      </c>
      <c r="R630" t="str">
        <v>CRK</v>
      </c>
      <c r="S630" t="str">
        <v xml:space="preserve">  IBB102</v>
      </c>
      <c r="T630" t="str">
        <v>ESPAÑA</v>
      </c>
      <c r="U630" t="str">
        <v/>
      </c>
      <c r="V630" t="str">
        <v>TFN</v>
      </c>
      <c r="W630" t="str">
        <v>10/02/2019</v>
      </c>
      <c r="X630">
        <v>50</v>
      </c>
      <c r="Y630" t="str">
        <v>Canadair Regional Jet</v>
      </c>
    </row>
    <row r="631" spans="1:25" x14ac:dyDescent="0.25">
      <c r="A631" t="s">
        <v>1436</v>
      </c>
      <c r="B631" t="s">
        <v>0</v>
      </c>
      <c r="C631" t="s">
        <v>268</v>
      </c>
      <c r="D631" t="s">
        <v>269</v>
      </c>
      <c r="E631" t="s">
        <v>13</v>
      </c>
      <c r="F631" s="5">
        <v>43447</v>
      </c>
      <c r="G631" s="5">
        <v>43552</v>
      </c>
      <c r="H631" s="6">
        <v>0.68402777777777779</v>
      </c>
      <c r="I631" t="s">
        <v>440</v>
      </c>
      <c r="J631" t="s">
        <v>441</v>
      </c>
      <c r="K631" t="s">
        <v>270</v>
      </c>
      <c r="M631" t="s">
        <v>80</v>
      </c>
      <c r="N631" t="str">
        <v>Destino</v>
      </c>
      <c r="O631" t="str">
        <v>GRAN CANARIA</v>
      </c>
      <c r="P631" t="str">
        <v>LPA</v>
      </c>
      <c r="Q631" t="str">
        <v>08:00:00</v>
      </c>
      <c r="R631" t="str">
        <v>CRK</v>
      </c>
      <c r="S631" t="str">
        <v xml:space="preserve">  IBB102</v>
      </c>
      <c r="T631" t="str">
        <v>ESPAÑA</v>
      </c>
      <c r="U631" t="str">
        <v/>
      </c>
      <c r="V631" t="str">
        <v>TFN</v>
      </c>
      <c r="W631" t="str">
        <v>05/02/2019</v>
      </c>
      <c r="X631">
        <v>50</v>
      </c>
      <c r="Y631" t="str">
        <v>Canadair Regional Jet</v>
      </c>
    </row>
    <row r="632" spans="1:25" x14ac:dyDescent="0.25">
      <c r="A632" t="s">
        <v>1436</v>
      </c>
      <c r="B632" t="s">
        <v>0</v>
      </c>
      <c r="C632" t="s">
        <v>271</v>
      </c>
      <c r="D632" t="s">
        <v>272</v>
      </c>
      <c r="E632" t="s">
        <v>22</v>
      </c>
      <c r="F632" s="5">
        <v>43407</v>
      </c>
      <c r="G632" s="5">
        <v>43554</v>
      </c>
      <c r="H632" s="6">
        <v>0.46180555555555558</v>
      </c>
      <c r="I632">
        <v>320</v>
      </c>
      <c r="J632" t="s">
        <v>442</v>
      </c>
      <c r="K632" t="s">
        <v>66</v>
      </c>
      <c r="M632" t="s">
        <v>80</v>
      </c>
      <c r="N632" t="str">
        <v>Destino</v>
      </c>
      <c r="O632" t="str">
        <v>GRAN CANARIA</v>
      </c>
      <c r="P632" t="str">
        <v>LPA</v>
      </c>
      <c r="Q632" t="str">
        <v>08:00:00</v>
      </c>
      <c r="R632" t="str">
        <v>CRK</v>
      </c>
      <c r="S632" t="str">
        <v xml:space="preserve">  IBB102</v>
      </c>
      <c r="T632" t="str">
        <v>ESPAÑA</v>
      </c>
      <c r="U632" t="str">
        <v/>
      </c>
      <c r="V632" t="str">
        <v>TFN</v>
      </c>
      <c r="W632" t="str">
        <v>07/02/2019</v>
      </c>
      <c r="X632">
        <v>50</v>
      </c>
      <c r="Y632" t="str">
        <v>Canadair Regional Jet</v>
      </c>
    </row>
    <row r="633" spans="1:25" x14ac:dyDescent="0.25">
      <c r="A633" t="s">
        <v>1436</v>
      </c>
      <c r="B633" t="s">
        <v>0</v>
      </c>
      <c r="C633" t="s">
        <v>1519</v>
      </c>
      <c r="D633" t="s">
        <v>1520</v>
      </c>
      <c r="E633" t="s">
        <v>22</v>
      </c>
      <c r="F633" s="5">
        <v>43498</v>
      </c>
      <c r="G633" s="5">
        <v>43526</v>
      </c>
      <c r="H633" s="6">
        <v>0.625</v>
      </c>
      <c r="I633">
        <v>319</v>
      </c>
      <c r="J633" t="s">
        <v>1521</v>
      </c>
      <c r="K633" t="s">
        <v>45</v>
      </c>
      <c r="M633" t="s">
        <v>80</v>
      </c>
      <c r="N633" t="str">
        <v>Destino</v>
      </c>
      <c r="O633" t="str">
        <v>GRAN CANARIA</v>
      </c>
      <c r="P633" t="str">
        <v>LPA</v>
      </c>
      <c r="Q633" t="str">
        <v>09:00:00</v>
      </c>
      <c r="R633" t="str">
        <v>CRK</v>
      </c>
      <c r="S633" t="str">
        <v xml:space="preserve">  IBB108</v>
      </c>
      <c r="T633" t="str">
        <v>ESPAÑA</v>
      </c>
      <c r="U633" t="str">
        <v/>
      </c>
      <c r="V633" t="str">
        <v>TFN</v>
      </c>
      <c r="W633" t="str">
        <v>08/02/2019</v>
      </c>
      <c r="X633">
        <v>50</v>
      </c>
      <c r="Y633" t="str">
        <v>Canadair Regional Jet</v>
      </c>
    </row>
    <row r="634" spans="1:25" x14ac:dyDescent="0.25">
      <c r="A634" t="s">
        <v>1436</v>
      </c>
      <c r="B634" t="s">
        <v>0</v>
      </c>
      <c r="C634" t="s">
        <v>1522</v>
      </c>
      <c r="D634" t="s">
        <v>1523</v>
      </c>
      <c r="E634" t="s">
        <v>59</v>
      </c>
      <c r="F634" s="5">
        <v>43402</v>
      </c>
      <c r="G634" s="5">
        <v>43549</v>
      </c>
      <c r="H634" s="6">
        <v>0.63888888888888895</v>
      </c>
      <c r="I634" t="s">
        <v>352</v>
      </c>
      <c r="J634" t="s">
        <v>1524</v>
      </c>
      <c r="K634" t="s">
        <v>460</v>
      </c>
      <c r="M634" t="s">
        <v>80</v>
      </c>
      <c r="N634" t="str">
        <v>Destino</v>
      </c>
      <c r="O634" t="str">
        <v>GRAN CANARIA</v>
      </c>
      <c r="P634" t="str">
        <v>LPA</v>
      </c>
      <c r="Q634" t="str">
        <v>09:00:00</v>
      </c>
      <c r="R634" t="str">
        <v>CRK</v>
      </c>
      <c r="S634" t="str">
        <v xml:space="preserve">  IBB108</v>
      </c>
      <c r="T634" t="str">
        <v>ESPAÑA</v>
      </c>
      <c r="U634" t="str">
        <v/>
      </c>
      <c r="V634" t="str">
        <v>TFN</v>
      </c>
      <c r="W634" t="str">
        <v>09/02/2019</v>
      </c>
      <c r="X634">
        <v>50</v>
      </c>
      <c r="Y634" t="str">
        <v>Canadair Regional Jet</v>
      </c>
    </row>
    <row r="635" spans="1:25" x14ac:dyDescent="0.25">
      <c r="A635" t="s">
        <v>1436</v>
      </c>
      <c r="B635" t="s">
        <v>0</v>
      </c>
      <c r="C635" t="s">
        <v>278</v>
      </c>
      <c r="D635" t="s">
        <v>279</v>
      </c>
      <c r="E635" t="s">
        <v>22</v>
      </c>
      <c r="F635" s="5">
        <v>43463</v>
      </c>
      <c r="G635" s="5">
        <v>43554</v>
      </c>
      <c r="H635" s="6">
        <v>0.43055555555555558</v>
      </c>
      <c r="I635">
        <v>320</v>
      </c>
      <c r="J635" t="s">
        <v>443</v>
      </c>
      <c r="K635" t="s">
        <v>25</v>
      </c>
      <c r="M635" t="s">
        <v>80</v>
      </c>
      <c r="N635" t="str">
        <v>Destino</v>
      </c>
      <c r="O635" t="str">
        <v>GRAN CANARIA</v>
      </c>
      <c r="P635" t="str">
        <v>LPA</v>
      </c>
      <c r="Q635" t="str">
        <v>09:00:00</v>
      </c>
      <c r="R635" t="str">
        <v>CRK</v>
      </c>
      <c r="S635" t="str">
        <v xml:space="preserve">  IBB108</v>
      </c>
      <c r="T635" t="str">
        <v>ESPAÑA</v>
      </c>
      <c r="U635" t="str">
        <v/>
      </c>
      <c r="V635" t="str">
        <v>TFN</v>
      </c>
      <c r="W635" t="str">
        <v>05/02/2019</v>
      </c>
      <c r="X635">
        <v>50</v>
      </c>
      <c r="Y635" t="str">
        <v>Canadair Regional Jet</v>
      </c>
    </row>
    <row r="636" spans="1:25" x14ac:dyDescent="0.25">
      <c r="A636" t="s">
        <v>1436</v>
      </c>
      <c r="B636" t="s">
        <v>0</v>
      </c>
      <c r="C636" t="s">
        <v>282</v>
      </c>
      <c r="D636" t="s">
        <v>283</v>
      </c>
      <c r="E636" t="s">
        <v>18</v>
      </c>
      <c r="F636" s="5">
        <v>43401</v>
      </c>
      <c r="G636" s="5">
        <v>43548</v>
      </c>
      <c r="H636" s="6">
        <v>0.36805555555555558</v>
      </c>
      <c r="I636" t="s">
        <v>14</v>
      </c>
      <c r="J636" t="s">
        <v>1525</v>
      </c>
      <c r="K636" t="s">
        <v>25</v>
      </c>
      <c r="M636" t="s">
        <v>80</v>
      </c>
      <c r="N636" t="str">
        <v>Destino</v>
      </c>
      <c r="O636" t="str">
        <v>GRAN CANARIA</v>
      </c>
      <c r="P636" t="str">
        <v>LPA</v>
      </c>
      <c r="Q636" t="str">
        <v>09:00:00</v>
      </c>
      <c r="R636" t="str">
        <v>CRK</v>
      </c>
      <c r="S636" t="str">
        <v xml:space="preserve">  IBB108</v>
      </c>
      <c r="T636" t="str">
        <v>ESPAÑA</v>
      </c>
      <c r="U636" t="str">
        <v/>
      </c>
      <c r="V636" t="str">
        <v>TFN</v>
      </c>
      <c r="W636" t="str">
        <v>06/02/2019</v>
      </c>
      <c r="X636">
        <v>50</v>
      </c>
      <c r="Y636" t="str">
        <v>Canadair Regional Jet</v>
      </c>
    </row>
    <row r="637" spans="1:25" x14ac:dyDescent="0.25">
      <c r="A637" t="s">
        <v>1436</v>
      </c>
      <c r="B637" t="s">
        <v>0</v>
      </c>
      <c r="C637" t="s">
        <v>282</v>
      </c>
      <c r="D637" t="s">
        <v>283</v>
      </c>
      <c r="E637" t="s">
        <v>22</v>
      </c>
      <c r="F637" s="5">
        <v>43449</v>
      </c>
      <c r="G637" s="5">
        <v>43554</v>
      </c>
      <c r="H637" s="6">
        <v>0.53472222222222221</v>
      </c>
      <c r="I637">
        <v>320</v>
      </c>
      <c r="J637" t="s">
        <v>444</v>
      </c>
      <c r="K637" t="s">
        <v>25</v>
      </c>
      <c r="M637" t="s">
        <v>80</v>
      </c>
      <c r="N637" t="str">
        <v>Destino</v>
      </c>
      <c r="O637" t="str">
        <v>GRAN CANARIA</v>
      </c>
      <c r="P637" t="str">
        <v>LPA</v>
      </c>
      <c r="Q637" t="str">
        <v>09:00:00</v>
      </c>
      <c r="R637" t="str">
        <v>CRK</v>
      </c>
      <c r="S637" t="str">
        <v xml:space="preserve">  IBB108</v>
      </c>
      <c r="T637" t="str">
        <v>ESPAÑA</v>
      </c>
      <c r="U637" t="str">
        <v/>
      </c>
      <c r="V637" t="str">
        <v>TFN</v>
      </c>
      <c r="W637" t="str">
        <v>04/02/2019</v>
      </c>
      <c r="X637">
        <v>50</v>
      </c>
      <c r="Y637" t="str">
        <v>Canadair Regional Jet</v>
      </c>
    </row>
    <row r="638" spans="1:25" x14ac:dyDescent="0.25">
      <c r="A638" t="s">
        <v>1436</v>
      </c>
      <c r="B638" t="s">
        <v>0</v>
      </c>
      <c r="C638" t="s">
        <v>282</v>
      </c>
      <c r="D638" t="s">
        <v>283</v>
      </c>
      <c r="E638" t="s">
        <v>13</v>
      </c>
      <c r="F638" s="5">
        <v>43405</v>
      </c>
      <c r="G638" s="5">
        <v>43552</v>
      </c>
      <c r="H638" s="6">
        <v>0.67013888888888884</v>
      </c>
      <c r="I638" t="s">
        <v>14</v>
      </c>
      <c r="J638" t="s">
        <v>1525</v>
      </c>
      <c r="K638" t="s">
        <v>25</v>
      </c>
      <c r="M638" t="s">
        <v>80</v>
      </c>
      <c r="N638" t="str">
        <v>Destino</v>
      </c>
      <c r="O638" t="str">
        <v>GRAN CANARIA</v>
      </c>
      <c r="P638" t="str">
        <v>LPA</v>
      </c>
      <c r="Q638" t="str">
        <v>09:00:00</v>
      </c>
      <c r="R638" t="str">
        <v>CRK</v>
      </c>
      <c r="S638" t="str">
        <v xml:space="preserve">  IBB108</v>
      </c>
      <c r="T638" t="str">
        <v>ESPAÑA</v>
      </c>
      <c r="U638" t="str">
        <v/>
      </c>
      <c r="V638" t="str">
        <v>TFN</v>
      </c>
      <c r="W638" t="str">
        <v>07/02/2019</v>
      </c>
      <c r="X638">
        <v>50</v>
      </c>
      <c r="Y638" t="str">
        <v>Canadair Regional Jet</v>
      </c>
    </row>
    <row r="639" spans="1:25" x14ac:dyDescent="0.25">
      <c r="A639" t="s">
        <v>1436</v>
      </c>
      <c r="B639" t="s">
        <v>0</v>
      </c>
      <c r="C639" t="s">
        <v>286</v>
      </c>
      <c r="D639" t="s">
        <v>287</v>
      </c>
      <c r="E639" t="s">
        <v>18</v>
      </c>
      <c r="F639" s="5">
        <v>43401</v>
      </c>
      <c r="G639" s="5">
        <v>43548</v>
      </c>
      <c r="H639" s="6">
        <v>0.46180555555555558</v>
      </c>
      <c r="I639" t="s">
        <v>14</v>
      </c>
      <c r="J639" t="s">
        <v>1526</v>
      </c>
      <c r="K639" t="s">
        <v>93</v>
      </c>
      <c r="M639" t="s">
        <v>80</v>
      </c>
      <c r="N639" t="str">
        <v>Destino</v>
      </c>
      <c r="O639" t="str">
        <v>GRAN CANARIA</v>
      </c>
      <c r="P639" t="str">
        <v>LPA</v>
      </c>
      <c r="Q639" t="str">
        <v>10:00:00</v>
      </c>
      <c r="R639" t="str">
        <v>CRK</v>
      </c>
      <c r="S639" t="str">
        <v xml:space="preserve">  IBB120</v>
      </c>
      <c r="T639" t="str">
        <v>ESPAÑA</v>
      </c>
      <c r="U639" t="str">
        <v/>
      </c>
      <c r="V639" t="str">
        <v>TFN</v>
      </c>
      <c r="W639" t="str">
        <v>06/02/2019</v>
      </c>
      <c r="X639">
        <v>50</v>
      </c>
      <c r="Y639" t="str">
        <v>Canadair Regional Jet</v>
      </c>
    </row>
    <row r="640" spans="1:25" x14ac:dyDescent="0.25">
      <c r="A640" t="s">
        <v>1436</v>
      </c>
      <c r="B640" t="s">
        <v>0</v>
      </c>
      <c r="C640" t="s">
        <v>289</v>
      </c>
      <c r="D640" t="s">
        <v>290</v>
      </c>
      <c r="E640" t="s">
        <v>22</v>
      </c>
      <c r="F640" s="5">
        <v>43407</v>
      </c>
      <c r="G640" s="5">
        <v>43554</v>
      </c>
      <c r="H640" s="6">
        <v>0.43055555555555558</v>
      </c>
      <c r="I640">
        <v>320</v>
      </c>
      <c r="J640" t="s">
        <v>446</v>
      </c>
      <c r="K640" t="s">
        <v>45</v>
      </c>
      <c r="M640" t="s">
        <v>80</v>
      </c>
      <c r="N640" t="str">
        <v>Destino</v>
      </c>
      <c r="O640" t="str">
        <v>GRAN CANARIA</v>
      </c>
      <c r="P640" t="str">
        <v>LPA</v>
      </c>
      <c r="Q640" t="str">
        <v>10:00:00</v>
      </c>
      <c r="R640" t="str">
        <v>CRK</v>
      </c>
      <c r="S640" t="str">
        <v xml:space="preserve">  IBB120</v>
      </c>
      <c r="T640" t="str">
        <v>ESPAÑA</v>
      </c>
      <c r="U640" t="str">
        <v/>
      </c>
      <c r="V640" t="str">
        <v>TFN</v>
      </c>
      <c r="W640" t="str">
        <v>08/02/2019</v>
      </c>
      <c r="X640">
        <v>50</v>
      </c>
      <c r="Y640" t="str">
        <v>Canadair Regional Jet</v>
      </c>
    </row>
    <row r="641" spans="1:25" x14ac:dyDescent="0.25">
      <c r="A641" t="s">
        <v>1436</v>
      </c>
      <c r="B641" t="s">
        <v>0</v>
      </c>
      <c r="C641" t="s">
        <v>289</v>
      </c>
      <c r="D641" t="s">
        <v>290</v>
      </c>
      <c r="E641" t="s">
        <v>59</v>
      </c>
      <c r="F641" s="5">
        <v>43500</v>
      </c>
      <c r="G641" s="5">
        <v>43521</v>
      </c>
      <c r="H641" s="6">
        <v>0.68402777777777779</v>
      </c>
      <c r="I641" t="s">
        <v>106</v>
      </c>
      <c r="J641" t="s">
        <v>1922</v>
      </c>
      <c r="K641" t="s">
        <v>45</v>
      </c>
      <c r="L641" t="s">
        <v>138</v>
      </c>
      <c r="M641" t="s">
        <v>80</v>
      </c>
      <c r="N641" t="str">
        <v>Destino</v>
      </c>
      <c r="O641" t="str">
        <v>GRAN CANARIA</v>
      </c>
      <c r="P641" t="str">
        <v>LPA</v>
      </c>
      <c r="Q641" t="str">
        <v>10:00:00</v>
      </c>
      <c r="R641" t="str">
        <v>CRK</v>
      </c>
      <c r="S641" t="str">
        <v xml:space="preserve">  IBB120</v>
      </c>
      <c r="T641" t="str">
        <v>ESPAÑA</v>
      </c>
      <c r="U641" t="str">
        <v/>
      </c>
      <c r="V641" t="str">
        <v>TFN</v>
      </c>
      <c r="W641" t="str">
        <v>04/02/2019</v>
      </c>
      <c r="X641">
        <v>50</v>
      </c>
      <c r="Y641" t="str">
        <v>Canadair Regional Jet</v>
      </c>
    </row>
    <row r="642" spans="1:25" x14ac:dyDescent="0.25">
      <c r="A642" t="s">
        <v>1436</v>
      </c>
      <c r="B642" t="s">
        <v>0</v>
      </c>
      <c r="C642" t="s">
        <v>289</v>
      </c>
      <c r="D642" t="s">
        <v>290</v>
      </c>
      <c r="E642" t="s">
        <v>22</v>
      </c>
      <c r="F642" s="5">
        <v>43512</v>
      </c>
      <c r="G642" s="5">
        <v>43512</v>
      </c>
      <c r="H642" s="6">
        <v>0.70833333333333337</v>
      </c>
      <c r="I642" t="s">
        <v>106</v>
      </c>
      <c r="J642" t="s">
        <v>1923</v>
      </c>
      <c r="K642" t="s">
        <v>45</v>
      </c>
      <c r="M642" t="s">
        <v>80</v>
      </c>
      <c r="N642" t="str">
        <v>Destino</v>
      </c>
      <c r="O642" t="str">
        <v>GRAN CANARIA</v>
      </c>
      <c r="P642" t="str">
        <v>LPA</v>
      </c>
      <c r="Q642" t="str">
        <v>10:00:00</v>
      </c>
      <c r="R642" t="str">
        <v>CRK</v>
      </c>
      <c r="S642" t="str">
        <v xml:space="preserve">  IBB120</v>
      </c>
      <c r="T642" t="str">
        <v>ESPAÑA</v>
      </c>
      <c r="U642" t="str">
        <v/>
      </c>
      <c r="V642" t="str">
        <v>TFN</v>
      </c>
      <c r="W642" t="str">
        <v>10/02/2019</v>
      </c>
      <c r="X642">
        <v>50</v>
      </c>
      <c r="Y642" t="str">
        <v>Canadair Regional Jet</v>
      </c>
    </row>
    <row r="643" spans="1:25" x14ac:dyDescent="0.25">
      <c r="A643" t="s">
        <v>1436</v>
      </c>
      <c r="B643" t="s">
        <v>0</v>
      </c>
      <c r="C643" t="s">
        <v>289</v>
      </c>
      <c r="D643" t="s">
        <v>290</v>
      </c>
      <c r="E643" t="s">
        <v>13</v>
      </c>
      <c r="F643" s="5">
        <v>43503</v>
      </c>
      <c r="G643" s="5">
        <v>43524</v>
      </c>
      <c r="H643" s="6">
        <v>0.75694444444444453</v>
      </c>
      <c r="I643" t="s">
        <v>106</v>
      </c>
      <c r="J643" t="s">
        <v>1923</v>
      </c>
      <c r="K643" t="s">
        <v>45</v>
      </c>
      <c r="M643" t="s">
        <v>80</v>
      </c>
      <c r="N643" t="str">
        <v>Destino</v>
      </c>
      <c r="O643" t="str">
        <v>GRAN CANARIA</v>
      </c>
      <c r="P643" t="str">
        <v>LPA</v>
      </c>
      <c r="Q643" t="str">
        <v>10:00:00</v>
      </c>
      <c r="R643" t="str">
        <v>CRK</v>
      </c>
      <c r="S643" t="str">
        <v xml:space="preserve">  IBB120</v>
      </c>
      <c r="T643" t="str">
        <v>ESPAÑA</v>
      </c>
      <c r="U643" t="str">
        <v/>
      </c>
      <c r="V643" t="str">
        <v>TFN</v>
      </c>
      <c r="W643" t="str">
        <v>07/02/2019</v>
      </c>
      <c r="X643">
        <v>50</v>
      </c>
      <c r="Y643" t="str">
        <v>Canadair Regional Jet</v>
      </c>
    </row>
    <row r="644" spans="1:25" x14ac:dyDescent="0.25">
      <c r="A644" t="s">
        <v>1436</v>
      </c>
      <c r="B644" t="s">
        <v>0</v>
      </c>
      <c r="C644" t="s">
        <v>292</v>
      </c>
      <c r="D644" t="s">
        <v>293</v>
      </c>
      <c r="E644" t="s">
        <v>18</v>
      </c>
      <c r="F644" s="5">
        <v>43401</v>
      </c>
      <c r="G644" s="5">
        <v>43548</v>
      </c>
      <c r="H644" s="6">
        <v>0.34722222222222227</v>
      </c>
      <c r="I644" t="s">
        <v>139</v>
      </c>
      <c r="J644" t="s">
        <v>447</v>
      </c>
      <c r="K644" t="s">
        <v>25</v>
      </c>
      <c r="M644" t="s">
        <v>80</v>
      </c>
      <c r="N644" t="str">
        <v>Destino</v>
      </c>
      <c r="O644" t="str">
        <v>GRAN CANARIA</v>
      </c>
      <c r="P644" t="str">
        <v>LPA</v>
      </c>
      <c r="Q644" t="str">
        <v>10:00:00</v>
      </c>
      <c r="R644" t="str">
        <v>CRK</v>
      </c>
      <c r="S644" t="str">
        <v xml:space="preserve">  IBB120</v>
      </c>
      <c r="T644" t="str">
        <v>ESPAÑA</v>
      </c>
      <c r="U644" t="str">
        <v/>
      </c>
      <c r="V644" t="str">
        <v>TFN</v>
      </c>
      <c r="W644" t="str">
        <v>05/02/2019</v>
      </c>
      <c r="X644">
        <v>50</v>
      </c>
      <c r="Y644" t="str">
        <v>Canadair Regional Jet</v>
      </c>
    </row>
    <row r="645" spans="1:25" x14ac:dyDescent="0.25">
      <c r="A645" t="s">
        <v>1436</v>
      </c>
      <c r="B645" t="s">
        <v>0</v>
      </c>
      <c r="C645" t="s">
        <v>292</v>
      </c>
      <c r="D645" t="s">
        <v>293</v>
      </c>
      <c r="E645" t="s">
        <v>22</v>
      </c>
      <c r="F645" s="5">
        <v>43407</v>
      </c>
      <c r="G645" s="5">
        <v>43554</v>
      </c>
      <c r="H645" s="6">
        <v>0.35069444444444442</v>
      </c>
      <c r="I645" t="s">
        <v>139</v>
      </c>
      <c r="J645" t="s">
        <v>447</v>
      </c>
      <c r="K645" t="s">
        <v>25</v>
      </c>
      <c r="M645" t="s">
        <v>80</v>
      </c>
      <c r="N645" t="str">
        <v>Destino</v>
      </c>
      <c r="O645" t="str">
        <v>GRAN CANARIA</v>
      </c>
      <c r="P645" t="str">
        <v>LPA</v>
      </c>
      <c r="Q645" t="str">
        <v>19:00:00</v>
      </c>
      <c r="R645" t="str">
        <v>CRK</v>
      </c>
      <c r="S645" t="str">
        <v xml:space="preserve">  IBB186</v>
      </c>
      <c r="T645" t="str">
        <v>ESPAÑA</v>
      </c>
      <c r="U645" t="str">
        <v/>
      </c>
      <c r="V645" t="str">
        <v>TFN</v>
      </c>
      <c r="W645" t="str">
        <v>08/02/2019</v>
      </c>
      <c r="X645">
        <v>50</v>
      </c>
      <c r="Y645" t="str">
        <v>Canadair Regional Jet</v>
      </c>
    </row>
    <row r="646" spans="1:25" x14ac:dyDescent="0.25">
      <c r="A646" t="s">
        <v>1436</v>
      </c>
      <c r="B646" t="s">
        <v>0</v>
      </c>
      <c r="C646" t="s">
        <v>292</v>
      </c>
      <c r="D646" t="s">
        <v>293</v>
      </c>
      <c r="E646" t="s">
        <v>379</v>
      </c>
      <c r="F646" s="5">
        <v>43402</v>
      </c>
      <c r="G646" s="5">
        <v>43553</v>
      </c>
      <c r="H646" s="6">
        <v>0.35416666666666669</v>
      </c>
      <c r="I646" t="s">
        <v>139</v>
      </c>
      <c r="J646" t="s">
        <v>447</v>
      </c>
      <c r="K646" t="s">
        <v>25</v>
      </c>
      <c r="M646" t="s">
        <v>80</v>
      </c>
      <c r="N646" t="str">
        <v>Destino</v>
      </c>
      <c r="O646" t="str">
        <v>GRAN CANARIA</v>
      </c>
      <c r="P646" t="str">
        <v>LPA</v>
      </c>
      <c r="Q646" t="str">
        <v>19:00:00</v>
      </c>
      <c r="R646" t="str">
        <v>CRK</v>
      </c>
      <c r="S646" t="str">
        <v xml:space="preserve">  IBB186</v>
      </c>
      <c r="T646" t="str">
        <v>ESPAÑA</v>
      </c>
      <c r="U646" t="str">
        <v/>
      </c>
      <c r="V646" t="str">
        <v>TFN</v>
      </c>
      <c r="W646" t="str">
        <v>06/02/2019</v>
      </c>
      <c r="X646">
        <v>50</v>
      </c>
      <c r="Y646" t="str">
        <v>Canadair Regional Jet</v>
      </c>
    </row>
    <row r="647" spans="1:25" x14ac:dyDescent="0.25">
      <c r="A647" t="s">
        <v>1436</v>
      </c>
      <c r="B647" t="s">
        <v>0</v>
      </c>
      <c r="C647" t="s">
        <v>292</v>
      </c>
      <c r="D647" t="s">
        <v>293</v>
      </c>
      <c r="E647" t="s">
        <v>1527</v>
      </c>
      <c r="F647" s="5">
        <v>43404</v>
      </c>
      <c r="G647" s="5">
        <v>43554</v>
      </c>
      <c r="H647" s="6">
        <v>0.47222222222222227</v>
      </c>
      <c r="I647" t="s">
        <v>139</v>
      </c>
      <c r="J647" t="s">
        <v>448</v>
      </c>
      <c r="K647" t="s">
        <v>25</v>
      </c>
      <c r="M647" t="s">
        <v>80</v>
      </c>
      <c r="N647" t="str">
        <v>Destino</v>
      </c>
      <c r="O647" t="str">
        <v>GRAN CANARIA</v>
      </c>
      <c r="P647" t="str">
        <v>LPA</v>
      </c>
      <c r="Q647" t="str">
        <v>19:00:00</v>
      </c>
      <c r="R647" t="str">
        <v>CRK</v>
      </c>
      <c r="S647" t="str">
        <v xml:space="preserve">  IBB6811</v>
      </c>
      <c r="T647" t="str">
        <v>ESPAÑA</v>
      </c>
      <c r="U647" t="str">
        <v/>
      </c>
      <c r="V647" t="str">
        <v>TFN</v>
      </c>
      <c r="W647" t="str">
        <v>07/02/2019</v>
      </c>
      <c r="X647">
        <v>50</v>
      </c>
      <c r="Y647" t="str">
        <v>Canadair Regional Jet</v>
      </c>
    </row>
    <row r="648" spans="1:25" x14ac:dyDescent="0.25">
      <c r="A648" t="s">
        <v>1436</v>
      </c>
      <c r="B648" t="s">
        <v>0</v>
      </c>
      <c r="C648" t="s">
        <v>292</v>
      </c>
      <c r="D648" t="s">
        <v>293</v>
      </c>
      <c r="E648" t="s">
        <v>59</v>
      </c>
      <c r="F648" s="5">
        <v>43465</v>
      </c>
      <c r="G648" s="5">
        <v>43549</v>
      </c>
      <c r="H648" s="6">
        <v>0.47222222222222227</v>
      </c>
      <c r="I648" t="s">
        <v>139</v>
      </c>
      <c r="J648" t="s">
        <v>448</v>
      </c>
      <c r="K648" t="s">
        <v>25</v>
      </c>
      <c r="M648" t="s">
        <v>80</v>
      </c>
      <c r="N648" t="str">
        <v>Destino</v>
      </c>
      <c r="O648" t="str">
        <v>GRAN CANARIA</v>
      </c>
      <c r="P648" t="str">
        <v>LPA</v>
      </c>
      <c r="Q648" t="str">
        <v>19:00:00</v>
      </c>
      <c r="R648" t="str">
        <v>CRK</v>
      </c>
      <c r="S648" t="str">
        <v xml:space="preserve">  IBB186</v>
      </c>
      <c r="T648" t="str">
        <v>ESPAÑA</v>
      </c>
      <c r="U648" t="str">
        <v/>
      </c>
      <c r="V648" t="str">
        <v>TFN</v>
      </c>
      <c r="W648" t="str">
        <v>09/02/2019</v>
      </c>
      <c r="X648">
        <v>50</v>
      </c>
      <c r="Y648" t="str">
        <v>Canadair Regional Jet</v>
      </c>
    </row>
    <row r="649" spans="1:25" x14ac:dyDescent="0.25">
      <c r="A649" t="s">
        <v>1436</v>
      </c>
      <c r="B649" t="s">
        <v>0</v>
      </c>
      <c r="C649" t="s">
        <v>292</v>
      </c>
      <c r="D649" t="s">
        <v>293</v>
      </c>
      <c r="E649" t="s">
        <v>976</v>
      </c>
      <c r="F649" s="5">
        <v>43473</v>
      </c>
      <c r="G649" s="5">
        <v>43550</v>
      </c>
      <c r="H649" s="6">
        <v>0.47222222222222227</v>
      </c>
      <c r="I649" t="s">
        <v>139</v>
      </c>
      <c r="J649" t="s">
        <v>448</v>
      </c>
      <c r="K649" t="s">
        <v>25</v>
      </c>
      <c r="M649" t="s">
        <v>80</v>
      </c>
      <c r="N649" t="str">
        <v>Destino</v>
      </c>
      <c r="O649" t="str">
        <v>GRAN CANARIA</v>
      </c>
      <c r="P649" t="str">
        <v>LPA</v>
      </c>
      <c r="Q649" t="str">
        <v>19:00:00</v>
      </c>
      <c r="R649" t="str">
        <v>CRK</v>
      </c>
      <c r="S649" t="str">
        <v xml:space="preserve">  IBB186</v>
      </c>
      <c r="T649" t="str">
        <v>ESPAÑA</v>
      </c>
      <c r="U649" t="str">
        <v/>
      </c>
      <c r="V649" t="str">
        <v>TFN</v>
      </c>
      <c r="W649" t="str">
        <v>04/02/2019</v>
      </c>
      <c r="X649">
        <v>50</v>
      </c>
      <c r="Y649" t="str">
        <v>Canadair Regional Jet</v>
      </c>
    </row>
    <row r="650" spans="1:25" x14ac:dyDescent="0.25">
      <c r="A650" t="s">
        <v>1436</v>
      </c>
      <c r="B650" t="s">
        <v>0</v>
      </c>
      <c r="C650" t="s">
        <v>292</v>
      </c>
      <c r="D650" t="s">
        <v>293</v>
      </c>
      <c r="E650" t="s">
        <v>13</v>
      </c>
      <c r="F650" s="5">
        <v>43475</v>
      </c>
      <c r="G650" s="5">
        <v>43552</v>
      </c>
      <c r="H650" s="6">
        <v>0.49305555555555558</v>
      </c>
      <c r="I650" t="s">
        <v>139</v>
      </c>
      <c r="J650" t="s">
        <v>448</v>
      </c>
      <c r="K650" t="s">
        <v>25</v>
      </c>
      <c r="M650" t="s">
        <v>80</v>
      </c>
      <c r="N650" t="str">
        <v>Destino</v>
      </c>
      <c r="O650" t="str">
        <v>GRAN CANARIA</v>
      </c>
      <c r="P650" t="str">
        <v>LPA</v>
      </c>
      <c r="Q650" t="str">
        <v>19:00:00</v>
      </c>
      <c r="R650" t="str">
        <v>CRK</v>
      </c>
      <c r="S650" t="str">
        <v xml:space="preserve">  IBB186</v>
      </c>
      <c r="T650" t="str">
        <v>ESPAÑA</v>
      </c>
      <c r="U650" t="str">
        <v/>
      </c>
      <c r="V650" t="str">
        <v>TFN</v>
      </c>
      <c r="W650" t="str">
        <v>05/02/2019</v>
      </c>
      <c r="X650">
        <v>50</v>
      </c>
      <c r="Y650" t="str">
        <v>Canadair Regional Jet</v>
      </c>
    </row>
    <row r="651" spans="1:25" x14ac:dyDescent="0.25">
      <c r="A651" t="s">
        <v>1436</v>
      </c>
      <c r="B651" t="s">
        <v>0</v>
      </c>
      <c r="C651" t="s">
        <v>292</v>
      </c>
      <c r="D651" t="s">
        <v>293</v>
      </c>
      <c r="E651" t="s">
        <v>48</v>
      </c>
      <c r="F651" s="5">
        <v>43476</v>
      </c>
      <c r="G651" s="5">
        <v>43518</v>
      </c>
      <c r="H651" s="6">
        <v>0.57638888888888895</v>
      </c>
      <c r="I651" t="s">
        <v>139</v>
      </c>
      <c r="J651" t="s">
        <v>450</v>
      </c>
      <c r="K651" t="s">
        <v>25</v>
      </c>
      <c r="M651" t="s">
        <v>80</v>
      </c>
      <c r="N651" t="str">
        <v>Destino</v>
      </c>
      <c r="O651" t="str">
        <v>GRAN CANARIA</v>
      </c>
      <c r="P651" t="str">
        <v>LPA</v>
      </c>
      <c r="Q651" t="str">
        <v>19:00:00</v>
      </c>
      <c r="R651" t="str">
        <v>CRK</v>
      </c>
      <c r="S651" t="str">
        <v xml:space="preserve">  IBB6811</v>
      </c>
      <c r="T651" t="str">
        <v>ESPAÑA</v>
      </c>
      <c r="U651" t="str">
        <v/>
      </c>
      <c r="V651" t="str">
        <v>TFN</v>
      </c>
      <c r="W651" t="str">
        <v>10/02/2019</v>
      </c>
      <c r="X651">
        <v>50</v>
      </c>
      <c r="Y651" t="str">
        <v>Canadair Regional Jet</v>
      </c>
    </row>
    <row r="652" spans="1:25" x14ac:dyDescent="0.25">
      <c r="A652" t="s">
        <v>1436</v>
      </c>
      <c r="B652" t="s">
        <v>0</v>
      </c>
      <c r="C652" t="s">
        <v>292</v>
      </c>
      <c r="D652" t="s">
        <v>293</v>
      </c>
      <c r="E652" t="s">
        <v>22</v>
      </c>
      <c r="F652" s="5">
        <v>43477</v>
      </c>
      <c r="G652" s="5">
        <v>43519</v>
      </c>
      <c r="H652" s="6">
        <v>0.57986111111111105</v>
      </c>
      <c r="I652" t="s">
        <v>139</v>
      </c>
      <c r="J652" t="s">
        <v>450</v>
      </c>
      <c r="K652" t="s">
        <v>25</v>
      </c>
      <c r="M652" t="s">
        <v>80</v>
      </c>
      <c r="N652" t="str">
        <v>Destino</v>
      </c>
      <c r="O652" t="str">
        <v>GRAN CANARIA</v>
      </c>
      <c r="P652" t="str">
        <v>LPA</v>
      </c>
      <c r="Q652" t="str">
        <v>20:00:00</v>
      </c>
      <c r="R652" t="str">
        <v>CRK</v>
      </c>
      <c r="S652" t="str">
        <v xml:space="preserve">  IBB188</v>
      </c>
      <c r="T652" t="str">
        <v>ESPAÑA</v>
      </c>
      <c r="U652" t="str">
        <v/>
      </c>
      <c r="V652" t="str">
        <v>TFN</v>
      </c>
      <c r="W652" t="str">
        <v>05/02/2019</v>
      </c>
      <c r="X652">
        <v>50</v>
      </c>
      <c r="Y652" t="str">
        <v>Canadair Regional Jet</v>
      </c>
    </row>
    <row r="653" spans="1:25" x14ac:dyDescent="0.25">
      <c r="A653" t="s">
        <v>1436</v>
      </c>
      <c r="B653" t="s">
        <v>0</v>
      </c>
      <c r="C653" t="s">
        <v>292</v>
      </c>
      <c r="D653" t="s">
        <v>293</v>
      </c>
      <c r="E653" t="s">
        <v>18</v>
      </c>
      <c r="F653" s="5">
        <v>43499</v>
      </c>
      <c r="G653" s="5">
        <v>43548</v>
      </c>
      <c r="H653" s="6">
        <v>0.61111111111111105</v>
      </c>
      <c r="I653" t="s">
        <v>139</v>
      </c>
      <c r="J653" t="s">
        <v>450</v>
      </c>
      <c r="K653" t="s">
        <v>25</v>
      </c>
      <c r="M653" t="s">
        <v>80</v>
      </c>
      <c r="N653" t="str">
        <v>Destino</v>
      </c>
      <c r="O653" t="str">
        <v>GRAN CANARIA</v>
      </c>
      <c r="P653" t="str">
        <v>LPA</v>
      </c>
      <c r="Q653" t="str">
        <v>20:00:00</v>
      </c>
      <c r="R653" t="str">
        <v>CRK</v>
      </c>
      <c r="S653" t="str">
        <v xml:space="preserve">  IBB188</v>
      </c>
      <c r="T653" t="str">
        <v>ESPAÑA</v>
      </c>
      <c r="U653" t="str">
        <v/>
      </c>
      <c r="V653" t="str">
        <v>TFN</v>
      </c>
      <c r="W653" t="str">
        <v>08/02/2019</v>
      </c>
      <c r="X653">
        <v>50</v>
      </c>
      <c r="Y653" t="str">
        <v>Canadair Regional Jet</v>
      </c>
    </row>
    <row r="654" spans="1:25" x14ac:dyDescent="0.25">
      <c r="A654" t="s">
        <v>1436</v>
      </c>
      <c r="B654" t="s">
        <v>0</v>
      </c>
      <c r="C654" t="s">
        <v>292</v>
      </c>
      <c r="D654" t="s">
        <v>293</v>
      </c>
      <c r="E654" t="s">
        <v>167</v>
      </c>
      <c r="F654" s="5">
        <v>43402</v>
      </c>
      <c r="G654" s="5">
        <v>43551</v>
      </c>
      <c r="H654" s="6">
        <v>0.65277777777777779</v>
      </c>
      <c r="I654" t="s">
        <v>139</v>
      </c>
      <c r="J654" t="s">
        <v>451</v>
      </c>
      <c r="K654" t="s">
        <v>25</v>
      </c>
      <c r="M654" t="s">
        <v>80</v>
      </c>
      <c r="N654" t="str">
        <v>Destino</v>
      </c>
      <c r="O654" t="str">
        <v>GRAN CANARIA</v>
      </c>
      <c r="P654" t="str">
        <v>LPA</v>
      </c>
      <c r="Q654" t="str">
        <v>20:00:00</v>
      </c>
      <c r="R654" t="str">
        <v>CRK</v>
      </c>
      <c r="S654" t="str">
        <v xml:space="preserve">  IBB188</v>
      </c>
      <c r="T654" t="str">
        <v>ESPAÑA</v>
      </c>
      <c r="U654" t="str">
        <v/>
      </c>
      <c r="V654" t="str">
        <v>TFN</v>
      </c>
      <c r="W654" t="str">
        <v>07/02/2019</v>
      </c>
      <c r="X654">
        <v>50</v>
      </c>
      <c r="Y654" t="str">
        <v>Canadair Regional Jet</v>
      </c>
    </row>
    <row r="655" spans="1:25" x14ac:dyDescent="0.25">
      <c r="A655" t="s">
        <v>1436</v>
      </c>
      <c r="B655" t="s">
        <v>0</v>
      </c>
      <c r="C655" t="s">
        <v>292</v>
      </c>
      <c r="D655" t="s">
        <v>293</v>
      </c>
      <c r="E655" t="s">
        <v>13</v>
      </c>
      <c r="F655" s="5">
        <v>43461</v>
      </c>
      <c r="G655" s="5">
        <v>43552</v>
      </c>
      <c r="H655" s="6">
        <v>0.65277777777777779</v>
      </c>
      <c r="I655" t="s">
        <v>139</v>
      </c>
      <c r="J655" t="s">
        <v>451</v>
      </c>
      <c r="K655" t="s">
        <v>25</v>
      </c>
      <c r="M655" t="s">
        <v>80</v>
      </c>
      <c r="N655" t="str">
        <v>Destino</v>
      </c>
      <c r="O655" t="str">
        <v>GRAN CANARIA</v>
      </c>
      <c r="P655" t="str">
        <v>LPA</v>
      </c>
      <c r="Q655" t="str">
        <v>20:00:00</v>
      </c>
      <c r="R655" t="str">
        <v>CRK</v>
      </c>
      <c r="S655" t="str">
        <v xml:space="preserve">  IBB188</v>
      </c>
      <c r="T655" t="str">
        <v>ESPAÑA</v>
      </c>
      <c r="U655" t="str">
        <v/>
      </c>
      <c r="V655" t="str">
        <v>TFN</v>
      </c>
      <c r="W655" t="str">
        <v>06/02/2019</v>
      </c>
      <c r="X655">
        <v>50</v>
      </c>
      <c r="Y655" t="str">
        <v>Canadair Regional Jet</v>
      </c>
    </row>
    <row r="656" spans="1:25" x14ac:dyDescent="0.25">
      <c r="A656" t="s">
        <v>1436</v>
      </c>
      <c r="B656" t="s">
        <v>0</v>
      </c>
      <c r="C656" t="s">
        <v>292</v>
      </c>
      <c r="D656" t="s">
        <v>293</v>
      </c>
      <c r="E656" t="s">
        <v>48</v>
      </c>
      <c r="F656" s="5">
        <v>43406</v>
      </c>
      <c r="G656" s="5">
        <v>43553</v>
      </c>
      <c r="H656" s="6">
        <v>0.69097222222222221</v>
      </c>
      <c r="I656" t="s">
        <v>139</v>
      </c>
      <c r="J656" t="s">
        <v>451</v>
      </c>
      <c r="K656" t="s">
        <v>25</v>
      </c>
      <c r="M656" t="s">
        <v>80</v>
      </c>
      <c r="N656" t="str">
        <v>Destino</v>
      </c>
      <c r="O656" t="str">
        <v>GRAN CANARIA</v>
      </c>
      <c r="P656" t="str">
        <v>LPA</v>
      </c>
      <c r="Q656" t="str">
        <v>20:00:00</v>
      </c>
      <c r="R656" t="str">
        <v>CRK</v>
      </c>
      <c r="S656" t="str">
        <v xml:space="preserve">  IBB188</v>
      </c>
      <c r="T656" t="str">
        <v>ESPAÑA</v>
      </c>
      <c r="U656" t="str">
        <v/>
      </c>
      <c r="V656" t="str">
        <v>TFN</v>
      </c>
      <c r="W656" t="str">
        <v>10/02/2019</v>
      </c>
      <c r="X656">
        <v>50</v>
      </c>
      <c r="Y656" t="str">
        <v>Canadair Regional Jet</v>
      </c>
    </row>
    <row r="657" spans="1:25" x14ac:dyDescent="0.25">
      <c r="A657" t="s">
        <v>1436</v>
      </c>
      <c r="B657" t="s">
        <v>0</v>
      </c>
      <c r="C657" t="s">
        <v>292</v>
      </c>
      <c r="D657" t="s">
        <v>293</v>
      </c>
      <c r="E657" t="s">
        <v>13</v>
      </c>
      <c r="F657" s="5">
        <v>43475</v>
      </c>
      <c r="G657" s="5">
        <v>43552</v>
      </c>
      <c r="H657" s="6">
        <v>0.69791666666666663</v>
      </c>
      <c r="I657" t="s">
        <v>139</v>
      </c>
      <c r="J657" t="s">
        <v>452</v>
      </c>
      <c r="K657" t="s">
        <v>25</v>
      </c>
      <c r="M657" t="s">
        <v>80</v>
      </c>
      <c r="N657" t="str">
        <v>Destino</v>
      </c>
      <c r="O657" t="str">
        <v>GRAN CANARIA</v>
      </c>
      <c r="P657" t="str">
        <v>LPA</v>
      </c>
      <c r="Q657" t="str">
        <v>20:00:00</v>
      </c>
      <c r="R657" t="str">
        <v>CRK</v>
      </c>
      <c r="S657" t="str">
        <v xml:space="preserve">  IBB188</v>
      </c>
      <c r="T657" t="str">
        <v>ESPAÑA</v>
      </c>
      <c r="U657" t="str">
        <v/>
      </c>
      <c r="V657" t="str">
        <v>TFN</v>
      </c>
      <c r="W657" t="str">
        <v>09/02/2019</v>
      </c>
      <c r="X657">
        <v>50</v>
      </c>
      <c r="Y657" t="str">
        <v>Canadair Regional Jet</v>
      </c>
    </row>
    <row r="658" spans="1:25" x14ac:dyDescent="0.25">
      <c r="A658" t="s">
        <v>1436</v>
      </c>
      <c r="B658" t="s">
        <v>0</v>
      </c>
      <c r="C658" t="s">
        <v>292</v>
      </c>
      <c r="D658" t="s">
        <v>293</v>
      </c>
      <c r="E658" t="s">
        <v>48</v>
      </c>
      <c r="F658" s="5">
        <v>43406</v>
      </c>
      <c r="G658" s="5">
        <v>43553</v>
      </c>
      <c r="H658" s="6">
        <v>0.78472222222222221</v>
      </c>
      <c r="I658" t="s">
        <v>139</v>
      </c>
      <c r="J658" t="s">
        <v>449</v>
      </c>
      <c r="K658" t="s">
        <v>25</v>
      </c>
      <c r="M658" t="s">
        <v>80</v>
      </c>
      <c r="N658" t="str">
        <v>Destino</v>
      </c>
      <c r="O658" t="str">
        <v>GRAN CANARIA</v>
      </c>
      <c r="P658" t="str">
        <v>LPA</v>
      </c>
      <c r="Q658" t="str">
        <v>20:00:00</v>
      </c>
      <c r="R658" t="str">
        <v>CRK</v>
      </c>
      <c r="S658" t="str">
        <v xml:space="preserve">  IBB188</v>
      </c>
      <c r="T658" t="str">
        <v>ESPAÑA</v>
      </c>
      <c r="U658" t="str">
        <v/>
      </c>
      <c r="V658" t="str">
        <v>TFN</v>
      </c>
      <c r="W658" t="str">
        <v>04/02/2019</v>
      </c>
      <c r="X658">
        <v>50</v>
      </c>
      <c r="Y658" t="str">
        <v>Canadair Regional Jet</v>
      </c>
    </row>
    <row r="659" spans="1:25" x14ac:dyDescent="0.25">
      <c r="A659" t="s">
        <v>1436</v>
      </c>
      <c r="B659" t="s">
        <v>0</v>
      </c>
      <c r="C659" t="s">
        <v>292</v>
      </c>
      <c r="D659" t="s">
        <v>293</v>
      </c>
      <c r="E659" t="s">
        <v>18</v>
      </c>
      <c r="F659" s="5">
        <v>43478</v>
      </c>
      <c r="G659" s="5">
        <v>43548</v>
      </c>
      <c r="H659" s="6">
        <v>0.78472222222222221</v>
      </c>
      <c r="I659" t="s">
        <v>139</v>
      </c>
      <c r="J659" t="s">
        <v>451</v>
      </c>
      <c r="K659" t="s">
        <v>25</v>
      </c>
      <c r="M659" t="s">
        <v>80</v>
      </c>
      <c r="N659" t="str">
        <v>Destino</v>
      </c>
      <c r="O659" t="str">
        <v>LISBOA</v>
      </c>
      <c r="P659" t="str">
        <v>LIS</v>
      </c>
      <c r="Q659" t="str">
        <v>12:15:00</v>
      </c>
      <c r="R659" t="str">
        <v>CRK</v>
      </c>
      <c r="S659" t="str">
        <v xml:space="preserve">  IBB6810</v>
      </c>
      <c r="T659" t="str">
        <v>PORTUGAL</v>
      </c>
      <c r="U659" t="str">
        <v/>
      </c>
      <c r="V659" t="str">
        <v>TFN</v>
      </c>
      <c r="W659" t="str">
        <v>10/02/2019</v>
      </c>
      <c r="X659">
        <v>50</v>
      </c>
      <c r="Y659" t="str">
        <v>Canadair Regional Jet</v>
      </c>
    </row>
    <row r="660" spans="1:25" x14ac:dyDescent="0.25">
      <c r="A660" t="s">
        <v>1436</v>
      </c>
      <c r="B660" t="s">
        <v>0</v>
      </c>
      <c r="C660" t="s">
        <v>292</v>
      </c>
      <c r="D660" t="s">
        <v>293</v>
      </c>
      <c r="E660" t="s">
        <v>18</v>
      </c>
      <c r="F660" s="5">
        <v>43506</v>
      </c>
      <c r="G660" s="5">
        <v>43520</v>
      </c>
      <c r="H660" s="6">
        <v>0.84027777777777779</v>
      </c>
      <c r="I660" t="s">
        <v>139</v>
      </c>
      <c r="J660" t="s">
        <v>454</v>
      </c>
      <c r="K660" t="s">
        <v>25</v>
      </c>
      <c r="M660" t="s">
        <v>80</v>
      </c>
      <c r="N660" t="str">
        <v>Destino</v>
      </c>
      <c r="O660" t="str">
        <v>LISBOA</v>
      </c>
      <c r="P660" t="str">
        <v>LIS</v>
      </c>
      <c r="Q660" t="str">
        <v>12:15:00</v>
      </c>
      <c r="R660" t="str">
        <v>CRK</v>
      </c>
      <c r="S660" t="str">
        <v xml:space="preserve">  IBB6810</v>
      </c>
      <c r="T660" t="str">
        <v>PORTUGAL</v>
      </c>
      <c r="U660" t="str">
        <v/>
      </c>
      <c r="V660" t="str">
        <v>TFN</v>
      </c>
      <c r="W660" t="str">
        <v>07/02/2019</v>
      </c>
      <c r="X660">
        <v>50</v>
      </c>
      <c r="Y660" t="str">
        <v>Canadair Regional Jet</v>
      </c>
    </row>
    <row r="661" spans="1:25" x14ac:dyDescent="0.25">
      <c r="A661" t="s">
        <v>1436</v>
      </c>
      <c r="B661" t="s">
        <v>0</v>
      </c>
      <c r="C661" t="s">
        <v>292</v>
      </c>
      <c r="D661" t="s">
        <v>293</v>
      </c>
      <c r="E661" t="s">
        <v>814</v>
      </c>
      <c r="F661" s="5">
        <v>43402</v>
      </c>
      <c r="G661" s="5">
        <v>43554</v>
      </c>
      <c r="H661" s="6">
        <v>0.85416666666666663</v>
      </c>
      <c r="I661" t="s">
        <v>139</v>
      </c>
      <c r="J661" t="s">
        <v>454</v>
      </c>
      <c r="K661" t="s">
        <v>25</v>
      </c>
      <c r="M661" t="s">
        <v>80</v>
      </c>
      <c r="N661" t="str">
        <v>Destino</v>
      </c>
      <c r="O661" t="str">
        <v>PALMA DE MALLORCA</v>
      </c>
      <c r="P661" t="str">
        <v>PMI</v>
      </c>
      <c r="Q661" t="str">
        <v>12:20:00</v>
      </c>
      <c r="R661" t="str">
        <v>CRK</v>
      </c>
      <c r="S661" t="str">
        <v xml:space="preserve">  IBB5150</v>
      </c>
      <c r="T661" t="str">
        <v>ESPAÑA</v>
      </c>
      <c r="U661" t="str">
        <v/>
      </c>
      <c r="V661" t="str">
        <v>TFN</v>
      </c>
      <c r="W661" t="str">
        <v>06/02/2019</v>
      </c>
      <c r="X661">
        <v>50</v>
      </c>
      <c r="Y661" t="str">
        <v>Canadair Regional Jet</v>
      </c>
    </row>
    <row r="662" spans="1:25" x14ac:dyDescent="0.25">
      <c r="A662" t="s">
        <v>1436</v>
      </c>
      <c r="B662" t="s">
        <v>0</v>
      </c>
      <c r="C662" t="s">
        <v>292</v>
      </c>
      <c r="D662" t="s">
        <v>293</v>
      </c>
      <c r="E662" t="s">
        <v>48</v>
      </c>
      <c r="F662" s="5">
        <v>43511</v>
      </c>
      <c r="G662" s="5">
        <v>43518</v>
      </c>
      <c r="H662" s="6">
        <v>0.85416666666666663</v>
      </c>
      <c r="I662" t="s">
        <v>139</v>
      </c>
      <c r="J662" t="s">
        <v>454</v>
      </c>
      <c r="K662" t="s">
        <v>25</v>
      </c>
      <c r="M662" t="s">
        <v>80</v>
      </c>
      <c r="N662" t="str">
        <v>Destino</v>
      </c>
      <c r="O662" t="str">
        <v>PALMA DE MALLORCA</v>
      </c>
      <c r="P662" t="str">
        <v>PMI</v>
      </c>
      <c r="Q662" t="str">
        <v>12:20:00</v>
      </c>
      <c r="R662" t="str">
        <v>CRK</v>
      </c>
      <c r="S662" t="str">
        <v xml:space="preserve">  IBB5150</v>
      </c>
      <c r="T662" t="str">
        <v>ESPAÑA</v>
      </c>
      <c r="U662" t="str">
        <v/>
      </c>
      <c r="V662" t="str">
        <v>TFN</v>
      </c>
      <c r="W662" t="str">
        <v>09/02/2019</v>
      </c>
      <c r="X662">
        <v>50</v>
      </c>
      <c r="Y662" t="str">
        <v>Canadair Regional Jet</v>
      </c>
    </row>
    <row r="663" spans="1:25" x14ac:dyDescent="0.25">
      <c r="A663" t="s">
        <v>1436</v>
      </c>
      <c r="B663" t="s">
        <v>0</v>
      </c>
      <c r="C663" t="s">
        <v>292</v>
      </c>
      <c r="D663" t="s">
        <v>293</v>
      </c>
      <c r="E663" t="s">
        <v>144</v>
      </c>
      <c r="F663" s="5">
        <v>43430</v>
      </c>
      <c r="G663" s="5">
        <v>43554</v>
      </c>
      <c r="H663" s="6">
        <v>0.86805555555555547</v>
      </c>
      <c r="I663" t="s">
        <v>139</v>
      </c>
      <c r="J663" t="s">
        <v>453</v>
      </c>
      <c r="K663" t="s">
        <v>25</v>
      </c>
      <c r="M663" t="s">
        <v>80</v>
      </c>
      <c r="N663" t="str">
        <v>Destino</v>
      </c>
      <c r="O663" t="str">
        <v>SANTIAGO</v>
      </c>
      <c r="P663" t="str">
        <v>SCQ</v>
      </c>
      <c r="Q663" t="str">
        <v>13:15:00</v>
      </c>
      <c r="R663" t="str">
        <v>CRK</v>
      </c>
      <c r="S663" t="str">
        <v xml:space="preserve">  IBE8205</v>
      </c>
      <c r="T663" t="str">
        <v>ESPAÑA</v>
      </c>
      <c r="U663" t="str">
        <v/>
      </c>
      <c r="V663" t="str">
        <v>TFN</v>
      </c>
      <c r="W663" t="str">
        <v>09/02/2019</v>
      </c>
      <c r="X663">
        <v>50</v>
      </c>
      <c r="Y663" t="str">
        <v>Canadair Regional Jet</v>
      </c>
    </row>
    <row r="664" spans="1:25" x14ac:dyDescent="0.25">
      <c r="A664" t="s">
        <v>1436</v>
      </c>
      <c r="B664" t="s">
        <v>0</v>
      </c>
      <c r="C664" t="s">
        <v>292</v>
      </c>
      <c r="D664" t="s">
        <v>293</v>
      </c>
      <c r="E664" t="s">
        <v>48</v>
      </c>
      <c r="F664" s="5">
        <v>43406</v>
      </c>
      <c r="G664" s="5">
        <v>43553</v>
      </c>
      <c r="H664" s="6">
        <v>0.90625</v>
      </c>
      <c r="I664" t="s">
        <v>139</v>
      </c>
      <c r="J664" t="s">
        <v>452</v>
      </c>
      <c r="K664" t="s">
        <v>25</v>
      </c>
      <c r="M664" t="s">
        <v>80</v>
      </c>
      <c r="N664" t="str">
        <v>Destino</v>
      </c>
      <c r="O664" t="str">
        <v>VIGO</v>
      </c>
      <c r="P664" t="str">
        <v>VGO</v>
      </c>
      <c r="Q664" t="str">
        <v>11:00:00</v>
      </c>
      <c r="R664" t="str">
        <v>CRK</v>
      </c>
      <c r="S664" t="str">
        <v xml:space="preserve">  IBB5250</v>
      </c>
      <c r="T664" t="str">
        <v>ESPAÑA</v>
      </c>
      <c r="U664" t="str">
        <v/>
      </c>
      <c r="V664" t="str">
        <v>TFN</v>
      </c>
      <c r="W664" t="str">
        <v>07/02/2019</v>
      </c>
      <c r="X664">
        <v>50</v>
      </c>
      <c r="Y664" t="str">
        <v>Canadair Regional Jet</v>
      </c>
    </row>
    <row r="665" spans="1:25" x14ac:dyDescent="0.25">
      <c r="A665" t="s">
        <v>1436</v>
      </c>
      <c r="B665" t="s">
        <v>0</v>
      </c>
      <c r="C665" t="s">
        <v>292</v>
      </c>
      <c r="D665" t="s">
        <v>293</v>
      </c>
      <c r="E665" t="s">
        <v>18</v>
      </c>
      <c r="F665" s="5">
        <v>43471</v>
      </c>
      <c r="G665" s="5">
        <v>43548</v>
      </c>
      <c r="H665" s="6">
        <v>0.90625</v>
      </c>
      <c r="I665" t="s">
        <v>139</v>
      </c>
      <c r="J665" t="s">
        <v>452</v>
      </c>
      <c r="K665" t="s">
        <v>25</v>
      </c>
      <c r="M665" t="s">
        <v>80</v>
      </c>
      <c r="N665" t="str">
        <v>Destino</v>
      </c>
      <c r="O665" t="str">
        <v>VIGO</v>
      </c>
      <c r="P665" t="str">
        <v>VGO</v>
      </c>
      <c r="Q665" t="str">
        <v>11:15:00</v>
      </c>
      <c r="R665" t="str">
        <v>CRK</v>
      </c>
      <c r="S665" t="str">
        <v xml:space="preserve">  IBB5250</v>
      </c>
      <c r="T665" t="str">
        <v>ESPAÑA</v>
      </c>
      <c r="U665" t="str">
        <v/>
      </c>
      <c r="V665" t="str">
        <v>TFN</v>
      </c>
      <c r="W665" t="str">
        <v>05/02/2019</v>
      </c>
      <c r="X665">
        <v>50</v>
      </c>
      <c r="Y665" t="str">
        <v>Canadair Regional Jet</v>
      </c>
    </row>
    <row r="666" spans="1:25" x14ac:dyDescent="0.25">
      <c r="A666" t="s">
        <v>1436</v>
      </c>
      <c r="B666" t="s">
        <v>0</v>
      </c>
      <c r="C666" t="s">
        <v>306</v>
      </c>
      <c r="D666" t="s">
        <v>307</v>
      </c>
      <c r="E666" t="s">
        <v>18</v>
      </c>
      <c r="F666" s="5">
        <v>43478</v>
      </c>
      <c r="G666" s="5">
        <v>43534</v>
      </c>
      <c r="H666" s="6">
        <v>0.39583333333333331</v>
      </c>
      <c r="I666">
        <v>319</v>
      </c>
      <c r="J666" t="s">
        <v>1840</v>
      </c>
      <c r="K666" t="s">
        <v>221</v>
      </c>
      <c r="M666" t="s">
        <v>80</v>
      </c>
      <c r="N666" t="str">
        <v>Destino</v>
      </c>
      <c r="O666" t="str">
        <v>MADRID-BARAJAS ADOLFO SUÁREZ</v>
      </c>
      <c r="P666" t="str">
        <v>MAD</v>
      </c>
      <c r="Q666" t="str">
        <v>09:55:00</v>
      </c>
      <c r="R666" t="str">
        <v>332</v>
      </c>
      <c r="S666" t="str">
        <v xml:space="preserve">  AEA9047</v>
      </c>
      <c r="T666" t="str">
        <v>ESPAÑA</v>
      </c>
      <c r="U666" t="str">
        <v/>
      </c>
      <c r="V666" t="str">
        <v>TFN</v>
      </c>
      <c r="W666" t="str">
        <v>06/02/2019</v>
      </c>
      <c r="X666">
        <v>288</v>
      </c>
      <c r="Y666" t="str">
        <v>Airbus A330-200</v>
      </c>
    </row>
    <row r="667" spans="1:25" x14ac:dyDescent="0.25">
      <c r="A667" t="s">
        <v>1436</v>
      </c>
      <c r="B667" t="s">
        <v>0</v>
      </c>
      <c r="C667" t="s">
        <v>772</v>
      </c>
      <c r="D667" t="s">
        <v>773</v>
      </c>
      <c r="E667" t="s">
        <v>22</v>
      </c>
      <c r="F667" s="5">
        <v>43477</v>
      </c>
      <c r="G667" s="5">
        <v>43554</v>
      </c>
      <c r="H667" s="6">
        <v>0.48958333333333331</v>
      </c>
      <c r="I667" t="s">
        <v>14</v>
      </c>
      <c r="J667" t="s">
        <v>1528</v>
      </c>
      <c r="K667" t="s">
        <v>129</v>
      </c>
      <c r="M667" t="s">
        <v>80</v>
      </c>
      <c r="N667" t="str">
        <v>Destino</v>
      </c>
      <c r="O667" t="str">
        <v>MADRID-BARAJAS ADOLFO SUÁREZ</v>
      </c>
      <c r="P667" t="str">
        <v>MAD</v>
      </c>
      <c r="Q667" t="str">
        <v>09:55:00</v>
      </c>
      <c r="R667" t="str">
        <v>332</v>
      </c>
      <c r="S667" t="str">
        <v xml:space="preserve">  AEA9047</v>
      </c>
      <c r="T667" t="str">
        <v>ESPAÑA</v>
      </c>
      <c r="U667" t="str">
        <v/>
      </c>
      <c r="V667" t="str">
        <v>TFN</v>
      </c>
      <c r="W667" t="str">
        <v>05/02/2019</v>
      </c>
      <c r="X667">
        <v>288</v>
      </c>
      <c r="Y667" t="str">
        <v>Airbus A330-200</v>
      </c>
    </row>
    <row r="668" spans="1:25" x14ac:dyDescent="0.25">
      <c r="A668" t="s">
        <v>1436</v>
      </c>
      <c r="B668" t="s">
        <v>0</v>
      </c>
      <c r="C668" t="s">
        <v>457</v>
      </c>
      <c r="D668" t="s">
        <v>458</v>
      </c>
      <c r="E668" t="s">
        <v>736</v>
      </c>
      <c r="F668" s="5">
        <v>43403</v>
      </c>
      <c r="G668" s="5">
        <v>43553</v>
      </c>
      <c r="H668" s="6">
        <v>0.4861111111111111</v>
      </c>
      <c r="I668" t="s">
        <v>352</v>
      </c>
      <c r="J668" t="s">
        <v>1529</v>
      </c>
      <c r="K668" t="s">
        <v>460</v>
      </c>
      <c r="M668" t="s">
        <v>80</v>
      </c>
      <c r="N668" t="str">
        <v>Destino</v>
      </c>
      <c r="O668" t="str">
        <v>MADRID-BARAJAS ADOLFO SUÁREZ</v>
      </c>
      <c r="P668" t="str">
        <v>MAD</v>
      </c>
      <c r="Q668" t="str">
        <v>09:55:00</v>
      </c>
      <c r="R668" t="str">
        <v>332</v>
      </c>
      <c r="S668" t="str">
        <v xml:space="preserve">  AEA9047</v>
      </c>
      <c r="T668" t="str">
        <v>ESPAÑA</v>
      </c>
      <c r="U668" t="str">
        <v/>
      </c>
      <c r="V668" t="str">
        <v>TFN</v>
      </c>
      <c r="W668" t="str">
        <v>04/02/2019</v>
      </c>
      <c r="X668">
        <v>288</v>
      </c>
      <c r="Y668" t="str">
        <v>Airbus A330-200</v>
      </c>
    </row>
    <row r="669" spans="1:25" x14ac:dyDescent="0.25">
      <c r="A669" t="s">
        <v>1436</v>
      </c>
      <c r="B669" t="s">
        <v>0</v>
      </c>
      <c r="C669" t="s">
        <v>457</v>
      </c>
      <c r="D669" t="s">
        <v>458</v>
      </c>
      <c r="E669" t="s">
        <v>22</v>
      </c>
      <c r="F669" s="5">
        <v>43498</v>
      </c>
      <c r="G669" s="5">
        <v>43526</v>
      </c>
      <c r="H669" s="6">
        <v>0.78125</v>
      </c>
      <c r="I669">
        <v>320</v>
      </c>
      <c r="J669" t="s">
        <v>459</v>
      </c>
      <c r="K669" t="s">
        <v>460</v>
      </c>
      <c r="M669" t="s">
        <v>80</v>
      </c>
      <c r="N669" t="str">
        <v>Destino</v>
      </c>
      <c r="O669" t="str">
        <v>MADRID-BARAJAS ADOLFO SUÁREZ</v>
      </c>
      <c r="P669" t="str">
        <v>MAD</v>
      </c>
      <c r="Q669" t="str">
        <v>09:55:00</v>
      </c>
      <c r="R669" t="str">
        <v>332</v>
      </c>
      <c r="S669" t="str">
        <v xml:space="preserve">  AEA9047</v>
      </c>
      <c r="T669" t="str">
        <v>ESPAÑA</v>
      </c>
      <c r="U669" t="str">
        <v/>
      </c>
      <c r="V669" t="str">
        <v>TFN</v>
      </c>
      <c r="W669" t="str">
        <v>07/02/2019</v>
      </c>
      <c r="X669">
        <v>288</v>
      </c>
      <c r="Y669" t="str">
        <v>Airbus A330-200</v>
      </c>
    </row>
    <row r="670" spans="1:25" x14ac:dyDescent="0.25">
      <c r="A670" t="s">
        <v>1436</v>
      </c>
      <c r="B670" t="s">
        <v>0</v>
      </c>
      <c r="C670" t="s">
        <v>457</v>
      </c>
      <c r="D670" t="s">
        <v>458</v>
      </c>
      <c r="E670" t="s">
        <v>22</v>
      </c>
      <c r="F670" s="5">
        <v>43435</v>
      </c>
      <c r="G670" s="5">
        <v>43554</v>
      </c>
      <c r="H670" s="6">
        <v>0.78472222222222221</v>
      </c>
      <c r="I670">
        <v>320</v>
      </c>
      <c r="J670" t="s">
        <v>1530</v>
      </c>
      <c r="K670" t="s">
        <v>460</v>
      </c>
      <c r="M670" t="s">
        <v>80</v>
      </c>
      <c r="N670" t="str">
        <v>Destino</v>
      </c>
      <c r="O670" t="str">
        <v>MADRID-BARAJAS ADOLFO SUÁREZ</v>
      </c>
      <c r="P670" t="str">
        <v>MAD</v>
      </c>
      <c r="Q670" t="str">
        <v>10:00:00</v>
      </c>
      <c r="R670" t="str">
        <v>332</v>
      </c>
      <c r="S670" t="str">
        <v xml:space="preserve">  AEA9047</v>
      </c>
      <c r="T670" t="str">
        <v>ESPAÑA</v>
      </c>
      <c r="U670" t="str">
        <v/>
      </c>
      <c r="V670" t="str">
        <v>TFN</v>
      </c>
      <c r="W670" t="str">
        <v>08/02/2019</v>
      </c>
      <c r="X670">
        <v>288</v>
      </c>
      <c r="Y670" t="str">
        <v>Airbus A330-200</v>
      </c>
    </row>
    <row r="671" spans="1:25" x14ac:dyDescent="0.25">
      <c r="A671" t="s">
        <v>1436</v>
      </c>
      <c r="B671" t="s">
        <v>0</v>
      </c>
      <c r="C671" t="s">
        <v>311</v>
      </c>
      <c r="D671" t="s">
        <v>312</v>
      </c>
      <c r="E671" t="s">
        <v>13</v>
      </c>
      <c r="F671" s="5">
        <v>43405</v>
      </c>
      <c r="G671" s="5">
        <v>43552</v>
      </c>
      <c r="H671" s="6">
        <v>0.4375</v>
      </c>
      <c r="I671" t="s">
        <v>14</v>
      </c>
      <c r="J671" t="s">
        <v>461</v>
      </c>
      <c r="K671" t="s">
        <v>45</v>
      </c>
      <c r="M671" t="s">
        <v>80</v>
      </c>
      <c r="N671" t="str">
        <v>Destino</v>
      </c>
      <c r="O671" t="str">
        <v>MADRID-BARAJAS ADOLFO SUÁREZ</v>
      </c>
      <c r="P671" t="str">
        <v>MAD</v>
      </c>
      <c r="Q671" t="str">
        <v>10:00:00</v>
      </c>
      <c r="R671" t="str">
        <v>332</v>
      </c>
      <c r="S671" t="str">
        <v xml:space="preserve">  AEA9047</v>
      </c>
      <c r="T671" t="str">
        <v>ESPAÑA</v>
      </c>
      <c r="U671" t="str">
        <v/>
      </c>
      <c r="V671" t="str">
        <v>TFN</v>
      </c>
      <c r="W671" t="str">
        <v>10/02/2019</v>
      </c>
      <c r="X671">
        <v>288</v>
      </c>
      <c r="Y671" t="str">
        <v>Airbus A330-200</v>
      </c>
    </row>
    <row r="672" spans="1:25" x14ac:dyDescent="0.25">
      <c r="A672" t="s">
        <v>1436</v>
      </c>
      <c r="B672" t="s">
        <v>0</v>
      </c>
      <c r="C672" t="s">
        <v>314</v>
      </c>
      <c r="D672" t="s">
        <v>315</v>
      </c>
      <c r="E672" t="s">
        <v>59</v>
      </c>
      <c r="F672" s="5">
        <v>43409</v>
      </c>
      <c r="G672" s="5">
        <v>43549</v>
      </c>
      <c r="H672" s="6">
        <v>0.625</v>
      </c>
      <c r="I672">
        <v>738</v>
      </c>
      <c r="J672" t="s">
        <v>1531</v>
      </c>
      <c r="K672" t="s">
        <v>129</v>
      </c>
      <c r="M672" t="s">
        <v>80</v>
      </c>
      <c r="N672" t="str">
        <v>Destino</v>
      </c>
      <c r="O672" t="str">
        <v>MADRID-BARAJAS ADOLFO SUÁREZ</v>
      </c>
      <c r="P672" t="str">
        <v>MAD</v>
      </c>
      <c r="Q672" t="str">
        <v>10:00:00</v>
      </c>
      <c r="R672" t="str">
        <v>332</v>
      </c>
      <c r="S672" t="str">
        <v xml:space="preserve">  AEA9047</v>
      </c>
      <c r="T672" t="str">
        <v>ESPAÑA</v>
      </c>
      <c r="U672" t="str">
        <v/>
      </c>
      <c r="V672" t="str">
        <v>TFN</v>
      </c>
      <c r="W672" t="str">
        <v>09/02/2019</v>
      </c>
      <c r="X672">
        <v>288</v>
      </c>
      <c r="Y672" t="str">
        <v>Airbus A330-200</v>
      </c>
    </row>
    <row r="673" spans="1:25" x14ac:dyDescent="0.25">
      <c r="A673" t="s">
        <v>1436</v>
      </c>
      <c r="B673" t="s">
        <v>0</v>
      </c>
      <c r="C673" t="s">
        <v>318</v>
      </c>
      <c r="D673" t="s">
        <v>319</v>
      </c>
      <c r="E673" t="s">
        <v>18</v>
      </c>
      <c r="F673" s="5">
        <v>43401</v>
      </c>
      <c r="G673" s="5">
        <v>43548</v>
      </c>
      <c r="H673" s="6">
        <v>0.44097222222222227</v>
      </c>
      <c r="I673">
        <v>320</v>
      </c>
      <c r="J673" t="s">
        <v>462</v>
      </c>
      <c r="K673" t="s">
        <v>34</v>
      </c>
      <c r="M673" t="s">
        <v>80</v>
      </c>
      <c r="N673" t="str">
        <v>Destino</v>
      </c>
      <c r="O673" t="str">
        <v>MADRID-BARAJAS ADOLFO SUÁREZ</v>
      </c>
      <c r="P673" t="str">
        <v>MAD</v>
      </c>
      <c r="Q673" t="str">
        <v>17:55:00</v>
      </c>
      <c r="R673" t="str">
        <v>332</v>
      </c>
      <c r="S673" t="str">
        <v xml:space="preserve">  AEA9117</v>
      </c>
      <c r="T673" t="str">
        <v>ESPAÑA</v>
      </c>
      <c r="U673" t="str">
        <v/>
      </c>
      <c r="V673" t="str">
        <v>TFN</v>
      </c>
      <c r="W673" t="str">
        <v>06/02/2019</v>
      </c>
      <c r="X673">
        <v>288</v>
      </c>
      <c r="Y673" t="str">
        <v>Airbus A330-200</v>
      </c>
    </row>
    <row r="674" spans="1:25" x14ac:dyDescent="0.25">
      <c r="A674" t="s">
        <v>1436</v>
      </c>
      <c r="B674" t="s">
        <v>0</v>
      </c>
      <c r="C674" t="s">
        <v>318</v>
      </c>
      <c r="D674" t="s">
        <v>319</v>
      </c>
      <c r="E674" t="s">
        <v>13</v>
      </c>
      <c r="F674" s="5">
        <v>43447</v>
      </c>
      <c r="G674" s="5">
        <v>43517</v>
      </c>
      <c r="H674" s="6">
        <v>0.58333333333333337</v>
      </c>
      <c r="I674">
        <v>320</v>
      </c>
      <c r="J674" t="s">
        <v>462</v>
      </c>
      <c r="K674" t="s">
        <v>34</v>
      </c>
      <c r="M674" t="s">
        <v>80</v>
      </c>
      <c r="N674" t="str">
        <v>Destino</v>
      </c>
      <c r="O674" t="str">
        <v>MADRID-BARAJAS ADOLFO SUÁREZ</v>
      </c>
      <c r="P674" t="str">
        <v>MAD</v>
      </c>
      <c r="Q674" t="str">
        <v>17:55:00</v>
      </c>
      <c r="R674" t="str">
        <v>332</v>
      </c>
      <c r="S674" t="str">
        <v xml:space="preserve">  AEA9117</v>
      </c>
      <c r="T674" t="str">
        <v>ESPAÑA</v>
      </c>
      <c r="U674" t="str">
        <v/>
      </c>
      <c r="V674" t="str">
        <v>TFN</v>
      </c>
      <c r="W674" t="str">
        <v>08/02/2019</v>
      </c>
      <c r="X674">
        <v>288</v>
      </c>
      <c r="Y674" t="str">
        <v>Airbus A330-200</v>
      </c>
    </row>
    <row r="675" spans="1:25" x14ac:dyDescent="0.25">
      <c r="A675" t="s">
        <v>1436</v>
      </c>
      <c r="B675" t="s">
        <v>0</v>
      </c>
      <c r="C675" t="s">
        <v>318</v>
      </c>
      <c r="D675" t="s">
        <v>319</v>
      </c>
      <c r="E675" t="s">
        <v>19</v>
      </c>
      <c r="F675" s="5">
        <v>43452</v>
      </c>
      <c r="G675" s="5">
        <v>43550</v>
      </c>
      <c r="H675" s="6">
        <v>0.58333333333333337</v>
      </c>
      <c r="I675">
        <v>320</v>
      </c>
      <c r="J675" t="s">
        <v>462</v>
      </c>
      <c r="K675" t="s">
        <v>34</v>
      </c>
      <c r="M675" t="s">
        <v>80</v>
      </c>
      <c r="N675" t="str">
        <v>Destino</v>
      </c>
      <c r="O675" t="str">
        <v>MADRID-BARAJAS ADOLFO SUÁREZ</v>
      </c>
      <c r="P675" t="str">
        <v>MAD</v>
      </c>
      <c r="Q675" t="str">
        <v>17:55:00</v>
      </c>
      <c r="R675" t="str">
        <v>332</v>
      </c>
      <c r="S675" t="str">
        <v xml:space="preserve">  AEA9117</v>
      </c>
      <c r="T675" t="str">
        <v>ESPAÑA</v>
      </c>
      <c r="U675" t="str">
        <v/>
      </c>
      <c r="V675" t="str">
        <v>TFN</v>
      </c>
      <c r="W675" t="str">
        <v>10/02/2019</v>
      </c>
      <c r="X675">
        <v>288</v>
      </c>
      <c r="Y675" t="str">
        <v>Airbus A330-200</v>
      </c>
    </row>
    <row r="676" spans="1:25" x14ac:dyDescent="0.25">
      <c r="A676" t="s">
        <v>1436</v>
      </c>
      <c r="B676" t="s">
        <v>0</v>
      </c>
      <c r="C676" t="s">
        <v>1532</v>
      </c>
      <c r="D676" t="s">
        <v>463</v>
      </c>
      <c r="E676" t="s">
        <v>18</v>
      </c>
      <c r="F676" s="5">
        <v>43401</v>
      </c>
      <c r="G676" s="5">
        <v>43548</v>
      </c>
      <c r="H676" s="6">
        <v>0.38194444444444442</v>
      </c>
      <c r="I676">
        <v>320</v>
      </c>
      <c r="J676" t="s">
        <v>464</v>
      </c>
      <c r="K676" t="s">
        <v>1533</v>
      </c>
      <c r="M676" t="s">
        <v>138</v>
      </c>
      <c r="N676" t="str">
        <v>Destino</v>
      </c>
      <c r="O676" t="str">
        <v>MADRID-BARAJAS ADOLFO SUÁREZ</v>
      </c>
      <c r="P676" t="str">
        <v>MAD</v>
      </c>
      <c r="Q676" t="str">
        <v>17:55:00</v>
      </c>
      <c r="R676" t="str">
        <v>332</v>
      </c>
      <c r="S676" t="str">
        <v xml:space="preserve">  AEA9117</v>
      </c>
      <c r="T676" t="str">
        <v>ESPAÑA</v>
      </c>
      <c r="U676" t="str">
        <v/>
      </c>
      <c r="V676" t="str">
        <v>TFN</v>
      </c>
      <c r="W676" t="str">
        <v>04/02/2019</v>
      </c>
      <c r="X676">
        <v>288</v>
      </c>
      <c r="Y676" t="str">
        <v>Airbus A330-200</v>
      </c>
    </row>
    <row r="677" spans="1:25" x14ac:dyDescent="0.25">
      <c r="A677" t="s">
        <v>1436</v>
      </c>
      <c r="B677" t="s">
        <v>0</v>
      </c>
      <c r="C677" t="s">
        <v>1162</v>
      </c>
      <c r="D677" t="s">
        <v>1163</v>
      </c>
      <c r="E677" t="s">
        <v>22</v>
      </c>
      <c r="F677" s="5">
        <v>43421</v>
      </c>
      <c r="G677" s="5">
        <v>43554</v>
      </c>
      <c r="H677" s="6">
        <v>0.4236111111111111</v>
      </c>
      <c r="I677" t="s">
        <v>14</v>
      </c>
      <c r="J677" t="s">
        <v>1534</v>
      </c>
      <c r="K677" t="s">
        <v>515</v>
      </c>
      <c r="M677" t="s">
        <v>138</v>
      </c>
      <c r="N677" t="str">
        <v>Destino</v>
      </c>
      <c r="O677" t="str">
        <v>MADRID-BARAJAS ADOLFO SUÁREZ</v>
      </c>
      <c r="P677" t="str">
        <v>MAD</v>
      </c>
      <c r="Q677" t="str">
        <v>17:55:00</v>
      </c>
      <c r="R677" t="str">
        <v>332</v>
      </c>
      <c r="S677" t="str">
        <v xml:space="preserve">  AEA9117</v>
      </c>
      <c r="T677" t="str">
        <v>ESPAÑA</v>
      </c>
      <c r="U677" t="str">
        <v/>
      </c>
      <c r="V677" t="str">
        <v>TFN</v>
      </c>
      <c r="W677" t="str">
        <v>07/02/2019</v>
      </c>
      <c r="X677">
        <v>288</v>
      </c>
      <c r="Y677" t="str">
        <v>Airbus A330-200</v>
      </c>
    </row>
    <row r="678" spans="1:25" x14ac:dyDescent="0.25">
      <c r="A678" t="s">
        <v>1436</v>
      </c>
      <c r="B678" t="s">
        <v>0</v>
      </c>
      <c r="C678" t="s">
        <v>465</v>
      </c>
      <c r="D678" t="s">
        <v>466</v>
      </c>
      <c r="E678" t="s">
        <v>59</v>
      </c>
      <c r="F678" s="5">
        <v>43472</v>
      </c>
      <c r="G678" s="5">
        <v>43521</v>
      </c>
      <c r="H678" s="6">
        <v>0.44444444444444442</v>
      </c>
      <c r="I678" t="s">
        <v>139</v>
      </c>
      <c r="J678" t="s">
        <v>467</v>
      </c>
      <c r="K678" t="s">
        <v>468</v>
      </c>
      <c r="M678" t="s">
        <v>138</v>
      </c>
      <c r="N678" t="str">
        <v>Destino</v>
      </c>
      <c r="O678" t="str">
        <v>MADRID-BARAJAS ADOLFO SUÁREZ</v>
      </c>
      <c r="P678" t="str">
        <v>MAD</v>
      </c>
      <c r="Q678" t="str">
        <v>17:55:00</v>
      </c>
      <c r="R678" t="str">
        <v>332</v>
      </c>
      <c r="S678" t="str">
        <v xml:space="preserve">  AEA9117</v>
      </c>
      <c r="T678" t="str">
        <v>ESPAÑA</v>
      </c>
      <c r="U678" t="str">
        <v/>
      </c>
      <c r="V678" t="str">
        <v>TFN</v>
      </c>
      <c r="W678" t="str">
        <v>09/02/2019</v>
      </c>
      <c r="X678">
        <v>288</v>
      </c>
      <c r="Y678" t="str">
        <v>Airbus A330-200</v>
      </c>
    </row>
    <row r="679" spans="1:25" x14ac:dyDescent="0.25">
      <c r="A679" t="s">
        <v>1436</v>
      </c>
      <c r="B679" t="s">
        <v>0</v>
      </c>
      <c r="C679" t="s">
        <v>465</v>
      </c>
      <c r="D679" t="s">
        <v>466</v>
      </c>
      <c r="E679" t="s">
        <v>48</v>
      </c>
      <c r="F679" s="5">
        <v>43406</v>
      </c>
      <c r="G679" s="5">
        <v>43553</v>
      </c>
      <c r="H679" s="6">
        <v>0.48958333333333331</v>
      </c>
      <c r="I679" t="s">
        <v>139</v>
      </c>
      <c r="J679" t="s">
        <v>467</v>
      </c>
      <c r="K679" t="s">
        <v>468</v>
      </c>
      <c r="M679" t="s">
        <v>138</v>
      </c>
      <c r="N679" t="str">
        <v>Destino</v>
      </c>
      <c r="O679" t="str">
        <v>MADRID-BARAJAS ADOLFO SUÁREZ</v>
      </c>
      <c r="P679" t="str">
        <v>MAD</v>
      </c>
      <c r="Q679" t="str">
        <v>17:55:00</v>
      </c>
      <c r="R679" t="str">
        <v>332</v>
      </c>
      <c r="S679" t="str">
        <v xml:space="preserve">  AEA9117</v>
      </c>
      <c r="T679" t="str">
        <v>ESPAÑA</v>
      </c>
      <c r="U679" t="str">
        <v/>
      </c>
      <c r="V679" t="str">
        <v>TFN</v>
      </c>
      <c r="W679" t="str">
        <v>05/02/2019</v>
      </c>
      <c r="X679">
        <v>288</v>
      </c>
      <c r="Y679" t="str">
        <v>Airbus A330-200</v>
      </c>
    </row>
    <row r="680" spans="1:25" x14ac:dyDescent="0.25">
      <c r="A680" t="s">
        <v>1436</v>
      </c>
      <c r="B680" t="s">
        <v>0</v>
      </c>
      <c r="C680" t="s">
        <v>469</v>
      </c>
      <c r="D680" t="s">
        <v>470</v>
      </c>
      <c r="E680" t="s">
        <v>22</v>
      </c>
      <c r="F680" s="5">
        <v>43477</v>
      </c>
      <c r="G680" s="5">
        <v>43554</v>
      </c>
      <c r="H680" s="6">
        <v>0.46875</v>
      </c>
      <c r="I680" t="s">
        <v>141</v>
      </c>
      <c r="J680" t="s">
        <v>471</v>
      </c>
      <c r="K680" t="s">
        <v>1533</v>
      </c>
      <c r="M680" t="s">
        <v>138</v>
      </c>
    </row>
    <row r="681" spans="1:25" x14ac:dyDescent="0.25">
      <c r="A681" t="s">
        <v>1436</v>
      </c>
      <c r="B681" t="s">
        <v>0</v>
      </c>
      <c r="C681" t="s">
        <v>11</v>
      </c>
      <c r="D681" t="s">
        <v>12</v>
      </c>
      <c r="E681" t="s">
        <v>22</v>
      </c>
      <c r="F681" s="5">
        <v>43456</v>
      </c>
      <c r="G681" s="5">
        <v>43554</v>
      </c>
      <c r="H681" s="6">
        <v>0.43402777777777773</v>
      </c>
      <c r="I681" t="s">
        <v>14</v>
      </c>
      <c r="J681" t="s">
        <v>1535</v>
      </c>
      <c r="K681" t="s">
        <v>16</v>
      </c>
      <c r="M681" t="s">
        <v>138</v>
      </c>
    </row>
    <row r="682" spans="1:25" x14ac:dyDescent="0.25">
      <c r="A682" t="s">
        <v>1436</v>
      </c>
      <c r="B682" t="s">
        <v>0</v>
      </c>
      <c r="C682" t="s">
        <v>11</v>
      </c>
      <c r="D682" t="s">
        <v>12</v>
      </c>
      <c r="E682" t="s">
        <v>18</v>
      </c>
      <c r="F682" s="5">
        <v>43401</v>
      </c>
      <c r="G682" s="5">
        <v>43548</v>
      </c>
      <c r="H682" s="6">
        <v>0.44444444444444442</v>
      </c>
      <c r="I682" t="s">
        <v>14</v>
      </c>
      <c r="J682" t="s">
        <v>473</v>
      </c>
      <c r="K682" t="s">
        <v>16</v>
      </c>
      <c r="M682" t="s">
        <v>138</v>
      </c>
    </row>
    <row r="683" spans="1:25" x14ac:dyDescent="0.25">
      <c r="A683" t="s">
        <v>1436</v>
      </c>
      <c r="B683" t="s">
        <v>0</v>
      </c>
      <c r="C683" t="s">
        <v>11</v>
      </c>
      <c r="D683" t="s">
        <v>12</v>
      </c>
      <c r="E683" t="s">
        <v>20</v>
      </c>
      <c r="F683" s="5">
        <v>43474</v>
      </c>
      <c r="G683" s="5">
        <v>43509</v>
      </c>
      <c r="H683" s="6">
        <v>0.51388888888888895</v>
      </c>
      <c r="I683" t="s">
        <v>14</v>
      </c>
      <c r="J683" t="s">
        <v>1536</v>
      </c>
      <c r="K683" t="s">
        <v>16</v>
      </c>
      <c r="L683" t="s">
        <v>275</v>
      </c>
      <c r="M683" t="s">
        <v>138</v>
      </c>
    </row>
    <row r="684" spans="1:25" x14ac:dyDescent="0.25">
      <c r="A684" t="s">
        <v>1436</v>
      </c>
      <c r="B684" t="s">
        <v>0</v>
      </c>
      <c r="C684" t="s">
        <v>11</v>
      </c>
      <c r="D684" t="s">
        <v>12</v>
      </c>
      <c r="E684" t="s">
        <v>19</v>
      </c>
      <c r="F684" s="5">
        <v>43508</v>
      </c>
      <c r="G684" s="5">
        <v>43550</v>
      </c>
      <c r="H684" s="6">
        <v>0.63194444444444442</v>
      </c>
      <c r="I684" t="s">
        <v>14</v>
      </c>
      <c r="J684" t="s">
        <v>1279</v>
      </c>
      <c r="K684" t="s">
        <v>16</v>
      </c>
      <c r="M684" t="s">
        <v>138</v>
      </c>
    </row>
    <row r="685" spans="1:25" x14ac:dyDescent="0.25">
      <c r="A685" t="s">
        <v>1436</v>
      </c>
      <c r="B685" t="s">
        <v>0</v>
      </c>
      <c r="C685" t="s">
        <v>11</v>
      </c>
      <c r="D685" t="s">
        <v>12</v>
      </c>
      <c r="E685" t="s">
        <v>13</v>
      </c>
      <c r="F685" s="5">
        <v>43405</v>
      </c>
      <c r="G685" s="5">
        <v>43552</v>
      </c>
      <c r="H685" s="6">
        <v>0.75347222222222221</v>
      </c>
      <c r="I685" t="s">
        <v>14</v>
      </c>
      <c r="J685" t="s">
        <v>472</v>
      </c>
      <c r="K685" t="s">
        <v>16</v>
      </c>
      <c r="M685" t="s">
        <v>138</v>
      </c>
    </row>
    <row r="686" spans="1:25" x14ac:dyDescent="0.25">
      <c r="A686" t="s">
        <v>1436</v>
      </c>
      <c r="B686" t="s">
        <v>0</v>
      </c>
      <c r="C686" t="s">
        <v>11</v>
      </c>
      <c r="D686" t="s">
        <v>12</v>
      </c>
      <c r="E686" t="s">
        <v>48</v>
      </c>
      <c r="F686" s="5">
        <v>43406</v>
      </c>
      <c r="G686" s="5">
        <v>43553</v>
      </c>
      <c r="H686" s="6">
        <v>0.77777777777777779</v>
      </c>
      <c r="I686" t="s">
        <v>14</v>
      </c>
      <c r="J686" t="s">
        <v>475</v>
      </c>
      <c r="K686" t="s">
        <v>16</v>
      </c>
      <c r="M686" t="s">
        <v>138</v>
      </c>
    </row>
    <row r="687" spans="1:25" x14ac:dyDescent="0.25">
      <c r="A687" t="s">
        <v>1436</v>
      </c>
      <c r="B687" t="s">
        <v>0</v>
      </c>
      <c r="C687" t="s">
        <v>11</v>
      </c>
      <c r="D687" t="s">
        <v>12</v>
      </c>
      <c r="E687" t="s">
        <v>20</v>
      </c>
      <c r="F687" s="5">
        <v>43411</v>
      </c>
      <c r="G687" s="5">
        <v>43551</v>
      </c>
      <c r="H687" s="6">
        <v>0.77777777777777779</v>
      </c>
      <c r="I687" t="s">
        <v>14</v>
      </c>
      <c r="J687" t="s">
        <v>473</v>
      </c>
      <c r="K687" t="s">
        <v>16</v>
      </c>
      <c r="M687" t="s">
        <v>138</v>
      </c>
    </row>
    <row r="688" spans="1:25" x14ac:dyDescent="0.25">
      <c r="A688" t="s">
        <v>1436</v>
      </c>
      <c r="B688" t="s">
        <v>0</v>
      </c>
      <c r="C688" t="s">
        <v>11</v>
      </c>
      <c r="D688" t="s">
        <v>12</v>
      </c>
      <c r="E688" t="s">
        <v>59</v>
      </c>
      <c r="F688" s="5">
        <v>43458</v>
      </c>
      <c r="G688" s="5">
        <v>43549</v>
      </c>
      <c r="H688" s="6">
        <v>0.77777777777777779</v>
      </c>
      <c r="I688" t="s">
        <v>14</v>
      </c>
      <c r="J688" t="s">
        <v>475</v>
      </c>
      <c r="K688" t="s">
        <v>16</v>
      </c>
      <c r="M688" t="s">
        <v>138</v>
      </c>
    </row>
    <row r="689" spans="1:13" x14ac:dyDescent="0.25">
      <c r="A689" t="s">
        <v>1436</v>
      </c>
      <c r="B689" t="s">
        <v>0</v>
      </c>
      <c r="C689" t="s">
        <v>11</v>
      </c>
      <c r="D689" t="s">
        <v>12</v>
      </c>
      <c r="E689" t="s">
        <v>18</v>
      </c>
      <c r="F689" s="5">
        <v>43513</v>
      </c>
      <c r="G689" s="5">
        <v>43548</v>
      </c>
      <c r="H689" s="6">
        <v>0.77777777777777779</v>
      </c>
      <c r="I689" t="s">
        <v>14</v>
      </c>
      <c r="J689" t="s">
        <v>1924</v>
      </c>
      <c r="K689" t="s">
        <v>16</v>
      </c>
      <c r="M689" t="s">
        <v>138</v>
      </c>
    </row>
    <row r="690" spans="1:13" x14ac:dyDescent="0.25">
      <c r="A690" t="s">
        <v>1436</v>
      </c>
      <c r="B690" t="s">
        <v>0</v>
      </c>
      <c r="C690" t="s">
        <v>11</v>
      </c>
      <c r="D690" t="s">
        <v>12</v>
      </c>
      <c r="E690" t="s">
        <v>22</v>
      </c>
      <c r="F690" s="5">
        <v>43512</v>
      </c>
      <c r="G690" s="5">
        <v>43554</v>
      </c>
      <c r="H690" s="6">
        <v>0.79166666666666663</v>
      </c>
      <c r="I690" t="s">
        <v>14</v>
      </c>
      <c r="J690" t="s">
        <v>472</v>
      </c>
      <c r="K690" t="s">
        <v>16</v>
      </c>
      <c r="M690" t="s">
        <v>138</v>
      </c>
    </row>
    <row r="691" spans="1:13" x14ac:dyDescent="0.25">
      <c r="A691" t="s">
        <v>1436</v>
      </c>
      <c r="B691" t="s">
        <v>0</v>
      </c>
      <c r="C691" t="s">
        <v>11</v>
      </c>
      <c r="D691" t="s">
        <v>12</v>
      </c>
      <c r="E691" t="s">
        <v>22</v>
      </c>
      <c r="F691" s="5">
        <v>43512</v>
      </c>
      <c r="G691" s="5">
        <v>43554</v>
      </c>
      <c r="H691" s="6">
        <v>0.82638888888888884</v>
      </c>
      <c r="I691" t="s">
        <v>698</v>
      </c>
      <c r="J691" t="s">
        <v>1925</v>
      </c>
      <c r="K691" t="s">
        <v>16</v>
      </c>
      <c r="M691" t="s">
        <v>138</v>
      </c>
    </row>
    <row r="692" spans="1:13" x14ac:dyDescent="0.25">
      <c r="A692" t="s">
        <v>1436</v>
      </c>
      <c r="B692" t="s">
        <v>0</v>
      </c>
      <c r="C692" t="s">
        <v>11</v>
      </c>
      <c r="D692" t="s">
        <v>12</v>
      </c>
      <c r="E692" t="s">
        <v>18</v>
      </c>
      <c r="F692" s="5">
        <v>43513</v>
      </c>
      <c r="G692" s="5">
        <v>43548</v>
      </c>
      <c r="H692" s="6">
        <v>0.84722222222222221</v>
      </c>
      <c r="I692" t="s">
        <v>14</v>
      </c>
      <c r="J692" t="s">
        <v>1197</v>
      </c>
      <c r="K692" t="s">
        <v>16</v>
      </c>
      <c r="M692" t="s">
        <v>138</v>
      </c>
    </row>
    <row r="693" spans="1:13" x14ac:dyDescent="0.25">
      <c r="A693" t="s">
        <v>1436</v>
      </c>
      <c r="B693" t="s">
        <v>0</v>
      </c>
      <c r="C693" t="s">
        <v>11</v>
      </c>
      <c r="D693" t="s">
        <v>12</v>
      </c>
      <c r="E693" t="s">
        <v>59</v>
      </c>
      <c r="F693" s="5">
        <v>43416</v>
      </c>
      <c r="G693" s="5">
        <v>43549</v>
      </c>
      <c r="H693" s="6">
        <v>0.86458333333333337</v>
      </c>
      <c r="I693" t="s">
        <v>14</v>
      </c>
      <c r="J693" t="s">
        <v>1538</v>
      </c>
      <c r="K693" t="s">
        <v>16</v>
      </c>
      <c r="M693" t="s">
        <v>138</v>
      </c>
    </row>
    <row r="694" spans="1:13" x14ac:dyDescent="0.25">
      <c r="A694" t="s">
        <v>1436</v>
      </c>
      <c r="B694" t="s">
        <v>0</v>
      </c>
      <c r="C694" t="s">
        <v>11</v>
      </c>
      <c r="D694" t="s">
        <v>12</v>
      </c>
      <c r="E694" t="s">
        <v>48</v>
      </c>
      <c r="F694" s="5">
        <v>43462</v>
      </c>
      <c r="G694" s="5">
        <v>43553</v>
      </c>
      <c r="H694" s="6">
        <v>0.86458333333333337</v>
      </c>
      <c r="I694" t="s">
        <v>14</v>
      </c>
      <c r="J694" t="s">
        <v>1537</v>
      </c>
      <c r="K694" t="s">
        <v>16</v>
      </c>
      <c r="M694" t="s">
        <v>138</v>
      </c>
    </row>
    <row r="695" spans="1:13" x14ac:dyDescent="0.25">
      <c r="A695" t="s">
        <v>1436</v>
      </c>
      <c r="B695" t="s">
        <v>0</v>
      </c>
      <c r="C695" t="s">
        <v>476</v>
      </c>
      <c r="D695" t="s">
        <v>477</v>
      </c>
      <c r="E695" t="s">
        <v>22</v>
      </c>
      <c r="F695" s="5">
        <v>43407</v>
      </c>
      <c r="G695" s="5">
        <v>43554</v>
      </c>
      <c r="H695" s="6">
        <v>0.4861111111111111</v>
      </c>
      <c r="I695" t="s">
        <v>141</v>
      </c>
      <c r="J695" t="s">
        <v>478</v>
      </c>
      <c r="K695" t="s">
        <v>479</v>
      </c>
      <c r="M695" t="s">
        <v>138</v>
      </c>
    </row>
    <row r="696" spans="1:13" x14ac:dyDescent="0.25">
      <c r="A696" t="s">
        <v>1436</v>
      </c>
      <c r="B696" t="s">
        <v>0</v>
      </c>
      <c r="C696" t="s">
        <v>27</v>
      </c>
      <c r="D696" t="s">
        <v>28</v>
      </c>
      <c r="E696" t="s">
        <v>163</v>
      </c>
      <c r="F696" s="5">
        <v>43402</v>
      </c>
      <c r="G696" s="5">
        <v>43552</v>
      </c>
      <c r="H696" s="6">
        <v>0.29166666666666669</v>
      </c>
      <c r="I696">
        <v>321</v>
      </c>
      <c r="J696" t="s">
        <v>480</v>
      </c>
      <c r="K696" t="s">
        <v>1533</v>
      </c>
      <c r="M696" t="s">
        <v>138</v>
      </c>
    </row>
    <row r="697" spans="1:13" x14ac:dyDescent="0.25">
      <c r="A697" t="s">
        <v>1436</v>
      </c>
      <c r="B697" t="s">
        <v>0</v>
      </c>
      <c r="C697" t="s">
        <v>27</v>
      </c>
      <c r="D697" t="s">
        <v>28</v>
      </c>
      <c r="E697" t="s">
        <v>1926</v>
      </c>
      <c r="F697" s="5">
        <v>43473</v>
      </c>
      <c r="G697" s="5">
        <v>43554</v>
      </c>
      <c r="H697" s="6">
        <v>0.29166666666666669</v>
      </c>
      <c r="I697">
        <v>321</v>
      </c>
      <c r="J697" t="s">
        <v>480</v>
      </c>
      <c r="K697" t="s">
        <v>1533</v>
      </c>
      <c r="M697" t="s">
        <v>138</v>
      </c>
    </row>
    <row r="698" spans="1:13" x14ac:dyDescent="0.25">
      <c r="A698" t="s">
        <v>1436</v>
      </c>
      <c r="B698" t="s">
        <v>0</v>
      </c>
      <c r="C698" t="s">
        <v>27</v>
      </c>
      <c r="D698" t="s">
        <v>28</v>
      </c>
      <c r="E698" t="s">
        <v>18</v>
      </c>
      <c r="F698" s="5">
        <v>43401</v>
      </c>
      <c r="G698" s="5">
        <v>43548</v>
      </c>
      <c r="H698" s="6">
        <v>0.37847222222222227</v>
      </c>
      <c r="I698">
        <v>320</v>
      </c>
      <c r="J698" t="s">
        <v>481</v>
      </c>
      <c r="K698" t="s">
        <v>1533</v>
      </c>
      <c r="M698" t="s">
        <v>138</v>
      </c>
    </row>
    <row r="699" spans="1:13" x14ac:dyDescent="0.25">
      <c r="A699" t="s">
        <v>1436</v>
      </c>
      <c r="B699" t="s">
        <v>0</v>
      </c>
      <c r="C699" t="s">
        <v>27</v>
      </c>
      <c r="D699" t="s">
        <v>28</v>
      </c>
      <c r="E699" t="s">
        <v>1262</v>
      </c>
      <c r="F699" s="5">
        <v>43401</v>
      </c>
      <c r="G699" s="5">
        <v>43553</v>
      </c>
      <c r="H699" s="6">
        <v>0.63888888888888895</v>
      </c>
      <c r="I699">
        <v>321</v>
      </c>
      <c r="J699" t="s">
        <v>482</v>
      </c>
      <c r="K699" t="s">
        <v>1533</v>
      </c>
      <c r="M699" t="s">
        <v>138</v>
      </c>
    </row>
    <row r="700" spans="1:13" x14ac:dyDescent="0.25">
      <c r="A700" t="s">
        <v>1436</v>
      </c>
      <c r="B700" t="s">
        <v>0</v>
      </c>
      <c r="C700" t="s">
        <v>27</v>
      </c>
      <c r="D700" t="s">
        <v>28</v>
      </c>
      <c r="E700" t="s">
        <v>750</v>
      </c>
      <c r="F700" s="5">
        <v>43472</v>
      </c>
      <c r="G700" s="5">
        <v>43554</v>
      </c>
      <c r="H700" s="6">
        <v>0.63888888888888895</v>
      </c>
      <c r="I700">
        <v>321</v>
      </c>
      <c r="J700" t="s">
        <v>482</v>
      </c>
      <c r="K700" t="s">
        <v>1533</v>
      </c>
      <c r="M700" t="s">
        <v>138</v>
      </c>
    </row>
    <row r="701" spans="1:13" x14ac:dyDescent="0.25">
      <c r="A701" t="s">
        <v>1436</v>
      </c>
      <c r="B701" t="s">
        <v>0</v>
      </c>
      <c r="C701" t="s">
        <v>27</v>
      </c>
      <c r="D701" t="s">
        <v>28</v>
      </c>
      <c r="E701" t="s">
        <v>18</v>
      </c>
      <c r="F701" s="5">
        <v>43443</v>
      </c>
      <c r="G701" s="5">
        <v>43548</v>
      </c>
      <c r="H701" s="6">
        <v>0.76736111111111116</v>
      </c>
      <c r="I701" t="s">
        <v>14</v>
      </c>
      <c r="J701" t="s">
        <v>483</v>
      </c>
      <c r="K701" t="s">
        <v>1533</v>
      </c>
      <c r="M701" t="s">
        <v>138</v>
      </c>
    </row>
    <row r="702" spans="1:13" x14ac:dyDescent="0.25">
      <c r="A702" t="s">
        <v>1436</v>
      </c>
      <c r="B702" t="s">
        <v>0</v>
      </c>
      <c r="C702" t="s">
        <v>27</v>
      </c>
      <c r="D702" t="s">
        <v>28</v>
      </c>
      <c r="E702" t="s">
        <v>1263</v>
      </c>
      <c r="F702" s="5">
        <v>43468</v>
      </c>
      <c r="G702" s="5">
        <v>43553</v>
      </c>
      <c r="H702" s="6">
        <v>0.80555555555555547</v>
      </c>
      <c r="I702" t="s">
        <v>14</v>
      </c>
      <c r="J702" t="s">
        <v>1539</v>
      </c>
      <c r="K702" t="s">
        <v>1533</v>
      </c>
      <c r="M702" t="s">
        <v>138</v>
      </c>
    </row>
    <row r="703" spans="1:13" x14ac:dyDescent="0.25">
      <c r="A703" t="s">
        <v>1436</v>
      </c>
      <c r="B703" t="s">
        <v>0</v>
      </c>
      <c r="C703" t="s">
        <v>27</v>
      </c>
      <c r="D703" t="s">
        <v>28</v>
      </c>
      <c r="E703" t="s">
        <v>18</v>
      </c>
      <c r="F703" s="5">
        <v>43401</v>
      </c>
      <c r="G703" s="5">
        <v>43548</v>
      </c>
      <c r="H703" s="6">
        <v>0.81944444444444453</v>
      </c>
      <c r="I703" t="s">
        <v>14</v>
      </c>
      <c r="J703" t="s">
        <v>1539</v>
      </c>
      <c r="K703" t="s">
        <v>1533</v>
      </c>
      <c r="M703" t="s">
        <v>138</v>
      </c>
    </row>
    <row r="704" spans="1:13" x14ac:dyDescent="0.25">
      <c r="A704" t="s">
        <v>1436</v>
      </c>
      <c r="B704" t="s">
        <v>0</v>
      </c>
      <c r="C704" t="s">
        <v>27</v>
      </c>
      <c r="D704" t="s">
        <v>28</v>
      </c>
      <c r="E704" t="s">
        <v>158</v>
      </c>
      <c r="F704" s="5">
        <v>43404</v>
      </c>
      <c r="G704" s="5">
        <v>43554</v>
      </c>
      <c r="H704" s="6">
        <v>0.81944444444444453</v>
      </c>
      <c r="I704" t="s">
        <v>14</v>
      </c>
      <c r="J704" t="s">
        <v>483</v>
      </c>
      <c r="K704" t="s">
        <v>1533</v>
      </c>
      <c r="M704" t="s">
        <v>138</v>
      </c>
    </row>
    <row r="705" spans="1:13" x14ac:dyDescent="0.25">
      <c r="A705" t="s">
        <v>1436</v>
      </c>
      <c r="B705" t="s">
        <v>0</v>
      </c>
      <c r="C705" t="s">
        <v>27</v>
      </c>
      <c r="D705" t="s">
        <v>28</v>
      </c>
      <c r="E705" t="s">
        <v>59</v>
      </c>
      <c r="F705" s="5">
        <v>43472</v>
      </c>
      <c r="G705" s="5">
        <v>43549</v>
      </c>
      <c r="H705" s="6">
        <v>0.81944444444444453</v>
      </c>
      <c r="I705" t="s">
        <v>14</v>
      </c>
      <c r="J705" t="s">
        <v>483</v>
      </c>
      <c r="K705" t="s">
        <v>1533</v>
      </c>
      <c r="M705" t="s">
        <v>138</v>
      </c>
    </row>
    <row r="706" spans="1:13" x14ac:dyDescent="0.25">
      <c r="A706" t="s">
        <v>1436</v>
      </c>
      <c r="B706" t="s">
        <v>0</v>
      </c>
      <c r="C706" t="s">
        <v>27</v>
      </c>
      <c r="D706" t="s">
        <v>28</v>
      </c>
      <c r="E706" t="s">
        <v>48</v>
      </c>
      <c r="F706" s="5">
        <v>43476</v>
      </c>
      <c r="G706" s="5">
        <v>43553</v>
      </c>
      <c r="H706" s="6">
        <v>0.82291666666666663</v>
      </c>
      <c r="I706">
        <v>320</v>
      </c>
      <c r="J706" t="s">
        <v>481</v>
      </c>
      <c r="K706" t="s">
        <v>1533</v>
      </c>
      <c r="M706" t="s">
        <v>138</v>
      </c>
    </row>
    <row r="707" spans="1:13" x14ac:dyDescent="0.25">
      <c r="A707" t="s">
        <v>1436</v>
      </c>
      <c r="B707" t="s">
        <v>0</v>
      </c>
      <c r="C707" t="s">
        <v>27</v>
      </c>
      <c r="D707" t="s">
        <v>28</v>
      </c>
      <c r="E707" t="s">
        <v>59</v>
      </c>
      <c r="F707" s="5">
        <v>43514</v>
      </c>
      <c r="G707" s="5">
        <v>43549</v>
      </c>
      <c r="H707" s="6">
        <v>0.82291666666666663</v>
      </c>
      <c r="I707">
        <v>320</v>
      </c>
      <c r="J707" t="s">
        <v>481</v>
      </c>
      <c r="K707" t="s">
        <v>1533</v>
      </c>
      <c r="M707" t="s">
        <v>138</v>
      </c>
    </row>
    <row r="708" spans="1:13" x14ac:dyDescent="0.25">
      <c r="A708" t="s">
        <v>1436</v>
      </c>
      <c r="B708" t="s">
        <v>0</v>
      </c>
      <c r="C708" t="s">
        <v>31</v>
      </c>
      <c r="D708" t="s">
        <v>32</v>
      </c>
      <c r="E708" t="s">
        <v>22</v>
      </c>
      <c r="F708" s="5">
        <v>43442</v>
      </c>
      <c r="G708" s="5">
        <v>43554</v>
      </c>
      <c r="H708" s="6">
        <v>0.4513888888888889</v>
      </c>
      <c r="I708" t="s">
        <v>106</v>
      </c>
      <c r="J708" t="s">
        <v>484</v>
      </c>
      <c r="K708" t="s">
        <v>34</v>
      </c>
      <c r="M708" t="s">
        <v>138</v>
      </c>
    </row>
    <row r="709" spans="1:13" x14ac:dyDescent="0.25">
      <c r="A709" t="s">
        <v>1436</v>
      </c>
      <c r="B709" t="s">
        <v>0</v>
      </c>
      <c r="C709" t="s">
        <v>31</v>
      </c>
      <c r="D709" t="s">
        <v>32</v>
      </c>
      <c r="E709" t="s">
        <v>325</v>
      </c>
      <c r="F709" s="5">
        <v>43403</v>
      </c>
      <c r="G709" s="5">
        <v>43554</v>
      </c>
      <c r="H709" s="6">
        <v>0.71875</v>
      </c>
      <c r="I709">
        <v>320</v>
      </c>
      <c r="J709" t="s">
        <v>1540</v>
      </c>
      <c r="K709" t="s">
        <v>34</v>
      </c>
      <c r="M709" t="s">
        <v>138</v>
      </c>
    </row>
    <row r="710" spans="1:13" x14ac:dyDescent="0.25">
      <c r="A710" t="s">
        <v>1436</v>
      </c>
      <c r="B710" t="s">
        <v>0</v>
      </c>
      <c r="C710" t="s">
        <v>35</v>
      </c>
      <c r="D710" t="s">
        <v>36</v>
      </c>
      <c r="E710" t="s">
        <v>59</v>
      </c>
      <c r="F710" s="5">
        <v>43507</v>
      </c>
      <c r="G710" s="5">
        <v>43549</v>
      </c>
      <c r="H710" s="6">
        <v>0.61111111111111105</v>
      </c>
      <c r="I710" t="s">
        <v>39</v>
      </c>
      <c r="J710" t="s">
        <v>1927</v>
      </c>
      <c r="K710" t="s">
        <v>38</v>
      </c>
      <c r="M710" t="s">
        <v>138</v>
      </c>
    </row>
    <row r="711" spans="1:13" x14ac:dyDescent="0.25">
      <c r="A711" t="s">
        <v>1436</v>
      </c>
      <c r="B711" t="s">
        <v>0</v>
      </c>
      <c r="C711" t="s">
        <v>35</v>
      </c>
      <c r="D711" t="s">
        <v>36</v>
      </c>
      <c r="E711" t="s">
        <v>18</v>
      </c>
      <c r="F711" s="5">
        <v>43401</v>
      </c>
      <c r="G711" s="5">
        <v>43548</v>
      </c>
      <c r="H711" s="6">
        <v>0.63541666666666663</v>
      </c>
      <c r="I711" t="s">
        <v>14</v>
      </c>
      <c r="J711" t="s">
        <v>485</v>
      </c>
      <c r="K711" t="s">
        <v>38</v>
      </c>
      <c r="M711" t="s">
        <v>138</v>
      </c>
    </row>
    <row r="712" spans="1:13" x14ac:dyDescent="0.25">
      <c r="A712" t="s">
        <v>1436</v>
      </c>
      <c r="B712" t="s">
        <v>0</v>
      </c>
      <c r="C712" t="s">
        <v>486</v>
      </c>
      <c r="D712" t="s">
        <v>487</v>
      </c>
      <c r="E712" t="s">
        <v>20</v>
      </c>
      <c r="F712" s="5">
        <v>43488</v>
      </c>
      <c r="G712" s="5">
        <v>43516</v>
      </c>
      <c r="H712" s="6">
        <v>0.30902777777777779</v>
      </c>
      <c r="I712" t="s">
        <v>14</v>
      </c>
      <c r="J712" t="s">
        <v>1541</v>
      </c>
      <c r="K712" t="s">
        <v>488</v>
      </c>
      <c r="M712" t="s">
        <v>138</v>
      </c>
    </row>
    <row r="713" spans="1:13" x14ac:dyDescent="0.25">
      <c r="A713" t="s">
        <v>1436</v>
      </c>
      <c r="B713" t="s">
        <v>0</v>
      </c>
      <c r="C713" t="s">
        <v>486</v>
      </c>
      <c r="D713" t="s">
        <v>487</v>
      </c>
      <c r="E713" t="s">
        <v>59</v>
      </c>
      <c r="F713" s="5">
        <v>43472</v>
      </c>
      <c r="G713" s="5">
        <v>43549</v>
      </c>
      <c r="H713" s="6">
        <v>0.43055555555555558</v>
      </c>
      <c r="I713" t="s">
        <v>14</v>
      </c>
      <c r="J713" t="s">
        <v>1541</v>
      </c>
      <c r="K713" t="s">
        <v>488</v>
      </c>
      <c r="M713" t="s">
        <v>138</v>
      </c>
    </row>
    <row r="714" spans="1:13" x14ac:dyDescent="0.25">
      <c r="A714" t="s">
        <v>1436</v>
      </c>
      <c r="B714" t="s">
        <v>0</v>
      </c>
      <c r="C714" t="s">
        <v>486</v>
      </c>
      <c r="D714" t="s">
        <v>487</v>
      </c>
      <c r="E714" t="s">
        <v>22</v>
      </c>
      <c r="F714" s="5">
        <v>43407</v>
      </c>
      <c r="G714" s="5">
        <v>43554</v>
      </c>
      <c r="H714" s="6">
        <v>0.73263888888888884</v>
      </c>
      <c r="I714" t="s">
        <v>14</v>
      </c>
      <c r="J714" t="s">
        <v>1542</v>
      </c>
      <c r="K714" t="s">
        <v>488</v>
      </c>
      <c r="M714" t="s">
        <v>138</v>
      </c>
    </row>
    <row r="715" spans="1:13" x14ac:dyDescent="0.25">
      <c r="A715" t="s">
        <v>1436</v>
      </c>
      <c r="B715" t="s">
        <v>0</v>
      </c>
      <c r="C715" t="s">
        <v>42</v>
      </c>
      <c r="D715" t="s">
        <v>43</v>
      </c>
      <c r="E715" t="s">
        <v>48</v>
      </c>
      <c r="F715" s="5">
        <v>43511</v>
      </c>
      <c r="G715" s="5">
        <v>43511</v>
      </c>
      <c r="H715" s="6">
        <v>0.45833333333333331</v>
      </c>
      <c r="I715" t="s">
        <v>14</v>
      </c>
      <c r="J715" t="s">
        <v>1543</v>
      </c>
      <c r="K715" t="s">
        <v>45</v>
      </c>
      <c r="M715" t="s">
        <v>138</v>
      </c>
    </row>
    <row r="716" spans="1:13" x14ac:dyDescent="0.25">
      <c r="A716" t="s">
        <v>1436</v>
      </c>
      <c r="B716" t="s">
        <v>0</v>
      </c>
      <c r="C716" t="s">
        <v>42</v>
      </c>
      <c r="D716" t="s">
        <v>43</v>
      </c>
      <c r="E716" t="s">
        <v>59</v>
      </c>
      <c r="F716" s="5">
        <v>43472</v>
      </c>
      <c r="G716" s="5">
        <v>43549</v>
      </c>
      <c r="H716" s="6">
        <v>0.5</v>
      </c>
      <c r="I716" t="s">
        <v>14</v>
      </c>
      <c r="J716" t="s">
        <v>1543</v>
      </c>
      <c r="K716" t="s">
        <v>45</v>
      </c>
      <c r="M716" t="s">
        <v>138</v>
      </c>
    </row>
    <row r="717" spans="1:13" x14ac:dyDescent="0.25">
      <c r="A717" t="s">
        <v>1436</v>
      </c>
      <c r="B717" t="s">
        <v>0</v>
      </c>
      <c r="C717" t="s">
        <v>42</v>
      </c>
      <c r="D717" t="s">
        <v>43</v>
      </c>
      <c r="E717" t="s">
        <v>20</v>
      </c>
      <c r="F717" s="5">
        <v>43509</v>
      </c>
      <c r="G717" s="5">
        <v>43509</v>
      </c>
      <c r="H717" s="6">
        <v>0.58333333333333337</v>
      </c>
      <c r="I717" t="s">
        <v>81</v>
      </c>
      <c r="J717" t="s">
        <v>1545</v>
      </c>
      <c r="K717" t="s">
        <v>45</v>
      </c>
      <c r="M717" t="s">
        <v>138</v>
      </c>
    </row>
    <row r="718" spans="1:13" x14ac:dyDescent="0.25">
      <c r="A718" t="s">
        <v>1436</v>
      </c>
      <c r="B718" t="s">
        <v>0</v>
      </c>
      <c r="C718" t="s">
        <v>42</v>
      </c>
      <c r="D718" t="s">
        <v>43</v>
      </c>
      <c r="E718" t="s">
        <v>19</v>
      </c>
      <c r="F718" s="5">
        <v>43466</v>
      </c>
      <c r="G718" s="5">
        <v>43550</v>
      </c>
      <c r="H718" s="6">
        <v>0.65277777777777779</v>
      </c>
      <c r="I718">
        <v>320</v>
      </c>
      <c r="J718" t="s">
        <v>1544</v>
      </c>
      <c r="K718" t="s">
        <v>45</v>
      </c>
      <c r="M718" t="s">
        <v>138</v>
      </c>
    </row>
    <row r="719" spans="1:13" x14ac:dyDescent="0.25">
      <c r="A719" t="s">
        <v>1436</v>
      </c>
      <c r="B719" t="s">
        <v>0</v>
      </c>
      <c r="C719" t="s">
        <v>42</v>
      </c>
      <c r="D719" t="s">
        <v>43</v>
      </c>
      <c r="E719" t="s">
        <v>18</v>
      </c>
      <c r="F719" s="5">
        <v>43513</v>
      </c>
      <c r="G719" s="5">
        <v>43527</v>
      </c>
      <c r="H719" s="6">
        <v>0.74652777777777779</v>
      </c>
      <c r="I719">
        <v>319</v>
      </c>
      <c r="J719" t="s">
        <v>1545</v>
      </c>
      <c r="K719" t="s">
        <v>45</v>
      </c>
      <c r="M719" t="s">
        <v>138</v>
      </c>
    </row>
    <row r="720" spans="1:13" x14ac:dyDescent="0.25">
      <c r="A720" t="s">
        <v>1436</v>
      </c>
      <c r="B720" t="s">
        <v>0</v>
      </c>
      <c r="C720" t="s">
        <v>46</v>
      </c>
      <c r="D720" t="s">
        <v>47</v>
      </c>
      <c r="E720" t="s">
        <v>18</v>
      </c>
      <c r="F720" s="5">
        <v>43429</v>
      </c>
      <c r="G720" s="5">
        <v>43548</v>
      </c>
      <c r="H720" s="6">
        <v>0.34722222222222227</v>
      </c>
      <c r="I720" t="s">
        <v>331</v>
      </c>
      <c r="J720" t="s">
        <v>1549</v>
      </c>
      <c r="K720" t="s">
        <v>45</v>
      </c>
      <c r="M720" t="s">
        <v>138</v>
      </c>
    </row>
    <row r="721" spans="1:13" x14ac:dyDescent="0.25">
      <c r="A721" t="s">
        <v>1436</v>
      </c>
      <c r="B721" t="s">
        <v>0</v>
      </c>
      <c r="C721" t="s">
        <v>46</v>
      </c>
      <c r="D721" t="s">
        <v>47</v>
      </c>
      <c r="E721" t="s">
        <v>18</v>
      </c>
      <c r="F721" s="5">
        <v>43401</v>
      </c>
      <c r="G721" s="5">
        <v>43548</v>
      </c>
      <c r="H721" s="6">
        <v>0.44444444444444442</v>
      </c>
      <c r="I721" t="s">
        <v>14</v>
      </c>
      <c r="J721" t="s">
        <v>1546</v>
      </c>
      <c r="K721" t="s">
        <v>45</v>
      </c>
      <c r="M721" t="s">
        <v>138</v>
      </c>
    </row>
    <row r="722" spans="1:13" x14ac:dyDescent="0.25">
      <c r="A722" t="s">
        <v>1436</v>
      </c>
      <c r="B722" t="s">
        <v>0</v>
      </c>
      <c r="C722" t="s">
        <v>46</v>
      </c>
      <c r="D722" t="s">
        <v>47</v>
      </c>
      <c r="E722" t="s">
        <v>13</v>
      </c>
      <c r="F722" s="5">
        <v>43405</v>
      </c>
      <c r="G722" s="5">
        <v>43552</v>
      </c>
      <c r="H722" s="6">
        <v>0.44791666666666669</v>
      </c>
      <c r="I722" t="s">
        <v>14</v>
      </c>
      <c r="J722" t="s">
        <v>1547</v>
      </c>
      <c r="K722" t="s">
        <v>45</v>
      </c>
      <c r="M722" t="s">
        <v>138</v>
      </c>
    </row>
    <row r="723" spans="1:13" x14ac:dyDescent="0.25">
      <c r="A723" t="s">
        <v>1436</v>
      </c>
      <c r="B723" t="s">
        <v>0</v>
      </c>
      <c r="C723" t="s">
        <v>46</v>
      </c>
      <c r="D723" t="s">
        <v>47</v>
      </c>
      <c r="E723" t="s">
        <v>20</v>
      </c>
      <c r="F723" s="5">
        <v>43467</v>
      </c>
      <c r="G723" s="5">
        <v>43551</v>
      </c>
      <c r="H723" s="6">
        <v>0.44791666666666669</v>
      </c>
      <c r="I723" t="s">
        <v>14</v>
      </c>
      <c r="J723" t="s">
        <v>1546</v>
      </c>
      <c r="K723" t="s">
        <v>45</v>
      </c>
      <c r="M723" t="s">
        <v>138</v>
      </c>
    </row>
    <row r="724" spans="1:13" x14ac:dyDescent="0.25">
      <c r="A724" t="s">
        <v>1436</v>
      </c>
      <c r="B724" t="s">
        <v>0</v>
      </c>
      <c r="C724" t="s">
        <v>46</v>
      </c>
      <c r="D724" t="s">
        <v>47</v>
      </c>
      <c r="E724" t="s">
        <v>18</v>
      </c>
      <c r="F724" s="5">
        <v>43443</v>
      </c>
      <c r="G724" s="5">
        <v>43548</v>
      </c>
      <c r="H724" s="6">
        <v>0.46527777777777773</v>
      </c>
      <c r="I724" t="s">
        <v>106</v>
      </c>
      <c r="J724" t="s">
        <v>1548</v>
      </c>
      <c r="K724" t="s">
        <v>45</v>
      </c>
      <c r="M724" t="s">
        <v>138</v>
      </c>
    </row>
    <row r="725" spans="1:13" x14ac:dyDescent="0.25">
      <c r="A725" t="s">
        <v>1436</v>
      </c>
      <c r="B725" t="s">
        <v>0</v>
      </c>
      <c r="C725" t="s">
        <v>46</v>
      </c>
      <c r="D725" t="s">
        <v>47</v>
      </c>
      <c r="E725" t="s">
        <v>22</v>
      </c>
      <c r="F725" s="5">
        <v>43484</v>
      </c>
      <c r="G725" s="5">
        <v>43554</v>
      </c>
      <c r="H725" s="6">
        <v>0.46527777777777773</v>
      </c>
      <c r="I725" t="s">
        <v>106</v>
      </c>
      <c r="J725" t="s">
        <v>1548</v>
      </c>
      <c r="K725" t="s">
        <v>45</v>
      </c>
      <c r="M725" t="s">
        <v>138</v>
      </c>
    </row>
    <row r="726" spans="1:13" x14ac:dyDescent="0.25">
      <c r="A726" t="s">
        <v>1436</v>
      </c>
      <c r="B726" t="s">
        <v>0</v>
      </c>
      <c r="C726" t="s">
        <v>46</v>
      </c>
      <c r="D726" t="s">
        <v>47</v>
      </c>
      <c r="E726" t="s">
        <v>18</v>
      </c>
      <c r="F726" s="5">
        <v>43401</v>
      </c>
      <c r="G726" s="5">
        <v>43548</v>
      </c>
      <c r="H726" s="6">
        <v>0.61111111111111105</v>
      </c>
      <c r="I726" t="s">
        <v>352</v>
      </c>
      <c r="J726" t="s">
        <v>1550</v>
      </c>
      <c r="K726" t="s">
        <v>45</v>
      </c>
      <c r="M726" t="s">
        <v>138</v>
      </c>
    </row>
    <row r="727" spans="1:13" x14ac:dyDescent="0.25">
      <c r="A727" t="s">
        <v>1436</v>
      </c>
      <c r="B727" t="s">
        <v>0</v>
      </c>
      <c r="C727" t="s">
        <v>46</v>
      </c>
      <c r="D727" t="s">
        <v>47</v>
      </c>
      <c r="E727" t="s">
        <v>22</v>
      </c>
      <c r="F727" s="5">
        <v>43512</v>
      </c>
      <c r="G727" s="5">
        <v>43554</v>
      </c>
      <c r="H727" s="6">
        <v>0.61458333333333337</v>
      </c>
      <c r="I727">
        <v>319</v>
      </c>
      <c r="J727" t="s">
        <v>490</v>
      </c>
      <c r="K727" t="s">
        <v>45</v>
      </c>
      <c r="M727" t="s">
        <v>138</v>
      </c>
    </row>
    <row r="728" spans="1:13" x14ac:dyDescent="0.25">
      <c r="A728" t="s">
        <v>1436</v>
      </c>
      <c r="B728" t="s">
        <v>0</v>
      </c>
      <c r="C728" t="s">
        <v>46</v>
      </c>
      <c r="D728" t="s">
        <v>47</v>
      </c>
      <c r="E728" t="s">
        <v>20</v>
      </c>
      <c r="F728" s="5">
        <v>43502</v>
      </c>
      <c r="G728" s="5">
        <v>43551</v>
      </c>
      <c r="H728" s="6">
        <v>0.64583333333333337</v>
      </c>
      <c r="I728">
        <v>319</v>
      </c>
      <c r="J728" t="s">
        <v>490</v>
      </c>
      <c r="K728" t="s">
        <v>45</v>
      </c>
      <c r="M728" t="s">
        <v>138</v>
      </c>
    </row>
    <row r="729" spans="1:13" x14ac:dyDescent="0.25">
      <c r="A729" t="s">
        <v>1436</v>
      </c>
      <c r="B729" t="s">
        <v>0</v>
      </c>
      <c r="C729" t="s">
        <v>46</v>
      </c>
      <c r="D729" t="s">
        <v>47</v>
      </c>
      <c r="E729" t="s">
        <v>59</v>
      </c>
      <c r="F729" s="5">
        <v>43465</v>
      </c>
      <c r="G729" s="5">
        <v>43549</v>
      </c>
      <c r="H729" s="6">
        <v>0.68402777777777779</v>
      </c>
      <c r="I729" t="s">
        <v>14</v>
      </c>
      <c r="J729" t="s">
        <v>1546</v>
      </c>
      <c r="K729" t="s">
        <v>45</v>
      </c>
      <c r="M729" t="s">
        <v>138</v>
      </c>
    </row>
    <row r="730" spans="1:13" x14ac:dyDescent="0.25">
      <c r="A730" t="s">
        <v>1436</v>
      </c>
      <c r="B730" t="s">
        <v>0</v>
      </c>
      <c r="C730" t="s">
        <v>46</v>
      </c>
      <c r="D730" t="s">
        <v>47</v>
      </c>
      <c r="E730" t="s">
        <v>18</v>
      </c>
      <c r="F730" s="5">
        <v>43499</v>
      </c>
      <c r="G730" s="5">
        <v>43548</v>
      </c>
      <c r="H730" s="6">
        <v>0.70138888888888884</v>
      </c>
      <c r="I730">
        <v>319</v>
      </c>
      <c r="J730" t="s">
        <v>490</v>
      </c>
      <c r="K730" t="s">
        <v>45</v>
      </c>
      <c r="M730" t="s">
        <v>138</v>
      </c>
    </row>
    <row r="731" spans="1:13" x14ac:dyDescent="0.25">
      <c r="A731" t="s">
        <v>1436</v>
      </c>
      <c r="B731" t="s">
        <v>0</v>
      </c>
      <c r="C731" t="s">
        <v>50</v>
      </c>
      <c r="D731" t="s">
        <v>51</v>
      </c>
      <c r="E731" t="s">
        <v>19</v>
      </c>
      <c r="F731" s="5">
        <v>43473</v>
      </c>
      <c r="G731" s="5">
        <v>43508</v>
      </c>
      <c r="H731" s="6">
        <v>0.49305555555555558</v>
      </c>
      <c r="I731">
        <v>320</v>
      </c>
      <c r="J731" t="s">
        <v>491</v>
      </c>
      <c r="K731" t="s">
        <v>1533</v>
      </c>
      <c r="M731" t="s">
        <v>138</v>
      </c>
    </row>
    <row r="732" spans="1:13" x14ac:dyDescent="0.25">
      <c r="A732" t="s">
        <v>1436</v>
      </c>
      <c r="B732" t="s">
        <v>0</v>
      </c>
      <c r="C732" t="s">
        <v>50</v>
      </c>
      <c r="D732" t="s">
        <v>51</v>
      </c>
      <c r="E732" t="s">
        <v>84</v>
      </c>
      <c r="F732" s="5">
        <v>43401</v>
      </c>
      <c r="G732" s="5">
        <v>43551</v>
      </c>
      <c r="H732" s="6">
        <v>0.69444444444444453</v>
      </c>
      <c r="I732">
        <v>320</v>
      </c>
      <c r="J732" t="s">
        <v>491</v>
      </c>
      <c r="K732" t="s">
        <v>1533</v>
      </c>
      <c r="M732" t="s">
        <v>138</v>
      </c>
    </row>
    <row r="733" spans="1:13" x14ac:dyDescent="0.25">
      <c r="A733" t="s">
        <v>1436</v>
      </c>
      <c r="B733" t="s">
        <v>0</v>
      </c>
      <c r="C733" t="s">
        <v>50</v>
      </c>
      <c r="D733" t="s">
        <v>51</v>
      </c>
      <c r="E733" t="s">
        <v>48</v>
      </c>
      <c r="F733" s="5">
        <v>43462</v>
      </c>
      <c r="G733" s="5">
        <v>43546</v>
      </c>
      <c r="H733" s="6">
        <v>0.69791666666666663</v>
      </c>
      <c r="I733">
        <v>320</v>
      </c>
      <c r="J733" t="s">
        <v>491</v>
      </c>
      <c r="K733" t="s">
        <v>1533</v>
      </c>
      <c r="M733" t="s">
        <v>138</v>
      </c>
    </row>
    <row r="734" spans="1:13" x14ac:dyDescent="0.25">
      <c r="A734" t="s">
        <v>1436</v>
      </c>
      <c r="B734" t="s">
        <v>0</v>
      </c>
      <c r="C734" t="s">
        <v>50</v>
      </c>
      <c r="D734" t="s">
        <v>51</v>
      </c>
      <c r="E734" t="s">
        <v>59</v>
      </c>
      <c r="F734" s="5">
        <v>43402</v>
      </c>
      <c r="G734" s="5">
        <v>43549</v>
      </c>
      <c r="H734" s="6">
        <v>0.74305555555555547</v>
      </c>
      <c r="I734">
        <v>320</v>
      </c>
      <c r="J734" t="s">
        <v>491</v>
      </c>
      <c r="K734" t="s">
        <v>1533</v>
      </c>
      <c r="M734" t="s">
        <v>138</v>
      </c>
    </row>
    <row r="735" spans="1:13" x14ac:dyDescent="0.25">
      <c r="A735" t="s">
        <v>1436</v>
      </c>
      <c r="B735" t="s">
        <v>0</v>
      </c>
      <c r="C735" t="s">
        <v>50</v>
      </c>
      <c r="D735" t="s">
        <v>51</v>
      </c>
      <c r="E735" t="s">
        <v>22</v>
      </c>
      <c r="F735" s="5">
        <v>43512</v>
      </c>
      <c r="G735" s="5">
        <v>43540</v>
      </c>
      <c r="H735" s="6">
        <v>0.77083333333333337</v>
      </c>
      <c r="I735">
        <v>320</v>
      </c>
      <c r="J735" t="s">
        <v>491</v>
      </c>
      <c r="K735" t="s">
        <v>1533</v>
      </c>
      <c r="M735" t="s">
        <v>138</v>
      </c>
    </row>
    <row r="736" spans="1:13" x14ac:dyDescent="0.25">
      <c r="A736" t="s">
        <v>1436</v>
      </c>
      <c r="B736" t="s">
        <v>0</v>
      </c>
      <c r="C736" t="s">
        <v>56</v>
      </c>
      <c r="D736" t="s">
        <v>57</v>
      </c>
      <c r="E736" t="s">
        <v>37</v>
      </c>
      <c r="F736" s="5">
        <v>43402</v>
      </c>
      <c r="G736" s="5">
        <v>43553</v>
      </c>
      <c r="H736" s="6">
        <v>0.47916666666666669</v>
      </c>
      <c r="I736" t="s">
        <v>14</v>
      </c>
      <c r="J736" t="s">
        <v>492</v>
      </c>
      <c r="K736" t="s">
        <v>38</v>
      </c>
      <c r="M736" t="s">
        <v>138</v>
      </c>
    </row>
    <row r="737" spans="1:13" x14ac:dyDescent="0.25">
      <c r="A737" t="s">
        <v>1436</v>
      </c>
      <c r="B737" t="s">
        <v>0</v>
      </c>
      <c r="C737" t="s">
        <v>56</v>
      </c>
      <c r="D737" t="s">
        <v>57</v>
      </c>
      <c r="E737" t="s">
        <v>19</v>
      </c>
      <c r="F737" s="5">
        <v>43473</v>
      </c>
      <c r="G737" s="5">
        <v>43550</v>
      </c>
      <c r="H737" s="6">
        <v>0.625</v>
      </c>
      <c r="I737" t="s">
        <v>14</v>
      </c>
      <c r="J737" t="s">
        <v>493</v>
      </c>
      <c r="K737" t="s">
        <v>38</v>
      </c>
      <c r="M737" t="s">
        <v>138</v>
      </c>
    </row>
    <row r="738" spans="1:13" x14ac:dyDescent="0.25">
      <c r="A738" t="s">
        <v>1436</v>
      </c>
      <c r="B738" t="s">
        <v>0</v>
      </c>
      <c r="C738" t="s">
        <v>56</v>
      </c>
      <c r="D738" t="s">
        <v>57</v>
      </c>
      <c r="E738" t="s">
        <v>13</v>
      </c>
      <c r="F738" s="5">
        <v>43503</v>
      </c>
      <c r="G738" s="5">
        <v>43552</v>
      </c>
      <c r="H738" s="6">
        <v>0.625</v>
      </c>
      <c r="I738" t="s">
        <v>14</v>
      </c>
      <c r="J738" t="s">
        <v>493</v>
      </c>
      <c r="K738" t="s">
        <v>38</v>
      </c>
      <c r="M738" t="s">
        <v>138</v>
      </c>
    </row>
    <row r="739" spans="1:13" x14ac:dyDescent="0.25">
      <c r="A739" t="s">
        <v>1436</v>
      </c>
      <c r="B739" t="s">
        <v>0</v>
      </c>
      <c r="C739" t="s">
        <v>56</v>
      </c>
      <c r="D739" t="s">
        <v>57</v>
      </c>
      <c r="E739" t="s">
        <v>13</v>
      </c>
      <c r="F739" s="5">
        <v>43510</v>
      </c>
      <c r="G739" s="5">
        <v>43552</v>
      </c>
      <c r="H739" s="6">
        <v>0.65625</v>
      </c>
      <c r="I739">
        <v>320</v>
      </c>
      <c r="J739" t="s">
        <v>1928</v>
      </c>
      <c r="K739" t="s">
        <v>38</v>
      </c>
      <c r="M739" t="s">
        <v>138</v>
      </c>
    </row>
    <row r="740" spans="1:13" x14ac:dyDescent="0.25">
      <c r="A740" t="s">
        <v>1436</v>
      </c>
      <c r="B740" t="s">
        <v>0</v>
      </c>
      <c r="C740" t="s">
        <v>56</v>
      </c>
      <c r="D740" t="s">
        <v>57</v>
      </c>
      <c r="E740" t="s">
        <v>22</v>
      </c>
      <c r="F740" s="5">
        <v>43456</v>
      </c>
      <c r="G740" s="5">
        <v>43554</v>
      </c>
      <c r="H740" s="6">
        <v>0.75694444444444453</v>
      </c>
      <c r="I740" t="s">
        <v>14</v>
      </c>
      <c r="J740" t="s">
        <v>493</v>
      </c>
      <c r="K740" t="s">
        <v>38</v>
      </c>
      <c r="M740" t="s">
        <v>138</v>
      </c>
    </row>
    <row r="741" spans="1:13" x14ac:dyDescent="0.25">
      <c r="A741" t="s">
        <v>1436</v>
      </c>
      <c r="B741" t="s">
        <v>0</v>
      </c>
      <c r="C741" t="s">
        <v>494</v>
      </c>
      <c r="D741" t="s">
        <v>495</v>
      </c>
      <c r="E741" t="s">
        <v>59</v>
      </c>
      <c r="F741" s="5">
        <v>43500</v>
      </c>
      <c r="G741" s="5">
        <v>43549</v>
      </c>
      <c r="H741" s="6">
        <v>0.49305555555555558</v>
      </c>
      <c r="I741" t="s">
        <v>141</v>
      </c>
      <c r="J741" t="s">
        <v>496</v>
      </c>
      <c r="K741" t="s">
        <v>497</v>
      </c>
      <c r="M741" t="s">
        <v>138</v>
      </c>
    </row>
    <row r="742" spans="1:13" x14ac:dyDescent="0.25">
      <c r="A742" t="s">
        <v>1436</v>
      </c>
      <c r="B742" t="s">
        <v>0</v>
      </c>
      <c r="C742" t="s">
        <v>494</v>
      </c>
      <c r="D742" t="s">
        <v>495</v>
      </c>
      <c r="E742" t="s">
        <v>48</v>
      </c>
      <c r="F742" s="5">
        <v>43406</v>
      </c>
      <c r="G742" s="5">
        <v>43553</v>
      </c>
      <c r="H742" s="6">
        <v>0.5</v>
      </c>
      <c r="I742" t="s">
        <v>141</v>
      </c>
      <c r="J742" t="s">
        <v>496</v>
      </c>
      <c r="K742" t="s">
        <v>497</v>
      </c>
      <c r="M742" t="s">
        <v>138</v>
      </c>
    </row>
    <row r="743" spans="1:13" x14ac:dyDescent="0.25">
      <c r="A743" t="s">
        <v>1436</v>
      </c>
      <c r="B743" t="s">
        <v>0</v>
      </c>
      <c r="C743" t="s">
        <v>1244</v>
      </c>
      <c r="D743" t="s">
        <v>1245</v>
      </c>
      <c r="E743" t="s">
        <v>48</v>
      </c>
      <c r="F743" s="5">
        <v>43462</v>
      </c>
      <c r="G743" s="5">
        <v>43553</v>
      </c>
      <c r="H743" s="6">
        <v>0.64583333333333337</v>
      </c>
      <c r="I743" t="s">
        <v>698</v>
      </c>
      <c r="J743" t="s">
        <v>1246</v>
      </c>
      <c r="K743" t="s">
        <v>488</v>
      </c>
      <c r="M743" t="s">
        <v>138</v>
      </c>
    </row>
    <row r="744" spans="1:13" x14ac:dyDescent="0.25">
      <c r="A744" t="s">
        <v>1436</v>
      </c>
      <c r="B744" t="s">
        <v>0</v>
      </c>
      <c r="C744" t="s">
        <v>63</v>
      </c>
      <c r="D744" t="s">
        <v>64</v>
      </c>
      <c r="E744" t="s">
        <v>37</v>
      </c>
      <c r="F744" s="5">
        <v>43472</v>
      </c>
      <c r="G744" s="5">
        <v>43553</v>
      </c>
      <c r="H744" s="6">
        <v>0.57986111111111105</v>
      </c>
      <c r="I744" t="s">
        <v>14</v>
      </c>
      <c r="J744" t="s">
        <v>498</v>
      </c>
      <c r="K744" t="s">
        <v>66</v>
      </c>
      <c r="M744" t="s">
        <v>138</v>
      </c>
    </row>
    <row r="745" spans="1:13" x14ac:dyDescent="0.25">
      <c r="A745" t="s">
        <v>1436</v>
      </c>
      <c r="B745" t="s">
        <v>0</v>
      </c>
      <c r="C745" t="s">
        <v>67</v>
      </c>
      <c r="D745" t="s">
        <v>68</v>
      </c>
      <c r="E745" t="s">
        <v>20</v>
      </c>
      <c r="F745" s="5">
        <v>43439</v>
      </c>
      <c r="G745" s="5">
        <v>43551</v>
      </c>
      <c r="H745" s="6">
        <v>0.44444444444444442</v>
      </c>
      <c r="I745">
        <v>319</v>
      </c>
      <c r="J745" t="s">
        <v>501</v>
      </c>
      <c r="K745" t="s">
        <v>45</v>
      </c>
      <c r="M745" t="s">
        <v>138</v>
      </c>
    </row>
    <row r="746" spans="1:13" x14ac:dyDescent="0.25">
      <c r="A746" t="s">
        <v>1436</v>
      </c>
      <c r="B746" t="s">
        <v>0</v>
      </c>
      <c r="C746" t="s">
        <v>67</v>
      </c>
      <c r="D746" t="s">
        <v>68</v>
      </c>
      <c r="E746" t="s">
        <v>22</v>
      </c>
      <c r="F746" s="5">
        <v>43491</v>
      </c>
      <c r="G746" s="5">
        <v>43554</v>
      </c>
      <c r="H746" s="6">
        <v>0.4548611111111111</v>
      </c>
      <c r="I746">
        <v>321</v>
      </c>
      <c r="J746" t="s">
        <v>501</v>
      </c>
      <c r="K746" t="s">
        <v>45</v>
      </c>
      <c r="M746" t="s">
        <v>138</v>
      </c>
    </row>
    <row r="747" spans="1:13" x14ac:dyDescent="0.25">
      <c r="A747" t="s">
        <v>1436</v>
      </c>
      <c r="B747" t="s">
        <v>0</v>
      </c>
      <c r="C747" t="s">
        <v>67</v>
      </c>
      <c r="D747" t="s">
        <v>68</v>
      </c>
      <c r="E747" t="s">
        <v>18</v>
      </c>
      <c r="F747" s="5">
        <v>43506</v>
      </c>
      <c r="G747" s="5">
        <v>43548</v>
      </c>
      <c r="H747" s="6">
        <v>0.61805555555555558</v>
      </c>
      <c r="I747">
        <v>321</v>
      </c>
      <c r="J747" t="s">
        <v>501</v>
      </c>
      <c r="K747" t="s">
        <v>45</v>
      </c>
      <c r="M747" t="s">
        <v>138</v>
      </c>
    </row>
    <row r="748" spans="1:13" x14ac:dyDescent="0.25">
      <c r="A748" t="s">
        <v>1436</v>
      </c>
      <c r="B748" t="s">
        <v>0</v>
      </c>
      <c r="C748" t="s">
        <v>70</v>
      </c>
      <c r="D748" t="s">
        <v>71</v>
      </c>
      <c r="E748" t="s">
        <v>22</v>
      </c>
      <c r="F748" s="5">
        <v>43407</v>
      </c>
      <c r="G748" s="5">
        <v>43554</v>
      </c>
      <c r="H748" s="6">
        <v>0.71180555555555547</v>
      </c>
      <c r="I748" t="s">
        <v>14</v>
      </c>
      <c r="J748" t="s">
        <v>502</v>
      </c>
      <c r="K748" t="s">
        <v>38</v>
      </c>
      <c r="M748" t="s">
        <v>138</v>
      </c>
    </row>
    <row r="749" spans="1:13" x14ac:dyDescent="0.25">
      <c r="A749" t="s">
        <v>1436</v>
      </c>
      <c r="B749" t="s">
        <v>0</v>
      </c>
      <c r="C749" t="s">
        <v>70</v>
      </c>
      <c r="D749" t="s">
        <v>71</v>
      </c>
      <c r="E749" t="s">
        <v>19</v>
      </c>
      <c r="F749" s="5">
        <v>43466</v>
      </c>
      <c r="G749" s="5">
        <v>43550</v>
      </c>
      <c r="H749" s="6">
        <v>0.74305555555555547</v>
      </c>
      <c r="I749">
        <v>320</v>
      </c>
      <c r="J749" t="s">
        <v>1551</v>
      </c>
      <c r="K749" t="s">
        <v>38</v>
      </c>
      <c r="M749" t="s">
        <v>138</v>
      </c>
    </row>
    <row r="750" spans="1:13" x14ac:dyDescent="0.25">
      <c r="A750" t="s">
        <v>1436</v>
      </c>
      <c r="B750" t="s">
        <v>0</v>
      </c>
      <c r="C750" t="s">
        <v>70</v>
      </c>
      <c r="D750" t="s">
        <v>71</v>
      </c>
      <c r="E750" t="s">
        <v>22</v>
      </c>
      <c r="F750" s="5">
        <v>43407</v>
      </c>
      <c r="G750" s="5">
        <v>43554</v>
      </c>
      <c r="H750" s="6">
        <v>0.77083333333333337</v>
      </c>
      <c r="I750">
        <v>320</v>
      </c>
      <c r="J750" t="s">
        <v>1551</v>
      </c>
      <c r="K750" t="s">
        <v>38</v>
      </c>
      <c r="M750" t="s">
        <v>138</v>
      </c>
    </row>
    <row r="751" spans="1:13" x14ac:dyDescent="0.25">
      <c r="A751" t="s">
        <v>1436</v>
      </c>
      <c r="B751" t="s">
        <v>0</v>
      </c>
      <c r="C751" t="s">
        <v>76</v>
      </c>
      <c r="D751" t="s">
        <v>77</v>
      </c>
      <c r="E751" t="s">
        <v>143</v>
      </c>
      <c r="F751" s="5">
        <v>43497</v>
      </c>
      <c r="G751" s="5">
        <v>43553</v>
      </c>
      <c r="H751" s="6">
        <v>0.42708333333333331</v>
      </c>
      <c r="I751">
        <v>319</v>
      </c>
      <c r="J751" t="s">
        <v>504</v>
      </c>
      <c r="K751" t="s">
        <v>79</v>
      </c>
      <c r="M751" t="s">
        <v>138</v>
      </c>
    </row>
    <row r="752" spans="1:13" x14ac:dyDescent="0.25">
      <c r="A752" t="s">
        <v>1436</v>
      </c>
      <c r="B752" t="s">
        <v>0</v>
      </c>
      <c r="C752" t="s">
        <v>76</v>
      </c>
      <c r="D752" t="s">
        <v>77</v>
      </c>
      <c r="E752" t="s">
        <v>59</v>
      </c>
      <c r="F752" s="5">
        <v>43479</v>
      </c>
      <c r="G752" s="5">
        <v>43521</v>
      </c>
      <c r="H752" s="6">
        <v>0.52777777777777779</v>
      </c>
      <c r="I752" t="s">
        <v>698</v>
      </c>
      <c r="J752" t="s">
        <v>1656</v>
      </c>
      <c r="K752" t="s">
        <v>79</v>
      </c>
      <c r="M752" t="s">
        <v>138</v>
      </c>
    </row>
    <row r="753" spans="1:13" x14ac:dyDescent="0.25">
      <c r="A753" t="s">
        <v>1436</v>
      </c>
      <c r="B753" t="s">
        <v>0</v>
      </c>
      <c r="C753" t="s">
        <v>76</v>
      </c>
      <c r="D753" t="s">
        <v>77</v>
      </c>
      <c r="E753" t="s">
        <v>72</v>
      </c>
      <c r="F753" s="5">
        <v>43403</v>
      </c>
      <c r="G753" s="5">
        <v>43554</v>
      </c>
      <c r="H753" s="6">
        <v>0.61458333333333337</v>
      </c>
      <c r="I753">
        <v>320</v>
      </c>
      <c r="J753" t="s">
        <v>504</v>
      </c>
      <c r="K753" t="s">
        <v>79</v>
      </c>
      <c r="M753" t="s">
        <v>138</v>
      </c>
    </row>
    <row r="754" spans="1:13" x14ac:dyDescent="0.25">
      <c r="A754" t="s">
        <v>1436</v>
      </c>
      <c r="B754" t="s">
        <v>0</v>
      </c>
      <c r="C754" t="s">
        <v>76</v>
      </c>
      <c r="D754" t="s">
        <v>77</v>
      </c>
      <c r="E754" t="s">
        <v>20</v>
      </c>
      <c r="F754" s="5">
        <v>43474</v>
      </c>
      <c r="G754" s="5">
        <v>43537</v>
      </c>
      <c r="H754" s="6">
        <v>0.61458333333333337</v>
      </c>
      <c r="I754" t="s">
        <v>81</v>
      </c>
      <c r="J754" t="s">
        <v>1553</v>
      </c>
      <c r="K754" t="s">
        <v>79</v>
      </c>
      <c r="M754" t="s">
        <v>138</v>
      </c>
    </row>
    <row r="755" spans="1:13" x14ac:dyDescent="0.25">
      <c r="A755" t="s">
        <v>1436</v>
      </c>
      <c r="B755" t="s">
        <v>0</v>
      </c>
      <c r="C755" t="s">
        <v>76</v>
      </c>
      <c r="D755" t="s">
        <v>77</v>
      </c>
      <c r="E755" t="s">
        <v>22</v>
      </c>
      <c r="F755" s="5">
        <v>43512</v>
      </c>
      <c r="G755" s="5">
        <v>43512</v>
      </c>
      <c r="H755" s="6">
        <v>0.75347222222222221</v>
      </c>
      <c r="I755" t="s">
        <v>14</v>
      </c>
      <c r="J755" t="s">
        <v>1552</v>
      </c>
      <c r="K755" t="s">
        <v>79</v>
      </c>
      <c r="M755" t="s">
        <v>138</v>
      </c>
    </row>
    <row r="756" spans="1:13" x14ac:dyDescent="0.25">
      <c r="A756" t="s">
        <v>1436</v>
      </c>
      <c r="B756" t="s">
        <v>0</v>
      </c>
      <c r="C756" t="s">
        <v>82</v>
      </c>
      <c r="D756" t="s">
        <v>83</v>
      </c>
      <c r="E756" t="s">
        <v>22</v>
      </c>
      <c r="F756" s="5">
        <v>43484</v>
      </c>
      <c r="G756" s="5">
        <v>43554</v>
      </c>
      <c r="H756" s="6">
        <v>0.47569444444444442</v>
      </c>
      <c r="I756" t="s">
        <v>14</v>
      </c>
      <c r="J756" t="s">
        <v>1088</v>
      </c>
      <c r="K756" t="s">
        <v>79</v>
      </c>
      <c r="L756" t="s">
        <v>275</v>
      </c>
      <c r="M756" t="s">
        <v>138</v>
      </c>
    </row>
    <row r="757" spans="1:13" x14ac:dyDescent="0.25">
      <c r="A757" t="s">
        <v>1436</v>
      </c>
      <c r="B757" t="s">
        <v>0</v>
      </c>
      <c r="C757" t="s">
        <v>82</v>
      </c>
      <c r="D757" t="s">
        <v>83</v>
      </c>
      <c r="E757" t="s">
        <v>20</v>
      </c>
      <c r="F757" s="5">
        <v>43488</v>
      </c>
      <c r="G757" s="5">
        <v>43530</v>
      </c>
      <c r="H757" s="6">
        <v>0.47569444444444442</v>
      </c>
      <c r="I757" t="s">
        <v>14</v>
      </c>
      <c r="J757" t="s">
        <v>1088</v>
      </c>
      <c r="K757" t="s">
        <v>79</v>
      </c>
      <c r="L757" t="s">
        <v>275</v>
      </c>
      <c r="M757" t="s">
        <v>138</v>
      </c>
    </row>
    <row r="758" spans="1:13" x14ac:dyDescent="0.25">
      <c r="A758" t="s">
        <v>1436</v>
      </c>
      <c r="B758" t="s">
        <v>0</v>
      </c>
      <c r="C758" t="s">
        <v>82</v>
      </c>
      <c r="D758" t="s">
        <v>83</v>
      </c>
      <c r="E758" t="s">
        <v>20</v>
      </c>
      <c r="F758" s="5">
        <v>43404</v>
      </c>
      <c r="G758" s="5">
        <v>43551</v>
      </c>
      <c r="H758" s="6">
        <v>0.6875</v>
      </c>
      <c r="I758" t="s">
        <v>14</v>
      </c>
      <c r="J758" t="s">
        <v>505</v>
      </c>
      <c r="K758" t="s">
        <v>79</v>
      </c>
      <c r="M758" t="s">
        <v>138</v>
      </c>
    </row>
    <row r="759" spans="1:13" x14ac:dyDescent="0.25">
      <c r="A759" t="s">
        <v>1436</v>
      </c>
      <c r="B759" t="s">
        <v>0</v>
      </c>
      <c r="C759" t="s">
        <v>82</v>
      </c>
      <c r="D759" t="s">
        <v>83</v>
      </c>
      <c r="E759" t="s">
        <v>18</v>
      </c>
      <c r="F759" s="5">
        <v>43401</v>
      </c>
      <c r="G759" s="5">
        <v>43548</v>
      </c>
      <c r="H759" s="6">
        <v>0.70833333333333337</v>
      </c>
      <c r="I759" t="s">
        <v>14</v>
      </c>
      <c r="J759" t="s">
        <v>505</v>
      </c>
      <c r="K759" t="s">
        <v>79</v>
      </c>
      <c r="M759" t="s">
        <v>138</v>
      </c>
    </row>
    <row r="760" spans="1:13" x14ac:dyDescent="0.25">
      <c r="A760" t="s">
        <v>1436</v>
      </c>
      <c r="B760" t="s">
        <v>0</v>
      </c>
      <c r="C760" t="s">
        <v>341</v>
      </c>
      <c r="D760" t="s">
        <v>342</v>
      </c>
      <c r="E760" t="s">
        <v>19</v>
      </c>
      <c r="F760" s="5">
        <v>43473</v>
      </c>
      <c r="G760" s="5">
        <v>43550</v>
      </c>
      <c r="H760" s="6">
        <v>0.47916666666666669</v>
      </c>
      <c r="I760" t="s">
        <v>14</v>
      </c>
      <c r="J760" t="s">
        <v>506</v>
      </c>
      <c r="K760" t="s">
        <v>344</v>
      </c>
      <c r="M760" t="s">
        <v>138</v>
      </c>
    </row>
    <row r="761" spans="1:13" x14ac:dyDescent="0.25">
      <c r="A761" t="s">
        <v>1436</v>
      </c>
      <c r="B761" t="s">
        <v>0</v>
      </c>
      <c r="C761" t="s">
        <v>507</v>
      </c>
      <c r="D761" t="s">
        <v>508</v>
      </c>
      <c r="E761" t="s">
        <v>235</v>
      </c>
      <c r="F761" s="5">
        <v>43437</v>
      </c>
      <c r="G761" s="5">
        <v>43552</v>
      </c>
      <c r="H761" s="6">
        <v>0.3576388888888889</v>
      </c>
      <c r="I761" t="s">
        <v>139</v>
      </c>
      <c r="J761" t="s">
        <v>509</v>
      </c>
      <c r="K761" t="s">
        <v>468</v>
      </c>
      <c r="M761" t="s">
        <v>138</v>
      </c>
    </row>
    <row r="762" spans="1:13" x14ac:dyDescent="0.25">
      <c r="A762" t="s">
        <v>1436</v>
      </c>
      <c r="B762" t="s">
        <v>0</v>
      </c>
      <c r="C762" t="s">
        <v>507</v>
      </c>
      <c r="D762" t="s">
        <v>508</v>
      </c>
      <c r="E762" t="s">
        <v>13</v>
      </c>
      <c r="F762" s="5">
        <v>43412</v>
      </c>
      <c r="G762" s="5">
        <v>43552</v>
      </c>
      <c r="H762" s="6">
        <v>0.68055555555555547</v>
      </c>
      <c r="I762" t="s">
        <v>139</v>
      </c>
      <c r="J762" t="s">
        <v>1247</v>
      </c>
      <c r="K762" t="s">
        <v>468</v>
      </c>
      <c r="L762" t="s">
        <v>293</v>
      </c>
      <c r="M762" t="s">
        <v>138</v>
      </c>
    </row>
    <row r="763" spans="1:13" x14ac:dyDescent="0.25">
      <c r="A763" t="s">
        <v>1436</v>
      </c>
      <c r="B763" t="s">
        <v>0</v>
      </c>
      <c r="C763" t="s">
        <v>507</v>
      </c>
      <c r="D763" t="s">
        <v>508</v>
      </c>
      <c r="E763" t="s">
        <v>22</v>
      </c>
      <c r="F763" s="5">
        <v>43491</v>
      </c>
      <c r="G763" s="5">
        <v>43554</v>
      </c>
      <c r="H763" s="6">
        <v>0.68055555555555547</v>
      </c>
      <c r="I763" t="s">
        <v>139</v>
      </c>
      <c r="J763" t="s">
        <v>1247</v>
      </c>
      <c r="K763" t="s">
        <v>468</v>
      </c>
      <c r="L763" t="s">
        <v>293</v>
      </c>
      <c r="M763" t="s">
        <v>138</v>
      </c>
    </row>
    <row r="764" spans="1:13" x14ac:dyDescent="0.25">
      <c r="A764" t="s">
        <v>1436</v>
      </c>
      <c r="B764" t="s">
        <v>0</v>
      </c>
      <c r="C764" t="s">
        <v>507</v>
      </c>
      <c r="D764" t="s">
        <v>508</v>
      </c>
      <c r="E764" t="s">
        <v>18</v>
      </c>
      <c r="F764" s="5">
        <v>43401</v>
      </c>
      <c r="G764" s="5">
        <v>43548</v>
      </c>
      <c r="H764" s="6">
        <v>0.75347222222222221</v>
      </c>
      <c r="I764" t="s">
        <v>139</v>
      </c>
      <c r="J764" t="s">
        <v>1248</v>
      </c>
      <c r="K764" t="s">
        <v>468</v>
      </c>
      <c r="M764" t="s">
        <v>138</v>
      </c>
    </row>
    <row r="765" spans="1:13" x14ac:dyDescent="0.25">
      <c r="A765" t="s">
        <v>1436</v>
      </c>
      <c r="B765" t="s">
        <v>0</v>
      </c>
      <c r="C765" t="s">
        <v>507</v>
      </c>
      <c r="D765" t="s">
        <v>508</v>
      </c>
      <c r="E765" t="s">
        <v>48</v>
      </c>
      <c r="F765" s="5">
        <v>43427</v>
      </c>
      <c r="G765" s="5">
        <v>43539</v>
      </c>
      <c r="H765" s="6">
        <v>0.75347222222222221</v>
      </c>
      <c r="I765" t="s">
        <v>139</v>
      </c>
      <c r="J765" t="s">
        <v>1248</v>
      </c>
      <c r="K765" t="s">
        <v>468</v>
      </c>
      <c r="M765" t="s">
        <v>138</v>
      </c>
    </row>
    <row r="766" spans="1:13" x14ac:dyDescent="0.25">
      <c r="A766" t="s">
        <v>1436</v>
      </c>
      <c r="B766" t="s">
        <v>0</v>
      </c>
      <c r="C766" t="s">
        <v>1232</v>
      </c>
      <c r="D766" t="s">
        <v>128</v>
      </c>
      <c r="E766" t="s">
        <v>48</v>
      </c>
      <c r="F766" s="5">
        <v>43420</v>
      </c>
      <c r="G766" s="5">
        <v>43553</v>
      </c>
      <c r="H766" s="6">
        <v>0.59722222222222221</v>
      </c>
      <c r="I766">
        <v>738</v>
      </c>
      <c r="J766" t="s">
        <v>1554</v>
      </c>
      <c r="K766" t="s">
        <v>129</v>
      </c>
      <c r="M766" t="s">
        <v>138</v>
      </c>
    </row>
    <row r="767" spans="1:13" x14ac:dyDescent="0.25">
      <c r="A767" t="s">
        <v>1436</v>
      </c>
      <c r="B767" t="s">
        <v>0</v>
      </c>
      <c r="C767" t="s">
        <v>1232</v>
      </c>
      <c r="D767" t="s">
        <v>128</v>
      </c>
      <c r="E767" t="s">
        <v>19</v>
      </c>
      <c r="F767" s="5">
        <v>43410</v>
      </c>
      <c r="G767" s="5">
        <v>43550</v>
      </c>
      <c r="H767" s="6">
        <v>0.61805555555555558</v>
      </c>
      <c r="I767">
        <v>738</v>
      </c>
      <c r="J767" t="s">
        <v>596</v>
      </c>
      <c r="K767" t="s">
        <v>129</v>
      </c>
      <c r="M767" t="s">
        <v>138</v>
      </c>
    </row>
    <row r="768" spans="1:13" x14ac:dyDescent="0.25">
      <c r="A768" t="s">
        <v>1436</v>
      </c>
      <c r="B768" t="s">
        <v>0</v>
      </c>
      <c r="C768" t="s">
        <v>1232</v>
      </c>
      <c r="D768" t="s">
        <v>128</v>
      </c>
      <c r="E768" t="s">
        <v>48</v>
      </c>
      <c r="F768" s="5">
        <v>43462</v>
      </c>
      <c r="G768" s="5">
        <v>43532</v>
      </c>
      <c r="H768" s="6">
        <v>0.61805555555555558</v>
      </c>
      <c r="I768">
        <v>738</v>
      </c>
      <c r="J768" t="s">
        <v>1841</v>
      </c>
      <c r="K768" t="s">
        <v>129</v>
      </c>
      <c r="M768" t="s">
        <v>138</v>
      </c>
    </row>
    <row r="769" spans="1:13" x14ac:dyDescent="0.25">
      <c r="A769" t="s">
        <v>1436</v>
      </c>
      <c r="B769" t="s">
        <v>0</v>
      </c>
      <c r="C769" t="s">
        <v>88</v>
      </c>
      <c r="D769" t="s">
        <v>89</v>
      </c>
      <c r="E769" t="s">
        <v>19</v>
      </c>
      <c r="F769" s="5">
        <v>43473</v>
      </c>
      <c r="G769" s="5">
        <v>43550</v>
      </c>
      <c r="H769" s="6">
        <v>0.46875</v>
      </c>
      <c r="I769" t="s">
        <v>14</v>
      </c>
      <c r="J769" t="s">
        <v>510</v>
      </c>
      <c r="K769" t="s">
        <v>45</v>
      </c>
      <c r="M769" t="s">
        <v>138</v>
      </c>
    </row>
    <row r="770" spans="1:13" x14ac:dyDescent="0.25">
      <c r="A770" t="s">
        <v>1436</v>
      </c>
      <c r="B770" t="s">
        <v>0</v>
      </c>
      <c r="C770" t="s">
        <v>88</v>
      </c>
      <c r="D770" t="s">
        <v>89</v>
      </c>
      <c r="E770" t="s">
        <v>13</v>
      </c>
      <c r="F770" s="5">
        <v>43503</v>
      </c>
      <c r="G770" s="5">
        <v>43552</v>
      </c>
      <c r="H770" s="6">
        <v>0.4861111111111111</v>
      </c>
      <c r="I770" t="s">
        <v>14</v>
      </c>
      <c r="J770" t="s">
        <v>1555</v>
      </c>
      <c r="K770" t="s">
        <v>45</v>
      </c>
      <c r="M770" t="s">
        <v>138</v>
      </c>
    </row>
    <row r="771" spans="1:13" x14ac:dyDescent="0.25">
      <c r="A771" t="s">
        <v>1436</v>
      </c>
      <c r="B771" t="s">
        <v>0</v>
      </c>
      <c r="C771" t="s">
        <v>88</v>
      </c>
      <c r="D771" t="s">
        <v>89</v>
      </c>
      <c r="E771" t="s">
        <v>20</v>
      </c>
      <c r="F771" s="5">
        <v>43474</v>
      </c>
      <c r="G771" s="5">
        <v>43551</v>
      </c>
      <c r="H771" s="6">
        <v>0.48958333333333331</v>
      </c>
      <c r="I771" t="s">
        <v>106</v>
      </c>
      <c r="J771" t="s">
        <v>511</v>
      </c>
      <c r="K771" t="s">
        <v>45</v>
      </c>
      <c r="M771" t="s">
        <v>138</v>
      </c>
    </row>
    <row r="772" spans="1:13" x14ac:dyDescent="0.25">
      <c r="A772" t="s">
        <v>1436</v>
      </c>
      <c r="B772" t="s">
        <v>0</v>
      </c>
      <c r="C772" t="s">
        <v>88</v>
      </c>
      <c r="D772" t="s">
        <v>89</v>
      </c>
      <c r="E772" t="s">
        <v>18</v>
      </c>
      <c r="F772" s="5">
        <v>43401</v>
      </c>
      <c r="G772" s="5">
        <v>43548</v>
      </c>
      <c r="H772" s="6">
        <v>0.49305555555555558</v>
      </c>
      <c r="I772" t="s">
        <v>14</v>
      </c>
      <c r="J772" t="s">
        <v>1555</v>
      </c>
      <c r="K772" t="s">
        <v>45</v>
      </c>
      <c r="M772" t="s">
        <v>138</v>
      </c>
    </row>
    <row r="773" spans="1:13" x14ac:dyDescent="0.25">
      <c r="A773" t="s">
        <v>1436</v>
      </c>
      <c r="B773" t="s">
        <v>0</v>
      </c>
      <c r="C773" t="s">
        <v>88</v>
      </c>
      <c r="D773" t="s">
        <v>89</v>
      </c>
      <c r="E773" t="s">
        <v>22</v>
      </c>
      <c r="F773" s="5">
        <v>43407</v>
      </c>
      <c r="G773" s="5">
        <v>43554</v>
      </c>
      <c r="H773" s="6">
        <v>0.57291666666666663</v>
      </c>
      <c r="I773" t="s">
        <v>14</v>
      </c>
      <c r="J773" t="s">
        <v>510</v>
      </c>
      <c r="K773" t="s">
        <v>45</v>
      </c>
      <c r="M773" t="s">
        <v>138</v>
      </c>
    </row>
    <row r="774" spans="1:13" x14ac:dyDescent="0.25">
      <c r="A774" t="s">
        <v>1436</v>
      </c>
      <c r="B774" t="s">
        <v>0</v>
      </c>
      <c r="C774" t="s">
        <v>88</v>
      </c>
      <c r="D774" t="s">
        <v>89</v>
      </c>
      <c r="E774" t="s">
        <v>19</v>
      </c>
      <c r="F774" s="5">
        <v>43410</v>
      </c>
      <c r="G774" s="5">
        <v>43550</v>
      </c>
      <c r="H774" s="6">
        <v>0.69791666666666663</v>
      </c>
      <c r="I774">
        <v>319</v>
      </c>
      <c r="J774" t="s">
        <v>1555</v>
      </c>
      <c r="K774" t="s">
        <v>45</v>
      </c>
      <c r="M774" t="s">
        <v>138</v>
      </c>
    </row>
    <row r="775" spans="1:13" x14ac:dyDescent="0.25">
      <c r="A775" t="s">
        <v>1436</v>
      </c>
      <c r="B775" t="s">
        <v>0</v>
      </c>
      <c r="C775" t="s">
        <v>88</v>
      </c>
      <c r="D775" t="s">
        <v>89</v>
      </c>
      <c r="E775" t="s">
        <v>22</v>
      </c>
      <c r="F775" s="5">
        <v>43512</v>
      </c>
      <c r="G775" s="5">
        <v>43519</v>
      </c>
      <c r="H775" s="6">
        <v>0.77777777777777779</v>
      </c>
      <c r="I775">
        <v>319</v>
      </c>
      <c r="J775" t="s">
        <v>1555</v>
      </c>
      <c r="K775" t="s">
        <v>45</v>
      </c>
      <c r="M775" t="s">
        <v>138</v>
      </c>
    </row>
    <row r="776" spans="1:13" x14ac:dyDescent="0.25">
      <c r="A776" t="s">
        <v>1436</v>
      </c>
      <c r="B776" t="s">
        <v>0</v>
      </c>
      <c r="C776" t="s">
        <v>88</v>
      </c>
      <c r="D776" t="s">
        <v>89</v>
      </c>
      <c r="E776" t="s">
        <v>18</v>
      </c>
      <c r="F776" s="5">
        <v>43408</v>
      </c>
      <c r="G776" s="5">
        <v>43548</v>
      </c>
      <c r="H776" s="6">
        <v>0.83333333333333337</v>
      </c>
      <c r="I776" t="s">
        <v>106</v>
      </c>
      <c r="J776" t="s">
        <v>511</v>
      </c>
      <c r="K776" t="s">
        <v>45</v>
      </c>
      <c r="M776" t="s">
        <v>138</v>
      </c>
    </row>
    <row r="777" spans="1:13" x14ac:dyDescent="0.25">
      <c r="A777" t="s">
        <v>1436</v>
      </c>
      <c r="B777" t="s">
        <v>0</v>
      </c>
      <c r="C777" t="s">
        <v>512</v>
      </c>
      <c r="D777" t="s">
        <v>513</v>
      </c>
      <c r="E777" t="s">
        <v>19</v>
      </c>
      <c r="F777" s="5">
        <v>43480</v>
      </c>
      <c r="G777" s="5">
        <v>43550</v>
      </c>
      <c r="H777" s="6">
        <v>0.2986111111111111</v>
      </c>
      <c r="I777" t="s">
        <v>14</v>
      </c>
      <c r="J777" t="s">
        <v>514</v>
      </c>
      <c r="K777" t="s">
        <v>515</v>
      </c>
      <c r="M777" t="s">
        <v>138</v>
      </c>
    </row>
    <row r="778" spans="1:13" x14ac:dyDescent="0.25">
      <c r="A778" t="s">
        <v>1436</v>
      </c>
      <c r="B778" t="s">
        <v>0</v>
      </c>
      <c r="C778" t="s">
        <v>512</v>
      </c>
      <c r="D778" t="s">
        <v>513</v>
      </c>
      <c r="E778" t="s">
        <v>18</v>
      </c>
      <c r="F778" s="5">
        <v>43408</v>
      </c>
      <c r="G778" s="5">
        <v>43548</v>
      </c>
      <c r="H778" s="6">
        <v>0.32291666666666669</v>
      </c>
      <c r="I778" t="s">
        <v>14</v>
      </c>
      <c r="J778" t="s">
        <v>514</v>
      </c>
      <c r="K778" t="s">
        <v>515</v>
      </c>
      <c r="M778" t="s">
        <v>138</v>
      </c>
    </row>
    <row r="779" spans="1:13" x14ac:dyDescent="0.25">
      <c r="A779" t="s">
        <v>1436</v>
      </c>
      <c r="B779" t="s">
        <v>0</v>
      </c>
      <c r="C779" t="s">
        <v>512</v>
      </c>
      <c r="D779" t="s">
        <v>513</v>
      </c>
      <c r="E779" t="s">
        <v>48</v>
      </c>
      <c r="F779" s="5">
        <v>43483</v>
      </c>
      <c r="G779" s="5">
        <v>43518</v>
      </c>
      <c r="H779" s="6">
        <v>0.38541666666666669</v>
      </c>
      <c r="I779" t="s">
        <v>14</v>
      </c>
      <c r="J779" t="s">
        <v>514</v>
      </c>
      <c r="K779" t="s">
        <v>515</v>
      </c>
      <c r="M779" t="s">
        <v>138</v>
      </c>
    </row>
    <row r="780" spans="1:13" x14ac:dyDescent="0.25">
      <c r="A780" t="s">
        <v>1436</v>
      </c>
      <c r="B780" t="s">
        <v>0</v>
      </c>
      <c r="C780" t="s">
        <v>512</v>
      </c>
      <c r="D780" t="s">
        <v>513</v>
      </c>
      <c r="E780" t="s">
        <v>20</v>
      </c>
      <c r="F780" s="5">
        <v>43481</v>
      </c>
      <c r="G780" s="5">
        <v>43551</v>
      </c>
      <c r="H780" s="6">
        <v>0.52777777777777779</v>
      </c>
      <c r="I780" t="s">
        <v>14</v>
      </c>
      <c r="J780" t="s">
        <v>1556</v>
      </c>
      <c r="K780" t="s">
        <v>515</v>
      </c>
      <c r="M780" t="s">
        <v>138</v>
      </c>
    </row>
    <row r="781" spans="1:13" x14ac:dyDescent="0.25">
      <c r="A781" t="s">
        <v>1436</v>
      </c>
      <c r="B781" t="s">
        <v>0</v>
      </c>
      <c r="C781" t="s">
        <v>512</v>
      </c>
      <c r="D781" t="s">
        <v>513</v>
      </c>
      <c r="E781" t="s">
        <v>18</v>
      </c>
      <c r="F781" s="5">
        <v>43401</v>
      </c>
      <c r="G781" s="5">
        <v>43548</v>
      </c>
      <c r="H781" s="6">
        <v>0.57638888888888895</v>
      </c>
      <c r="I781" t="s">
        <v>352</v>
      </c>
      <c r="J781" t="s">
        <v>1249</v>
      </c>
      <c r="K781" t="s">
        <v>515</v>
      </c>
      <c r="M781" t="s">
        <v>138</v>
      </c>
    </row>
    <row r="782" spans="1:13" x14ac:dyDescent="0.25">
      <c r="A782" t="s">
        <v>1436</v>
      </c>
      <c r="B782" t="s">
        <v>0</v>
      </c>
      <c r="C782" t="s">
        <v>512</v>
      </c>
      <c r="D782" t="s">
        <v>513</v>
      </c>
      <c r="E782" t="s">
        <v>22</v>
      </c>
      <c r="F782" s="5">
        <v>43407</v>
      </c>
      <c r="G782" s="5">
        <v>43554</v>
      </c>
      <c r="H782" s="6">
        <v>0.58333333333333337</v>
      </c>
      <c r="I782">
        <v>320</v>
      </c>
      <c r="J782" t="s">
        <v>1249</v>
      </c>
      <c r="K782" t="s">
        <v>515</v>
      </c>
      <c r="M782" t="s">
        <v>138</v>
      </c>
    </row>
    <row r="783" spans="1:13" x14ac:dyDescent="0.25">
      <c r="A783" t="s">
        <v>1436</v>
      </c>
      <c r="B783" t="s">
        <v>0</v>
      </c>
      <c r="C783" t="s">
        <v>512</v>
      </c>
      <c r="D783" t="s">
        <v>513</v>
      </c>
      <c r="E783" t="s">
        <v>20</v>
      </c>
      <c r="F783" s="5">
        <v>43404</v>
      </c>
      <c r="G783" s="5">
        <v>43551</v>
      </c>
      <c r="H783" s="6">
        <v>0.59722222222222221</v>
      </c>
      <c r="I783" t="s">
        <v>14</v>
      </c>
      <c r="J783" t="s">
        <v>1557</v>
      </c>
      <c r="K783" t="s">
        <v>515</v>
      </c>
      <c r="M783" t="s">
        <v>138</v>
      </c>
    </row>
    <row r="784" spans="1:13" x14ac:dyDescent="0.25">
      <c r="A784" t="s">
        <v>1436</v>
      </c>
      <c r="B784" t="s">
        <v>0</v>
      </c>
      <c r="C784" t="s">
        <v>512</v>
      </c>
      <c r="D784" t="s">
        <v>513</v>
      </c>
      <c r="E784" t="s">
        <v>59</v>
      </c>
      <c r="F784" s="5">
        <v>43402</v>
      </c>
      <c r="G784" s="5">
        <v>43549</v>
      </c>
      <c r="H784" s="6">
        <v>0.61805555555555558</v>
      </c>
      <c r="I784" t="s">
        <v>14</v>
      </c>
      <c r="J784" t="s">
        <v>1557</v>
      </c>
      <c r="K784" t="s">
        <v>515</v>
      </c>
      <c r="M784" t="s">
        <v>138</v>
      </c>
    </row>
    <row r="785" spans="1:13" x14ac:dyDescent="0.25">
      <c r="A785" t="s">
        <v>1436</v>
      </c>
      <c r="B785" t="s">
        <v>0</v>
      </c>
      <c r="C785" t="s">
        <v>512</v>
      </c>
      <c r="D785" t="s">
        <v>513</v>
      </c>
      <c r="E785" t="s">
        <v>22</v>
      </c>
      <c r="F785" s="5">
        <v>43512</v>
      </c>
      <c r="G785" s="5">
        <v>43512</v>
      </c>
      <c r="H785" s="6">
        <v>0.68055555555555547</v>
      </c>
      <c r="I785" t="s">
        <v>14</v>
      </c>
      <c r="J785" t="s">
        <v>1929</v>
      </c>
      <c r="K785" t="s">
        <v>515</v>
      </c>
      <c r="M785" t="s">
        <v>138</v>
      </c>
    </row>
    <row r="786" spans="1:13" x14ac:dyDescent="0.25">
      <c r="A786" t="s">
        <v>1436</v>
      </c>
      <c r="B786" t="s">
        <v>0</v>
      </c>
      <c r="C786" t="s">
        <v>512</v>
      </c>
      <c r="D786" t="s">
        <v>513</v>
      </c>
      <c r="E786" t="s">
        <v>22</v>
      </c>
      <c r="F786" s="5">
        <v>43407</v>
      </c>
      <c r="G786" s="5">
        <v>43554</v>
      </c>
      <c r="H786" s="6">
        <v>0.72916666666666663</v>
      </c>
      <c r="I786" t="s">
        <v>14</v>
      </c>
      <c r="J786" t="s">
        <v>1557</v>
      </c>
      <c r="K786" t="s">
        <v>515</v>
      </c>
      <c r="M786" t="s">
        <v>138</v>
      </c>
    </row>
    <row r="787" spans="1:13" x14ac:dyDescent="0.25">
      <c r="A787" t="s">
        <v>1436</v>
      </c>
      <c r="B787" t="s">
        <v>0</v>
      </c>
      <c r="C787" t="s">
        <v>512</v>
      </c>
      <c r="D787" t="s">
        <v>513</v>
      </c>
      <c r="E787" t="s">
        <v>22</v>
      </c>
      <c r="F787" s="5">
        <v>43407</v>
      </c>
      <c r="G787" s="5">
        <v>43547</v>
      </c>
      <c r="H787" s="6">
        <v>0.97916666666666663</v>
      </c>
      <c r="I787" t="s">
        <v>14</v>
      </c>
      <c r="J787" t="s">
        <v>1558</v>
      </c>
      <c r="K787" t="s">
        <v>515</v>
      </c>
      <c r="M787" t="s">
        <v>138</v>
      </c>
    </row>
    <row r="788" spans="1:13" x14ac:dyDescent="0.25">
      <c r="A788" t="s">
        <v>1436</v>
      </c>
      <c r="B788" t="s">
        <v>0</v>
      </c>
      <c r="C788" t="s">
        <v>90</v>
      </c>
      <c r="D788" t="s">
        <v>91</v>
      </c>
      <c r="E788" t="s">
        <v>20</v>
      </c>
      <c r="F788" s="5">
        <v>43495</v>
      </c>
      <c r="G788" s="5">
        <v>43509</v>
      </c>
      <c r="H788" s="6">
        <v>0.42708333333333331</v>
      </c>
      <c r="I788" t="s">
        <v>14</v>
      </c>
      <c r="J788" t="s">
        <v>516</v>
      </c>
      <c r="K788" t="s">
        <v>93</v>
      </c>
      <c r="M788" t="s">
        <v>138</v>
      </c>
    </row>
    <row r="789" spans="1:13" x14ac:dyDescent="0.25">
      <c r="A789" t="s">
        <v>1436</v>
      </c>
      <c r="B789" t="s">
        <v>0</v>
      </c>
      <c r="C789" t="s">
        <v>90</v>
      </c>
      <c r="D789" t="s">
        <v>91</v>
      </c>
      <c r="E789" t="s">
        <v>18</v>
      </c>
      <c r="F789" s="5">
        <v>43401</v>
      </c>
      <c r="G789" s="5">
        <v>43548</v>
      </c>
      <c r="H789" s="6">
        <v>0.48958333333333331</v>
      </c>
      <c r="I789">
        <v>320</v>
      </c>
      <c r="J789" t="s">
        <v>517</v>
      </c>
      <c r="K789" t="s">
        <v>93</v>
      </c>
      <c r="M789" t="s">
        <v>138</v>
      </c>
    </row>
    <row r="790" spans="1:13" x14ac:dyDescent="0.25">
      <c r="A790" t="s">
        <v>1436</v>
      </c>
      <c r="B790" t="s">
        <v>0</v>
      </c>
      <c r="C790" t="s">
        <v>518</v>
      </c>
      <c r="D790" t="s">
        <v>519</v>
      </c>
      <c r="E790" t="s">
        <v>20</v>
      </c>
      <c r="F790" s="5">
        <v>43509</v>
      </c>
      <c r="G790" s="5">
        <v>43509</v>
      </c>
      <c r="H790" s="6">
        <v>0.45833333333333331</v>
      </c>
      <c r="I790" t="s">
        <v>14</v>
      </c>
      <c r="J790" t="s">
        <v>520</v>
      </c>
      <c r="K790" t="s">
        <v>129</v>
      </c>
      <c r="M790" t="s">
        <v>138</v>
      </c>
    </row>
    <row r="791" spans="1:13" x14ac:dyDescent="0.25">
      <c r="A791" t="s">
        <v>1436</v>
      </c>
      <c r="B791" t="s">
        <v>0</v>
      </c>
      <c r="C791" t="s">
        <v>521</v>
      </c>
      <c r="D791" t="s">
        <v>522</v>
      </c>
      <c r="E791" t="s">
        <v>22</v>
      </c>
      <c r="F791" s="5">
        <v>43407</v>
      </c>
      <c r="G791" s="5">
        <v>43554</v>
      </c>
      <c r="H791" s="6">
        <v>0.4861111111111111</v>
      </c>
      <c r="I791" t="s">
        <v>139</v>
      </c>
      <c r="J791" t="s">
        <v>523</v>
      </c>
      <c r="K791" t="s">
        <v>468</v>
      </c>
      <c r="M791" t="s">
        <v>138</v>
      </c>
    </row>
    <row r="792" spans="1:13" x14ac:dyDescent="0.25">
      <c r="A792" t="s">
        <v>1436</v>
      </c>
      <c r="B792" t="s">
        <v>0</v>
      </c>
      <c r="C792" t="s">
        <v>521</v>
      </c>
      <c r="D792" t="s">
        <v>522</v>
      </c>
      <c r="E792" t="s">
        <v>20</v>
      </c>
      <c r="F792" s="5">
        <v>43439</v>
      </c>
      <c r="G792" s="5">
        <v>43551</v>
      </c>
      <c r="H792" s="6">
        <v>0.48958333333333331</v>
      </c>
      <c r="I792" t="s">
        <v>139</v>
      </c>
      <c r="J792" t="s">
        <v>523</v>
      </c>
      <c r="K792" t="s">
        <v>468</v>
      </c>
      <c r="M792" t="s">
        <v>138</v>
      </c>
    </row>
    <row r="793" spans="1:13" x14ac:dyDescent="0.25">
      <c r="A793" t="s">
        <v>1436</v>
      </c>
      <c r="B793" t="s">
        <v>0</v>
      </c>
      <c r="C793" t="s">
        <v>346</v>
      </c>
      <c r="D793" t="s">
        <v>347</v>
      </c>
      <c r="E793" t="s">
        <v>20</v>
      </c>
      <c r="F793" s="5">
        <v>43411</v>
      </c>
      <c r="G793" s="5">
        <v>43551</v>
      </c>
      <c r="H793" s="6">
        <v>0.51388888888888895</v>
      </c>
      <c r="I793" t="s">
        <v>81</v>
      </c>
      <c r="J793" t="s">
        <v>524</v>
      </c>
      <c r="K793" t="s">
        <v>45</v>
      </c>
      <c r="M793" t="s">
        <v>138</v>
      </c>
    </row>
    <row r="794" spans="1:13" x14ac:dyDescent="0.25">
      <c r="A794" t="s">
        <v>1436</v>
      </c>
      <c r="B794" t="s">
        <v>0</v>
      </c>
      <c r="C794" t="s">
        <v>346</v>
      </c>
      <c r="D794" t="s">
        <v>347</v>
      </c>
      <c r="E794" t="s">
        <v>18</v>
      </c>
      <c r="F794" s="5">
        <v>43401</v>
      </c>
      <c r="G794" s="5">
        <v>43548</v>
      </c>
      <c r="H794" s="6">
        <v>0.70486111111111116</v>
      </c>
      <c r="I794" t="s">
        <v>81</v>
      </c>
      <c r="J794" t="s">
        <v>524</v>
      </c>
      <c r="K794" t="s">
        <v>45</v>
      </c>
      <c r="M794" t="s">
        <v>138</v>
      </c>
    </row>
    <row r="795" spans="1:13" x14ac:dyDescent="0.25">
      <c r="A795" t="s">
        <v>1436</v>
      </c>
      <c r="B795" t="s">
        <v>0</v>
      </c>
      <c r="C795" t="s">
        <v>96</v>
      </c>
      <c r="D795" t="s">
        <v>97</v>
      </c>
      <c r="E795" t="s">
        <v>72</v>
      </c>
      <c r="F795" s="5">
        <v>43463</v>
      </c>
      <c r="G795" s="5">
        <v>43554</v>
      </c>
      <c r="H795" s="6">
        <v>0.75694444444444453</v>
      </c>
      <c r="I795">
        <v>320</v>
      </c>
      <c r="J795" t="s">
        <v>526</v>
      </c>
      <c r="K795" t="s">
        <v>93</v>
      </c>
      <c r="M795" t="s">
        <v>138</v>
      </c>
    </row>
    <row r="796" spans="1:13" x14ac:dyDescent="0.25">
      <c r="A796" t="s">
        <v>1436</v>
      </c>
      <c r="B796" t="s">
        <v>0</v>
      </c>
      <c r="C796" t="s">
        <v>96</v>
      </c>
      <c r="D796" t="s">
        <v>97</v>
      </c>
      <c r="E796" t="s">
        <v>13</v>
      </c>
      <c r="F796" s="5">
        <v>43510</v>
      </c>
      <c r="G796" s="5">
        <v>43510</v>
      </c>
      <c r="H796" s="6">
        <v>0.75694444444444453</v>
      </c>
      <c r="I796">
        <v>320</v>
      </c>
      <c r="J796" t="s">
        <v>526</v>
      </c>
      <c r="K796" t="s">
        <v>93</v>
      </c>
      <c r="M796" t="s">
        <v>138</v>
      </c>
    </row>
    <row r="797" spans="1:13" x14ac:dyDescent="0.25">
      <c r="A797" t="s">
        <v>1436</v>
      </c>
      <c r="B797" t="s">
        <v>0</v>
      </c>
      <c r="C797" t="s">
        <v>96</v>
      </c>
      <c r="D797" t="s">
        <v>97</v>
      </c>
      <c r="E797" t="s">
        <v>18</v>
      </c>
      <c r="F797" s="5">
        <v>43513</v>
      </c>
      <c r="G797" s="5">
        <v>43548</v>
      </c>
      <c r="H797" s="6">
        <v>0.75694444444444453</v>
      </c>
      <c r="I797">
        <v>320</v>
      </c>
      <c r="J797" t="s">
        <v>526</v>
      </c>
      <c r="K797" t="s">
        <v>93</v>
      </c>
      <c r="M797" t="s">
        <v>138</v>
      </c>
    </row>
    <row r="798" spans="1:13" x14ac:dyDescent="0.25">
      <c r="A798" t="s">
        <v>1436</v>
      </c>
      <c r="B798" t="s">
        <v>0</v>
      </c>
      <c r="C798" t="s">
        <v>96</v>
      </c>
      <c r="D798" t="s">
        <v>97</v>
      </c>
      <c r="E798" t="s">
        <v>13</v>
      </c>
      <c r="F798" s="5">
        <v>43405</v>
      </c>
      <c r="G798" s="5">
        <v>43552</v>
      </c>
      <c r="H798" s="6">
        <v>0.79513888888888884</v>
      </c>
      <c r="I798" t="s">
        <v>14</v>
      </c>
      <c r="J798" t="s">
        <v>525</v>
      </c>
      <c r="K798" t="s">
        <v>93</v>
      </c>
      <c r="M798" t="s">
        <v>138</v>
      </c>
    </row>
    <row r="799" spans="1:13" x14ac:dyDescent="0.25">
      <c r="A799" t="s">
        <v>1436</v>
      </c>
      <c r="B799" t="s">
        <v>0</v>
      </c>
      <c r="C799" t="s">
        <v>96</v>
      </c>
      <c r="D799" t="s">
        <v>97</v>
      </c>
      <c r="E799" t="s">
        <v>19</v>
      </c>
      <c r="F799" s="5">
        <v>43466</v>
      </c>
      <c r="G799" s="5">
        <v>43550</v>
      </c>
      <c r="H799" s="6">
        <v>0.79513888888888884</v>
      </c>
      <c r="I799" t="s">
        <v>14</v>
      </c>
      <c r="J799" t="s">
        <v>525</v>
      </c>
      <c r="K799" t="s">
        <v>93</v>
      </c>
      <c r="M799" t="s">
        <v>138</v>
      </c>
    </row>
    <row r="800" spans="1:13" x14ac:dyDescent="0.25">
      <c r="A800" t="s">
        <v>1436</v>
      </c>
      <c r="B800" t="s">
        <v>0</v>
      </c>
      <c r="C800" t="s">
        <v>96</v>
      </c>
      <c r="D800" t="s">
        <v>97</v>
      </c>
      <c r="E800" t="s">
        <v>22</v>
      </c>
      <c r="F800" s="5">
        <v>43407</v>
      </c>
      <c r="G800" s="5">
        <v>43554</v>
      </c>
      <c r="H800" s="6">
        <v>0.79861111111111116</v>
      </c>
      <c r="I800" t="s">
        <v>14</v>
      </c>
      <c r="J800" t="s">
        <v>525</v>
      </c>
      <c r="K800" t="s">
        <v>93</v>
      </c>
      <c r="M800" t="s">
        <v>138</v>
      </c>
    </row>
    <row r="801" spans="1:13" x14ac:dyDescent="0.25">
      <c r="A801" t="s">
        <v>1436</v>
      </c>
      <c r="B801" t="s">
        <v>0</v>
      </c>
      <c r="C801" t="s">
        <v>102</v>
      </c>
      <c r="D801" t="s">
        <v>103</v>
      </c>
      <c r="E801" t="s">
        <v>18</v>
      </c>
      <c r="F801" s="5">
        <v>43436</v>
      </c>
      <c r="G801" s="5">
        <v>43548</v>
      </c>
      <c r="H801" s="6">
        <v>0.36805555555555558</v>
      </c>
      <c r="I801" t="s">
        <v>106</v>
      </c>
      <c r="J801" t="s">
        <v>1559</v>
      </c>
      <c r="K801" t="s">
        <v>45</v>
      </c>
      <c r="M801" t="s">
        <v>138</v>
      </c>
    </row>
    <row r="802" spans="1:13" x14ac:dyDescent="0.25">
      <c r="A802" t="s">
        <v>1436</v>
      </c>
      <c r="B802" t="s">
        <v>0</v>
      </c>
      <c r="C802" t="s">
        <v>102</v>
      </c>
      <c r="D802" t="s">
        <v>103</v>
      </c>
      <c r="E802" t="s">
        <v>48</v>
      </c>
      <c r="F802" s="5">
        <v>43406</v>
      </c>
      <c r="G802" s="5">
        <v>43553</v>
      </c>
      <c r="H802" s="6">
        <v>0.4236111111111111</v>
      </c>
      <c r="I802">
        <v>320</v>
      </c>
      <c r="J802" t="s">
        <v>1560</v>
      </c>
      <c r="K802" t="s">
        <v>45</v>
      </c>
      <c r="M802" t="s">
        <v>138</v>
      </c>
    </row>
    <row r="803" spans="1:13" x14ac:dyDescent="0.25">
      <c r="A803" t="s">
        <v>1436</v>
      </c>
      <c r="B803" t="s">
        <v>0</v>
      </c>
      <c r="C803" t="s">
        <v>102</v>
      </c>
      <c r="D803" t="s">
        <v>103</v>
      </c>
      <c r="E803" t="s">
        <v>235</v>
      </c>
      <c r="F803" s="5">
        <v>43402</v>
      </c>
      <c r="G803" s="5">
        <v>43552</v>
      </c>
      <c r="H803" s="6">
        <v>0.42708333333333331</v>
      </c>
      <c r="I803">
        <v>320</v>
      </c>
      <c r="J803" t="s">
        <v>1560</v>
      </c>
      <c r="K803" t="s">
        <v>45</v>
      </c>
      <c r="M803" t="s">
        <v>138</v>
      </c>
    </row>
    <row r="804" spans="1:13" x14ac:dyDescent="0.25">
      <c r="A804" t="s">
        <v>1436</v>
      </c>
      <c r="B804" t="s">
        <v>0</v>
      </c>
      <c r="C804" t="s">
        <v>102</v>
      </c>
      <c r="D804" t="s">
        <v>103</v>
      </c>
      <c r="E804" t="s">
        <v>54</v>
      </c>
      <c r="F804" s="5">
        <v>43466</v>
      </c>
      <c r="G804" s="5">
        <v>43551</v>
      </c>
      <c r="H804" s="6">
        <v>0.42708333333333331</v>
      </c>
      <c r="I804">
        <v>320</v>
      </c>
      <c r="J804" t="s">
        <v>1560</v>
      </c>
      <c r="K804" t="s">
        <v>45</v>
      </c>
      <c r="M804" t="s">
        <v>138</v>
      </c>
    </row>
    <row r="805" spans="1:13" x14ac:dyDescent="0.25">
      <c r="A805" t="s">
        <v>1436</v>
      </c>
      <c r="B805" t="s">
        <v>0</v>
      </c>
      <c r="C805" t="s">
        <v>102</v>
      </c>
      <c r="D805" t="s">
        <v>103</v>
      </c>
      <c r="E805" t="s">
        <v>18</v>
      </c>
      <c r="F805" s="5">
        <v>43478</v>
      </c>
      <c r="G805" s="5">
        <v>43548</v>
      </c>
      <c r="H805" s="6">
        <v>0.4375</v>
      </c>
      <c r="I805" t="s">
        <v>14</v>
      </c>
      <c r="J805" t="s">
        <v>528</v>
      </c>
      <c r="K805" t="s">
        <v>45</v>
      </c>
      <c r="M805" t="s">
        <v>138</v>
      </c>
    </row>
    <row r="806" spans="1:13" x14ac:dyDescent="0.25">
      <c r="A806" t="s">
        <v>1436</v>
      </c>
      <c r="B806" t="s">
        <v>0</v>
      </c>
      <c r="C806" t="s">
        <v>102</v>
      </c>
      <c r="D806" t="s">
        <v>103</v>
      </c>
      <c r="E806" t="s">
        <v>22</v>
      </c>
      <c r="F806" s="5">
        <v>43477</v>
      </c>
      <c r="G806" s="5">
        <v>43540</v>
      </c>
      <c r="H806" s="6">
        <v>0.44444444444444442</v>
      </c>
      <c r="I806">
        <v>319</v>
      </c>
      <c r="J806" t="s">
        <v>527</v>
      </c>
      <c r="K806" t="s">
        <v>45</v>
      </c>
      <c r="M806" t="s">
        <v>138</v>
      </c>
    </row>
    <row r="807" spans="1:13" x14ac:dyDescent="0.25">
      <c r="A807" t="s">
        <v>1436</v>
      </c>
      <c r="B807" t="s">
        <v>0</v>
      </c>
      <c r="C807" t="s">
        <v>102</v>
      </c>
      <c r="D807" t="s">
        <v>103</v>
      </c>
      <c r="E807" t="s">
        <v>48</v>
      </c>
      <c r="F807" s="5">
        <v>43504</v>
      </c>
      <c r="G807" s="5">
        <v>43511</v>
      </c>
      <c r="H807" s="6">
        <v>0.4548611111111111</v>
      </c>
      <c r="I807" t="s">
        <v>14</v>
      </c>
      <c r="J807" t="s">
        <v>529</v>
      </c>
      <c r="K807" t="s">
        <v>45</v>
      </c>
      <c r="M807" t="s">
        <v>138</v>
      </c>
    </row>
    <row r="808" spans="1:13" x14ac:dyDescent="0.25">
      <c r="A808" t="s">
        <v>1436</v>
      </c>
      <c r="B808" t="s">
        <v>0</v>
      </c>
      <c r="C808" t="s">
        <v>102</v>
      </c>
      <c r="D808" t="s">
        <v>103</v>
      </c>
      <c r="E808" t="s">
        <v>22</v>
      </c>
      <c r="F808" s="5">
        <v>43484</v>
      </c>
      <c r="G808" s="5">
        <v>43540</v>
      </c>
      <c r="H808" s="6">
        <v>0.49305555555555558</v>
      </c>
      <c r="I808" t="s">
        <v>39</v>
      </c>
      <c r="J808" t="s">
        <v>531</v>
      </c>
      <c r="K808" t="s">
        <v>45</v>
      </c>
      <c r="M808" t="s">
        <v>138</v>
      </c>
    </row>
    <row r="809" spans="1:13" x14ac:dyDescent="0.25">
      <c r="A809" t="s">
        <v>1436</v>
      </c>
      <c r="B809" t="s">
        <v>0</v>
      </c>
      <c r="C809" t="s">
        <v>102</v>
      </c>
      <c r="D809" t="s">
        <v>103</v>
      </c>
      <c r="E809" t="s">
        <v>48</v>
      </c>
      <c r="F809" s="5">
        <v>43511</v>
      </c>
      <c r="G809" s="5">
        <v>43553</v>
      </c>
      <c r="H809" s="6">
        <v>0.50694444444444442</v>
      </c>
      <c r="I809" t="s">
        <v>352</v>
      </c>
      <c r="J809" t="s">
        <v>530</v>
      </c>
      <c r="K809" t="s">
        <v>45</v>
      </c>
      <c r="M809" t="s">
        <v>138</v>
      </c>
    </row>
    <row r="810" spans="1:13" x14ac:dyDescent="0.25">
      <c r="A810" t="s">
        <v>1436</v>
      </c>
      <c r="B810" t="s">
        <v>0</v>
      </c>
      <c r="C810" t="s">
        <v>102</v>
      </c>
      <c r="D810" t="s">
        <v>103</v>
      </c>
      <c r="E810" t="s">
        <v>13</v>
      </c>
      <c r="F810" s="5">
        <v>43405</v>
      </c>
      <c r="G810" s="5">
        <v>43552</v>
      </c>
      <c r="H810" s="6">
        <v>0.53819444444444442</v>
      </c>
      <c r="I810" t="s">
        <v>352</v>
      </c>
      <c r="J810" t="s">
        <v>530</v>
      </c>
      <c r="K810" t="s">
        <v>45</v>
      </c>
      <c r="M810" t="s">
        <v>138</v>
      </c>
    </row>
    <row r="811" spans="1:13" x14ac:dyDescent="0.25">
      <c r="A811" t="s">
        <v>1436</v>
      </c>
      <c r="B811" t="s">
        <v>0</v>
      </c>
      <c r="C811" t="s">
        <v>102</v>
      </c>
      <c r="D811" t="s">
        <v>103</v>
      </c>
      <c r="E811" t="s">
        <v>20</v>
      </c>
      <c r="F811" s="5">
        <v>43502</v>
      </c>
      <c r="G811" s="5">
        <v>43551</v>
      </c>
      <c r="H811" s="6">
        <v>0.53819444444444442</v>
      </c>
      <c r="I811" t="s">
        <v>352</v>
      </c>
      <c r="J811" t="s">
        <v>530</v>
      </c>
      <c r="K811" t="s">
        <v>45</v>
      </c>
      <c r="M811" t="s">
        <v>138</v>
      </c>
    </row>
    <row r="812" spans="1:13" x14ac:dyDescent="0.25">
      <c r="A812" t="s">
        <v>1436</v>
      </c>
      <c r="B812" t="s">
        <v>0</v>
      </c>
      <c r="C812" t="s">
        <v>102</v>
      </c>
      <c r="D812" t="s">
        <v>103</v>
      </c>
      <c r="E812" t="s">
        <v>18</v>
      </c>
      <c r="F812" s="5">
        <v>43401</v>
      </c>
      <c r="G812" s="5">
        <v>43548</v>
      </c>
      <c r="H812" s="6">
        <v>0.57291666666666663</v>
      </c>
      <c r="I812" t="s">
        <v>352</v>
      </c>
      <c r="J812" t="s">
        <v>530</v>
      </c>
      <c r="K812" t="s">
        <v>45</v>
      </c>
      <c r="M812" t="s">
        <v>138</v>
      </c>
    </row>
    <row r="813" spans="1:13" x14ac:dyDescent="0.25">
      <c r="A813" t="s">
        <v>1436</v>
      </c>
      <c r="B813" t="s">
        <v>0</v>
      </c>
      <c r="C813" t="s">
        <v>102</v>
      </c>
      <c r="D813" t="s">
        <v>103</v>
      </c>
      <c r="E813" t="s">
        <v>20</v>
      </c>
      <c r="F813" s="5">
        <v>43502</v>
      </c>
      <c r="G813" s="5">
        <v>43509</v>
      </c>
      <c r="H813" s="6">
        <v>0.58680555555555558</v>
      </c>
      <c r="I813" t="s">
        <v>39</v>
      </c>
      <c r="J813" t="s">
        <v>531</v>
      </c>
      <c r="K813" t="s">
        <v>45</v>
      </c>
      <c r="M813" t="s">
        <v>138</v>
      </c>
    </row>
    <row r="814" spans="1:13" x14ac:dyDescent="0.25">
      <c r="A814" t="s">
        <v>1436</v>
      </c>
      <c r="B814" t="s">
        <v>0</v>
      </c>
      <c r="C814" t="s">
        <v>102</v>
      </c>
      <c r="D814" t="s">
        <v>103</v>
      </c>
      <c r="E814" t="s">
        <v>48</v>
      </c>
      <c r="F814" s="5">
        <v>43406</v>
      </c>
      <c r="G814" s="5">
        <v>43553</v>
      </c>
      <c r="H814" s="6">
        <v>0.59375</v>
      </c>
      <c r="I814" t="s">
        <v>14</v>
      </c>
      <c r="J814" t="s">
        <v>528</v>
      </c>
      <c r="K814" t="s">
        <v>45</v>
      </c>
      <c r="M814" t="s">
        <v>138</v>
      </c>
    </row>
    <row r="815" spans="1:13" x14ac:dyDescent="0.25">
      <c r="A815" t="s">
        <v>1436</v>
      </c>
      <c r="B815" t="s">
        <v>0</v>
      </c>
      <c r="C815" t="s">
        <v>102</v>
      </c>
      <c r="D815" t="s">
        <v>103</v>
      </c>
      <c r="E815" t="s">
        <v>59</v>
      </c>
      <c r="F815" s="5">
        <v>43402</v>
      </c>
      <c r="G815" s="5">
        <v>43549</v>
      </c>
      <c r="H815" s="6">
        <v>0.65277777777777779</v>
      </c>
      <c r="I815" t="s">
        <v>352</v>
      </c>
      <c r="J815" t="s">
        <v>530</v>
      </c>
      <c r="K815" t="s">
        <v>45</v>
      </c>
      <c r="M815" t="s">
        <v>138</v>
      </c>
    </row>
    <row r="816" spans="1:13" x14ac:dyDescent="0.25">
      <c r="A816" t="s">
        <v>1436</v>
      </c>
      <c r="B816" t="s">
        <v>0</v>
      </c>
      <c r="C816" t="s">
        <v>102</v>
      </c>
      <c r="D816" t="s">
        <v>103</v>
      </c>
      <c r="E816" t="s">
        <v>18</v>
      </c>
      <c r="F816" s="5">
        <v>43513</v>
      </c>
      <c r="G816" s="5">
        <v>43548</v>
      </c>
      <c r="H816" s="6">
        <v>0.65625</v>
      </c>
      <c r="I816" t="s">
        <v>104</v>
      </c>
      <c r="J816" t="s">
        <v>531</v>
      </c>
      <c r="K816" t="s">
        <v>45</v>
      </c>
      <c r="M816" t="s">
        <v>138</v>
      </c>
    </row>
    <row r="817" spans="1:13" x14ac:dyDescent="0.25">
      <c r="A817" t="s">
        <v>1436</v>
      </c>
      <c r="B817" t="s">
        <v>0</v>
      </c>
      <c r="C817" t="s">
        <v>102</v>
      </c>
      <c r="D817" t="s">
        <v>103</v>
      </c>
      <c r="E817" t="s">
        <v>48</v>
      </c>
      <c r="F817" s="5">
        <v>43413</v>
      </c>
      <c r="G817" s="5">
        <v>43553</v>
      </c>
      <c r="H817" s="6">
        <v>0.66319444444444442</v>
      </c>
      <c r="I817" t="s">
        <v>39</v>
      </c>
      <c r="J817" t="s">
        <v>531</v>
      </c>
      <c r="K817" t="s">
        <v>45</v>
      </c>
      <c r="M817" t="s">
        <v>138</v>
      </c>
    </row>
    <row r="818" spans="1:13" x14ac:dyDescent="0.25">
      <c r="A818" t="s">
        <v>1436</v>
      </c>
      <c r="B818" t="s">
        <v>0</v>
      </c>
      <c r="C818" t="s">
        <v>102</v>
      </c>
      <c r="D818" t="s">
        <v>103</v>
      </c>
      <c r="E818" t="s">
        <v>22</v>
      </c>
      <c r="F818" s="5">
        <v>43470</v>
      </c>
      <c r="G818" s="5">
        <v>43554</v>
      </c>
      <c r="H818" s="6">
        <v>0.66319444444444442</v>
      </c>
      <c r="I818" t="s">
        <v>352</v>
      </c>
      <c r="J818" t="s">
        <v>530</v>
      </c>
      <c r="K818" t="s">
        <v>45</v>
      </c>
      <c r="M818" t="s">
        <v>138</v>
      </c>
    </row>
    <row r="819" spans="1:13" x14ac:dyDescent="0.25">
      <c r="A819" t="s">
        <v>1436</v>
      </c>
      <c r="B819" t="s">
        <v>0</v>
      </c>
      <c r="C819" t="s">
        <v>102</v>
      </c>
      <c r="D819" t="s">
        <v>103</v>
      </c>
      <c r="E819" t="s">
        <v>18</v>
      </c>
      <c r="F819" s="5">
        <v>43401</v>
      </c>
      <c r="G819" s="5">
        <v>43548</v>
      </c>
      <c r="H819" s="6">
        <v>0.6875</v>
      </c>
      <c r="I819" t="s">
        <v>14</v>
      </c>
      <c r="J819" t="s">
        <v>1560</v>
      </c>
      <c r="K819" t="s">
        <v>45</v>
      </c>
      <c r="M819" t="s">
        <v>138</v>
      </c>
    </row>
    <row r="820" spans="1:13" x14ac:dyDescent="0.25">
      <c r="A820" t="s">
        <v>1436</v>
      </c>
      <c r="B820" t="s">
        <v>0</v>
      </c>
      <c r="C820" t="s">
        <v>102</v>
      </c>
      <c r="D820" t="s">
        <v>103</v>
      </c>
      <c r="E820" t="s">
        <v>59</v>
      </c>
      <c r="F820" s="5">
        <v>43472</v>
      </c>
      <c r="G820" s="5">
        <v>43549</v>
      </c>
      <c r="H820" s="6">
        <v>0.71875</v>
      </c>
      <c r="I820" t="s">
        <v>106</v>
      </c>
      <c r="J820" t="s">
        <v>529</v>
      </c>
      <c r="K820" t="s">
        <v>45</v>
      </c>
      <c r="M820" t="s">
        <v>138</v>
      </c>
    </row>
    <row r="821" spans="1:13" x14ac:dyDescent="0.25">
      <c r="A821" t="s">
        <v>1436</v>
      </c>
      <c r="B821" t="s">
        <v>0</v>
      </c>
      <c r="C821" t="s">
        <v>102</v>
      </c>
      <c r="D821" t="s">
        <v>103</v>
      </c>
      <c r="E821" t="s">
        <v>22</v>
      </c>
      <c r="F821" s="5">
        <v>43505</v>
      </c>
      <c r="G821" s="5">
        <v>43554</v>
      </c>
      <c r="H821" s="6">
        <v>0.71875</v>
      </c>
      <c r="I821" t="s">
        <v>106</v>
      </c>
      <c r="J821" t="s">
        <v>529</v>
      </c>
      <c r="K821" t="s">
        <v>45</v>
      </c>
      <c r="M821" t="s">
        <v>138</v>
      </c>
    </row>
    <row r="822" spans="1:13" x14ac:dyDescent="0.25">
      <c r="A822" t="s">
        <v>1436</v>
      </c>
      <c r="B822" t="s">
        <v>0</v>
      </c>
      <c r="C822" t="s">
        <v>102</v>
      </c>
      <c r="D822" t="s">
        <v>103</v>
      </c>
      <c r="E822" t="s">
        <v>18</v>
      </c>
      <c r="F822" s="5">
        <v>43513</v>
      </c>
      <c r="G822" s="5">
        <v>43513</v>
      </c>
      <c r="H822" s="6">
        <v>0.71875</v>
      </c>
      <c r="I822" t="s">
        <v>106</v>
      </c>
      <c r="J822" t="s">
        <v>529</v>
      </c>
      <c r="K822" t="s">
        <v>45</v>
      </c>
      <c r="M822" t="s">
        <v>138</v>
      </c>
    </row>
    <row r="823" spans="1:13" x14ac:dyDescent="0.25">
      <c r="A823" t="s">
        <v>1436</v>
      </c>
      <c r="B823" t="s">
        <v>0</v>
      </c>
      <c r="C823" t="s">
        <v>102</v>
      </c>
      <c r="D823" t="s">
        <v>103</v>
      </c>
      <c r="E823" t="s">
        <v>18</v>
      </c>
      <c r="F823" s="5">
        <v>43513</v>
      </c>
      <c r="G823" s="5">
        <v>43513</v>
      </c>
      <c r="H823" s="6">
        <v>0.71875</v>
      </c>
      <c r="I823" t="s">
        <v>106</v>
      </c>
      <c r="J823" t="s">
        <v>1561</v>
      </c>
      <c r="K823" t="s">
        <v>45</v>
      </c>
      <c r="M823" t="s">
        <v>138</v>
      </c>
    </row>
    <row r="824" spans="1:13" x14ac:dyDescent="0.25">
      <c r="A824" t="s">
        <v>1436</v>
      </c>
      <c r="B824" t="s">
        <v>0</v>
      </c>
      <c r="C824" t="s">
        <v>107</v>
      </c>
      <c r="D824" t="s">
        <v>108</v>
      </c>
      <c r="E824" t="s">
        <v>48</v>
      </c>
      <c r="F824" s="5">
        <v>43406</v>
      </c>
      <c r="G824" s="5">
        <v>43553</v>
      </c>
      <c r="H824" s="6">
        <v>0.49652777777777773</v>
      </c>
      <c r="I824" t="s">
        <v>14</v>
      </c>
      <c r="J824" t="s">
        <v>532</v>
      </c>
      <c r="K824" t="s">
        <v>38</v>
      </c>
      <c r="M824" t="s">
        <v>138</v>
      </c>
    </row>
    <row r="825" spans="1:13" x14ac:dyDescent="0.25">
      <c r="A825" t="s">
        <v>1436</v>
      </c>
      <c r="B825" t="s">
        <v>0</v>
      </c>
      <c r="C825" t="s">
        <v>107</v>
      </c>
      <c r="D825" t="s">
        <v>108</v>
      </c>
      <c r="E825" t="s">
        <v>13</v>
      </c>
      <c r="F825" s="5">
        <v>43412</v>
      </c>
      <c r="G825" s="5">
        <v>43552</v>
      </c>
      <c r="H825" s="6">
        <v>0.5625</v>
      </c>
      <c r="I825" t="s">
        <v>14</v>
      </c>
      <c r="J825" t="s">
        <v>534</v>
      </c>
      <c r="K825" t="s">
        <v>38</v>
      </c>
      <c r="M825" t="s">
        <v>138</v>
      </c>
    </row>
    <row r="826" spans="1:13" x14ac:dyDescent="0.25">
      <c r="A826" t="s">
        <v>1436</v>
      </c>
      <c r="B826" t="s">
        <v>0</v>
      </c>
      <c r="C826" t="s">
        <v>107</v>
      </c>
      <c r="D826" t="s">
        <v>108</v>
      </c>
      <c r="E826" t="s">
        <v>18</v>
      </c>
      <c r="F826" s="5">
        <v>43415</v>
      </c>
      <c r="G826" s="5">
        <v>43548</v>
      </c>
      <c r="H826" s="6">
        <v>0.60416666666666663</v>
      </c>
      <c r="I826" t="s">
        <v>14</v>
      </c>
      <c r="J826" t="s">
        <v>534</v>
      </c>
      <c r="K826" t="s">
        <v>38</v>
      </c>
      <c r="M826" t="s">
        <v>138</v>
      </c>
    </row>
    <row r="827" spans="1:13" x14ac:dyDescent="0.25">
      <c r="A827" t="s">
        <v>1436</v>
      </c>
      <c r="B827" t="s">
        <v>0</v>
      </c>
      <c r="C827" t="s">
        <v>107</v>
      </c>
      <c r="D827" t="s">
        <v>108</v>
      </c>
      <c r="E827" t="s">
        <v>13</v>
      </c>
      <c r="F827" s="5">
        <v>43433</v>
      </c>
      <c r="G827" s="5">
        <v>43552</v>
      </c>
      <c r="H827" s="6">
        <v>0.61805555555555558</v>
      </c>
      <c r="I827" t="s">
        <v>39</v>
      </c>
      <c r="J827" t="s">
        <v>533</v>
      </c>
      <c r="K827" t="s">
        <v>38</v>
      </c>
      <c r="M827" t="s">
        <v>138</v>
      </c>
    </row>
    <row r="828" spans="1:13" x14ac:dyDescent="0.25">
      <c r="A828" t="s">
        <v>1436</v>
      </c>
      <c r="B828" t="s">
        <v>0</v>
      </c>
      <c r="C828" t="s">
        <v>115</v>
      </c>
      <c r="D828" t="s">
        <v>116</v>
      </c>
      <c r="E828" t="s">
        <v>22</v>
      </c>
      <c r="F828" s="5">
        <v>43407</v>
      </c>
      <c r="G828" s="5">
        <v>43554</v>
      </c>
      <c r="H828" s="6">
        <v>0.49652777777777773</v>
      </c>
      <c r="I828" t="s">
        <v>14</v>
      </c>
      <c r="J828" t="s">
        <v>535</v>
      </c>
      <c r="K828" t="s">
        <v>38</v>
      </c>
      <c r="M828" t="s">
        <v>138</v>
      </c>
    </row>
    <row r="829" spans="1:13" x14ac:dyDescent="0.25">
      <c r="A829" t="s">
        <v>1436</v>
      </c>
      <c r="B829" t="s">
        <v>0</v>
      </c>
      <c r="C829" t="s">
        <v>115</v>
      </c>
      <c r="D829" t="s">
        <v>116</v>
      </c>
      <c r="E829" t="s">
        <v>59</v>
      </c>
      <c r="F829" s="5">
        <v>43472</v>
      </c>
      <c r="G829" s="5">
        <v>43549</v>
      </c>
      <c r="H829" s="6">
        <v>0.63194444444444442</v>
      </c>
      <c r="I829" t="s">
        <v>14</v>
      </c>
      <c r="J829" t="s">
        <v>536</v>
      </c>
      <c r="K829" t="s">
        <v>38</v>
      </c>
      <c r="M829" t="s">
        <v>138</v>
      </c>
    </row>
    <row r="830" spans="1:13" x14ac:dyDescent="0.25">
      <c r="A830" t="s">
        <v>1436</v>
      </c>
      <c r="B830" t="s">
        <v>0</v>
      </c>
      <c r="C830" t="s">
        <v>115</v>
      </c>
      <c r="D830" t="s">
        <v>116</v>
      </c>
      <c r="E830" t="s">
        <v>48</v>
      </c>
      <c r="F830" s="5">
        <v>43406</v>
      </c>
      <c r="G830" s="5">
        <v>43546</v>
      </c>
      <c r="H830" s="6">
        <v>0.65972222222222221</v>
      </c>
      <c r="I830" t="s">
        <v>14</v>
      </c>
      <c r="J830" t="s">
        <v>536</v>
      </c>
      <c r="K830" t="s">
        <v>38</v>
      </c>
      <c r="M830" t="s">
        <v>138</v>
      </c>
    </row>
    <row r="831" spans="1:13" x14ac:dyDescent="0.25">
      <c r="A831" t="s">
        <v>1436</v>
      </c>
      <c r="B831" t="s">
        <v>0</v>
      </c>
      <c r="C831" t="s">
        <v>115</v>
      </c>
      <c r="D831" t="s">
        <v>116</v>
      </c>
      <c r="E831" t="s">
        <v>19</v>
      </c>
      <c r="F831" s="5">
        <v>43466</v>
      </c>
      <c r="G831" s="5">
        <v>43550</v>
      </c>
      <c r="H831" s="6">
        <v>0.77777777777777779</v>
      </c>
      <c r="I831" t="s">
        <v>14</v>
      </c>
      <c r="J831" t="s">
        <v>535</v>
      </c>
      <c r="K831" t="s">
        <v>38</v>
      </c>
      <c r="M831" t="s">
        <v>138</v>
      </c>
    </row>
    <row r="832" spans="1:13" x14ac:dyDescent="0.25">
      <c r="A832" t="s">
        <v>1436</v>
      </c>
      <c r="B832" t="s">
        <v>0</v>
      </c>
      <c r="C832" t="s">
        <v>119</v>
      </c>
      <c r="D832" t="s">
        <v>120</v>
      </c>
      <c r="E832" t="s">
        <v>20</v>
      </c>
      <c r="F832" s="5">
        <v>43411</v>
      </c>
      <c r="G832" s="5">
        <v>43551</v>
      </c>
      <c r="H832" s="6">
        <v>0.47222222222222227</v>
      </c>
      <c r="I832" t="s">
        <v>14</v>
      </c>
      <c r="J832" t="s">
        <v>1562</v>
      </c>
      <c r="K832" t="s">
        <v>16</v>
      </c>
      <c r="M832" t="s">
        <v>138</v>
      </c>
    </row>
    <row r="833" spans="1:13" x14ac:dyDescent="0.25">
      <c r="A833" t="s">
        <v>1436</v>
      </c>
      <c r="B833" t="s">
        <v>0</v>
      </c>
      <c r="C833" t="s">
        <v>119</v>
      </c>
      <c r="D833" t="s">
        <v>120</v>
      </c>
      <c r="E833" t="s">
        <v>20</v>
      </c>
      <c r="F833" s="5">
        <v>43411</v>
      </c>
      <c r="G833" s="5">
        <v>43551</v>
      </c>
      <c r="H833" s="6">
        <v>0.55208333333333337</v>
      </c>
      <c r="I833" t="s">
        <v>14</v>
      </c>
      <c r="J833" t="s">
        <v>1563</v>
      </c>
      <c r="K833" t="s">
        <v>16</v>
      </c>
      <c r="L833" t="s">
        <v>600</v>
      </c>
      <c r="M833" t="s">
        <v>138</v>
      </c>
    </row>
    <row r="834" spans="1:13" x14ac:dyDescent="0.25">
      <c r="A834" t="s">
        <v>1436</v>
      </c>
      <c r="B834" t="s">
        <v>0</v>
      </c>
      <c r="C834" t="s">
        <v>119</v>
      </c>
      <c r="D834" t="s">
        <v>120</v>
      </c>
      <c r="E834" t="s">
        <v>18</v>
      </c>
      <c r="F834" s="5">
        <v>43408</v>
      </c>
      <c r="G834" s="5">
        <v>43548</v>
      </c>
      <c r="H834" s="6">
        <v>0.56597222222222221</v>
      </c>
      <c r="I834" t="s">
        <v>14</v>
      </c>
      <c r="J834" t="s">
        <v>1564</v>
      </c>
      <c r="K834" t="s">
        <v>16</v>
      </c>
      <c r="L834" t="s">
        <v>600</v>
      </c>
      <c r="M834" t="s">
        <v>138</v>
      </c>
    </row>
    <row r="835" spans="1:13" x14ac:dyDescent="0.25">
      <c r="A835" t="s">
        <v>1436</v>
      </c>
      <c r="B835" t="s">
        <v>0</v>
      </c>
      <c r="C835" t="s">
        <v>119</v>
      </c>
      <c r="D835" t="s">
        <v>120</v>
      </c>
      <c r="E835" t="s">
        <v>19</v>
      </c>
      <c r="F835" s="5">
        <v>43480</v>
      </c>
      <c r="G835" s="5">
        <v>43550</v>
      </c>
      <c r="H835" s="6">
        <v>0.57986111111111105</v>
      </c>
      <c r="I835" t="s">
        <v>14</v>
      </c>
      <c r="J835" t="s">
        <v>537</v>
      </c>
      <c r="K835" t="s">
        <v>16</v>
      </c>
      <c r="M835" t="s">
        <v>138</v>
      </c>
    </row>
    <row r="836" spans="1:13" x14ac:dyDescent="0.25">
      <c r="A836" t="s">
        <v>1436</v>
      </c>
      <c r="B836" t="s">
        <v>0</v>
      </c>
      <c r="C836" t="s">
        <v>119</v>
      </c>
      <c r="D836" t="s">
        <v>120</v>
      </c>
      <c r="E836" t="s">
        <v>22</v>
      </c>
      <c r="F836" s="5">
        <v>43407</v>
      </c>
      <c r="G836" s="5">
        <v>43554</v>
      </c>
      <c r="H836" s="6">
        <v>0.73263888888888884</v>
      </c>
      <c r="I836" t="s">
        <v>14</v>
      </c>
      <c r="J836" t="s">
        <v>1562</v>
      </c>
      <c r="K836" t="s">
        <v>16</v>
      </c>
      <c r="M836" t="s">
        <v>138</v>
      </c>
    </row>
    <row r="837" spans="1:13" x14ac:dyDescent="0.25">
      <c r="A837" t="s">
        <v>1436</v>
      </c>
      <c r="B837" t="s">
        <v>0</v>
      </c>
      <c r="C837" t="s">
        <v>538</v>
      </c>
      <c r="D837" t="s">
        <v>539</v>
      </c>
      <c r="E837" t="s">
        <v>143</v>
      </c>
      <c r="F837" s="5">
        <v>43401</v>
      </c>
      <c r="G837" s="5">
        <v>43553</v>
      </c>
      <c r="H837" s="6">
        <v>0.43402777777777773</v>
      </c>
      <c r="I837" t="s">
        <v>139</v>
      </c>
      <c r="J837" t="s">
        <v>1565</v>
      </c>
      <c r="K837" t="s">
        <v>1533</v>
      </c>
      <c r="M837" t="s">
        <v>138</v>
      </c>
    </row>
    <row r="838" spans="1:13" x14ac:dyDescent="0.25">
      <c r="A838" t="s">
        <v>1436</v>
      </c>
      <c r="B838" t="s">
        <v>0</v>
      </c>
      <c r="C838" t="s">
        <v>538</v>
      </c>
      <c r="D838" t="s">
        <v>539</v>
      </c>
      <c r="E838" t="s">
        <v>48</v>
      </c>
      <c r="F838" s="5">
        <v>43497</v>
      </c>
      <c r="G838" s="5">
        <v>43518</v>
      </c>
      <c r="H838" s="6">
        <v>0.60416666666666663</v>
      </c>
      <c r="I838" t="s">
        <v>139</v>
      </c>
      <c r="J838" t="s">
        <v>540</v>
      </c>
      <c r="K838" t="s">
        <v>1533</v>
      </c>
      <c r="M838" t="s">
        <v>138</v>
      </c>
    </row>
    <row r="839" spans="1:13" x14ac:dyDescent="0.25">
      <c r="A839" t="s">
        <v>1436</v>
      </c>
      <c r="B839" t="s">
        <v>0</v>
      </c>
      <c r="C839" t="s">
        <v>538</v>
      </c>
      <c r="D839" t="s">
        <v>539</v>
      </c>
      <c r="E839" t="s">
        <v>558</v>
      </c>
      <c r="F839" s="5">
        <v>43401</v>
      </c>
      <c r="G839" s="5">
        <v>43554</v>
      </c>
      <c r="H839" s="6">
        <v>0.63888888888888895</v>
      </c>
      <c r="I839" t="s">
        <v>139</v>
      </c>
      <c r="J839" t="s">
        <v>540</v>
      </c>
      <c r="K839" t="s">
        <v>1533</v>
      </c>
      <c r="M839" t="s">
        <v>138</v>
      </c>
    </row>
    <row r="840" spans="1:13" x14ac:dyDescent="0.25">
      <c r="A840" t="s">
        <v>1436</v>
      </c>
      <c r="B840" t="s">
        <v>0</v>
      </c>
      <c r="C840" t="s">
        <v>538</v>
      </c>
      <c r="D840" t="s">
        <v>539</v>
      </c>
      <c r="E840" t="s">
        <v>59</v>
      </c>
      <c r="F840" s="5">
        <v>43465</v>
      </c>
      <c r="G840" s="5">
        <v>43549</v>
      </c>
      <c r="H840" s="6">
        <v>0.63888888888888895</v>
      </c>
      <c r="I840" t="s">
        <v>139</v>
      </c>
      <c r="J840" t="s">
        <v>540</v>
      </c>
      <c r="K840" t="s">
        <v>1533</v>
      </c>
      <c r="M840" t="s">
        <v>138</v>
      </c>
    </row>
    <row r="841" spans="1:13" x14ac:dyDescent="0.25">
      <c r="A841" t="s">
        <v>1436</v>
      </c>
      <c r="B841" t="s">
        <v>0</v>
      </c>
      <c r="C841" t="s">
        <v>360</v>
      </c>
      <c r="D841" t="s">
        <v>361</v>
      </c>
      <c r="E841" t="s">
        <v>18</v>
      </c>
      <c r="F841" s="5">
        <v>43401</v>
      </c>
      <c r="G841" s="5">
        <v>43548</v>
      </c>
      <c r="H841" s="6">
        <v>0.71875</v>
      </c>
      <c r="I841">
        <v>319</v>
      </c>
      <c r="J841" t="s">
        <v>541</v>
      </c>
      <c r="K841" t="s">
        <v>45</v>
      </c>
      <c r="M841" t="s">
        <v>138</v>
      </c>
    </row>
    <row r="842" spans="1:13" x14ac:dyDescent="0.25">
      <c r="A842" t="s">
        <v>1436</v>
      </c>
      <c r="B842" t="s">
        <v>0</v>
      </c>
      <c r="C842" t="s">
        <v>542</v>
      </c>
      <c r="D842" t="s">
        <v>543</v>
      </c>
      <c r="E842" t="s">
        <v>52</v>
      </c>
      <c r="F842" s="5">
        <v>43435</v>
      </c>
      <c r="G842" s="5">
        <v>43554</v>
      </c>
      <c r="H842" s="6">
        <v>0.49305555555555558</v>
      </c>
      <c r="I842" t="s">
        <v>698</v>
      </c>
      <c r="J842" t="s">
        <v>1566</v>
      </c>
      <c r="K842" t="s">
        <v>544</v>
      </c>
      <c r="M842" t="s">
        <v>138</v>
      </c>
    </row>
    <row r="843" spans="1:13" x14ac:dyDescent="0.25">
      <c r="A843" t="s">
        <v>1436</v>
      </c>
      <c r="B843" t="s">
        <v>0</v>
      </c>
      <c r="C843" t="s">
        <v>542</v>
      </c>
      <c r="D843" t="s">
        <v>543</v>
      </c>
      <c r="E843" t="s">
        <v>1462</v>
      </c>
      <c r="F843" s="5">
        <v>43429</v>
      </c>
      <c r="G843" s="5">
        <v>43553</v>
      </c>
      <c r="H843" s="6">
        <v>0.65277777777777779</v>
      </c>
      <c r="I843" t="s">
        <v>698</v>
      </c>
      <c r="J843" t="s">
        <v>545</v>
      </c>
      <c r="K843" t="s">
        <v>544</v>
      </c>
      <c r="M843" t="s">
        <v>138</v>
      </c>
    </row>
    <row r="844" spans="1:13" x14ac:dyDescent="0.25">
      <c r="A844" t="s">
        <v>1436</v>
      </c>
      <c r="B844" t="s">
        <v>0</v>
      </c>
      <c r="C844" t="s">
        <v>542</v>
      </c>
      <c r="D844" t="s">
        <v>543</v>
      </c>
      <c r="E844" t="s">
        <v>54</v>
      </c>
      <c r="F844" s="5">
        <v>43453</v>
      </c>
      <c r="G844" s="5">
        <v>43551</v>
      </c>
      <c r="H844" s="6">
        <v>0.65277777777777779</v>
      </c>
      <c r="I844" t="s">
        <v>698</v>
      </c>
      <c r="J844" t="s">
        <v>545</v>
      </c>
      <c r="K844" t="s">
        <v>544</v>
      </c>
      <c r="M844" t="s">
        <v>138</v>
      </c>
    </row>
    <row r="845" spans="1:13" x14ac:dyDescent="0.25">
      <c r="A845" t="s">
        <v>1436</v>
      </c>
      <c r="B845" t="s">
        <v>0</v>
      </c>
      <c r="C845" t="s">
        <v>542</v>
      </c>
      <c r="D845" t="s">
        <v>543</v>
      </c>
      <c r="E845" t="s">
        <v>59</v>
      </c>
      <c r="F845" s="5">
        <v>43437</v>
      </c>
      <c r="G845" s="5">
        <v>43549</v>
      </c>
      <c r="H845" s="6">
        <v>0.67013888888888884</v>
      </c>
      <c r="I845" t="s">
        <v>698</v>
      </c>
      <c r="J845" t="s">
        <v>545</v>
      </c>
      <c r="K845" t="s">
        <v>544</v>
      </c>
      <c r="M845" t="s">
        <v>138</v>
      </c>
    </row>
    <row r="846" spans="1:13" x14ac:dyDescent="0.25">
      <c r="A846" t="s">
        <v>1436</v>
      </c>
      <c r="B846" t="s">
        <v>0</v>
      </c>
      <c r="C846" t="s">
        <v>542</v>
      </c>
      <c r="D846" t="s">
        <v>543</v>
      </c>
      <c r="E846" t="s">
        <v>22</v>
      </c>
      <c r="F846" s="5">
        <v>43407</v>
      </c>
      <c r="G846" s="5">
        <v>43554</v>
      </c>
      <c r="H846" s="6">
        <v>0.67361111111111116</v>
      </c>
      <c r="I846" t="s">
        <v>14</v>
      </c>
      <c r="J846" t="s">
        <v>1251</v>
      </c>
      <c r="K846" t="s">
        <v>544</v>
      </c>
      <c r="M846" t="s">
        <v>138</v>
      </c>
    </row>
    <row r="847" spans="1:13" x14ac:dyDescent="0.25">
      <c r="A847" t="s">
        <v>1436</v>
      </c>
      <c r="B847" t="s">
        <v>0</v>
      </c>
      <c r="C847" t="s">
        <v>542</v>
      </c>
      <c r="D847" t="s">
        <v>543</v>
      </c>
      <c r="E847" t="s">
        <v>20</v>
      </c>
      <c r="F847" s="5">
        <v>43404</v>
      </c>
      <c r="G847" s="5">
        <v>43551</v>
      </c>
      <c r="H847" s="6">
        <v>0.68055555555555547</v>
      </c>
      <c r="I847" t="s">
        <v>14</v>
      </c>
      <c r="J847" t="s">
        <v>1251</v>
      </c>
      <c r="K847" t="s">
        <v>544</v>
      </c>
      <c r="M847" t="s">
        <v>138</v>
      </c>
    </row>
    <row r="848" spans="1:13" x14ac:dyDescent="0.25">
      <c r="A848" t="s">
        <v>1436</v>
      </c>
      <c r="B848" t="s">
        <v>0</v>
      </c>
      <c r="C848" t="s">
        <v>542</v>
      </c>
      <c r="D848" t="s">
        <v>543</v>
      </c>
      <c r="E848" t="s">
        <v>22</v>
      </c>
      <c r="F848" s="5">
        <v>43428</v>
      </c>
      <c r="G848" s="5">
        <v>43554</v>
      </c>
      <c r="H848" s="6">
        <v>0.70138888888888884</v>
      </c>
      <c r="I848" t="s">
        <v>14</v>
      </c>
      <c r="J848" t="s">
        <v>545</v>
      </c>
      <c r="K848" t="s">
        <v>544</v>
      </c>
      <c r="M848" t="s">
        <v>138</v>
      </c>
    </row>
    <row r="849" spans="1:13" x14ac:dyDescent="0.25">
      <c r="A849" t="s">
        <v>1436</v>
      </c>
      <c r="B849" t="s">
        <v>0</v>
      </c>
      <c r="C849" t="s">
        <v>1567</v>
      </c>
      <c r="D849" t="s">
        <v>1568</v>
      </c>
      <c r="E849" t="s">
        <v>18</v>
      </c>
      <c r="F849" s="5">
        <v>43415</v>
      </c>
      <c r="G849" s="5">
        <v>43548</v>
      </c>
      <c r="H849" s="6">
        <v>0.4548611111111111</v>
      </c>
      <c r="I849" t="s">
        <v>14</v>
      </c>
      <c r="J849" t="s">
        <v>1569</v>
      </c>
      <c r="K849" t="s">
        <v>544</v>
      </c>
      <c r="M849" t="s">
        <v>138</v>
      </c>
    </row>
    <row r="850" spans="1:13" x14ac:dyDescent="0.25">
      <c r="A850" t="s">
        <v>1436</v>
      </c>
      <c r="B850" t="s">
        <v>0</v>
      </c>
      <c r="C850" t="s">
        <v>546</v>
      </c>
      <c r="D850" t="s">
        <v>547</v>
      </c>
      <c r="E850" t="s">
        <v>59</v>
      </c>
      <c r="F850" s="5">
        <v>43507</v>
      </c>
      <c r="G850" s="5">
        <v>43514</v>
      </c>
      <c r="H850" s="6">
        <v>0.49305555555555558</v>
      </c>
      <c r="I850">
        <v>320</v>
      </c>
      <c r="J850" t="s">
        <v>548</v>
      </c>
      <c r="K850" t="s">
        <v>1533</v>
      </c>
      <c r="M850" t="s">
        <v>138</v>
      </c>
    </row>
    <row r="851" spans="1:13" x14ac:dyDescent="0.25">
      <c r="A851" t="s">
        <v>1436</v>
      </c>
      <c r="B851" t="s">
        <v>0</v>
      </c>
      <c r="C851" t="s">
        <v>546</v>
      </c>
      <c r="D851" t="s">
        <v>547</v>
      </c>
      <c r="E851" t="s">
        <v>13</v>
      </c>
      <c r="F851" s="5">
        <v>43475</v>
      </c>
      <c r="G851" s="5">
        <v>43552</v>
      </c>
      <c r="H851" s="6">
        <v>0.70486111111111116</v>
      </c>
      <c r="I851">
        <v>320</v>
      </c>
      <c r="J851" t="s">
        <v>548</v>
      </c>
      <c r="K851" t="s">
        <v>1533</v>
      </c>
      <c r="M851" t="s">
        <v>138</v>
      </c>
    </row>
    <row r="852" spans="1:13" x14ac:dyDescent="0.25">
      <c r="A852" t="s">
        <v>1436</v>
      </c>
      <c r="B852" t="s">
        <v>0</v>
      </c>
      <c r="C852" t="s">
        <v>549</v>
      </c>
      <c r="D852" t="s">
        <v>550</v>
      </c>
      <c r="E852" t="s">
        <v>18</v>
      </c>
      <c r="F852" s="5">
        <v>43443</v>
      </c>
      <c r="G852" s="5">
        <v>43548</v>
      </c>
      <c r="H852" s="6">
        <v>0.57986111111111105</v>
      </c>
      <c r="I852" t="s">
        <v>14</v>
      </c>
      <c r="J852" t="s">
        <v>551</v>
      </c>
      <c r="K852" t="s">
        <v>45</v>
      </c>
      <c r="M852" t="s">
        <v>138</v>
      </c>
    </row>
    <row r="853" spans="1:13" x14ac:dyDescent="0.25">
      <c r="A853" t="s">
        <v>1436</v>
      </c>
      <c r="B853" t="s">
        <v>0</v>
      </c>
      <c r="C853" t="s">
        <v>549</v>
      </c>
      <c r="D853" t="s">
        <v>550</v>
      </c>
      <c r="E853" t="s">
        <v>48</v>
      </c>
      <c r="F853" s="5">
        <v>43476</v>
      </c>
      <c r="G853" s="5">
        <v>43553</v>
      </c>
      <c r="H853" s="6">
        <v>0.73611111111111116</v>
      </c>
      <c r="I853" t="s">
        <v>14</v>
      </c>
      <c r="J853" t="s">
        <v>551</v>
      </c>
      <c r="K853" t="s">
        <v>45</v>
      </c>
      <c r="M853" t="s">
        <v>138</v>
      </c>
    </row>
    <row r="854" spans="1:13" x14ac:dyDescent="0.25">
      <c r="A854" t="s">
        <v>1436</v>
      </c>
      <c r="B854" t="s">
        <v>0</v>
      </c>
      <c r="C854" t="s">
        <v>123</v>
      </c>
      <c r="D854" t="s">
        <v>124</v>
      </c>
      <c r="E854" t="s">
        <v>22</v>
      </c>
      <c r="F854" s="5">
        <v>43463</v>
      </c>
      <c r="G854" s="5">
        <v>43554</v>
      </c>
      <c r="H854" s="6">
        <v>0.35416666666666669</v>
      </c>
      <c r="I854" t="s">
        <v>106</v>
      </c>
      <c r="J854" t="s">
        <v>1571</v>
      </c>
      <c r="K854" t="s">
        <v>45</v>
      </c>
      <c r="M854" t="s">
        <v>138</v>
      </c>
    </row>
    <row r="855" spans="1:13" x14ac:dyDescent="0.25">
      <c r="A855" t="s">
        <v>1436</v>
      </c>
      <c r="B855" t="s">
        <v>0</v>
      </c>
      <c r="C855" t="s">
        <v>123</v>
      </c>
      <c r="D855" t="s">
        <v>124</v>
      </c>
      <c r="E855" t="s">
        <v>37</v>
      </c>
      <c r="F855" s="5">
        <v>43402</v>
      </c>
      <c r="G855" s="5">
        <v>43553</v>
      </c>
      <c r="H855" s="6">
        <v>0.44097222222222227</v>
      </c>
      <c r="I855" t="s">
        <v>14</v>
      </c>
      <c r="J855" t="s">
        <v>552</v>
      </c>
      <c r="K855" t="s">
        <v>45</v>
      </c>
      <c r="M855" t="s">
        <v>138</v>
      </c>
    </row>
    <row r="856" spans="1:13" x14ac:dyDescent="0.25">
      <c r="A856" t="s">
        <v>1436</v>
      </c>
      <c r="B856" t="s">
        <v>0</v>
      </c>
      <c r="C856" t="s">
        <v>123</v>
      </c>
      <c r="D856" t="s">
        <v>124</v>
      </c>
      <c r="E856" t="s">
        <v>18</v>
      </c>
      <c r="F856" s="5">
        <v>43471</v>
      </c>
      <c r="G856" s="5">
        <v>43520</v>
      </c>
      <c r="H856" s="6">
        <v>0.47569444444444442</v>
      </c>
      <c r="I856" t="s">
        <v>106</v>
      </c>
      <c r="J856" t="s">
        <v>1570</v>
      </c>
      <c r="K856" t="s">
        <v>45</v>
      </c>
      <c r="M856" t="s">
        <v>138</v>
      </c>
    </row>
    <row r="857" spans="1:13" x14ac:dyDescent="0.25">
      <c r="A857" t="s">
        <v>1436</v>
      </c>
      <c r="B857" t="s">
        <v>0</v>
      </c>
      <c r="C857" t="s">
        <v>123</v>
      </c>
      <c r="D857" t="s">
        <v>124</v>
      </c>
      <c r="E857" t="s">
        <v>18</v>
      </c>
      <c r="F857" s="5">
        <v>43408</v>
      </c>
      <c r="G857" s="5">
        <v>43548</v>
      </c>
      <c r="H857" s="6">
        <v>0.52083333333333337</v>
      </c>
      <c r="I857" t="s">
        <v>106</v>
      </c>
      <c r="J857" t="s">
        <v>554</v>
      </c>
      <c r="K857" t="s">
        <v>45</v>
      </c>
      <c r="M857" t="s">
        <v>138</v>
      </c>
    </row>
    <row r="858" spans="1:13" x14ac:dyDescent="0.25">
      <c r="A858" t="s">
        <v>1436</v>
      </c>
      <c r="B858" t="s">
        <v>0</v>
      </c>
      <c r="C858" t="s">
        <v>123</v>
      </c>
      <c r="D858" t="s">
        <v>124</v>
      </c>
      <c r="E858" t="s">
        <v>48</v>
      </c>
      <c r="F858" s="5">
        <v>43511</v>
      </c>
      <c r="G858" s="5">
        <v>43546</v>
      </c>
      <c r="H858" s="6">
        <v>0.55902777777777779</v>
      </c>
      <c r="I858">
        <v>321</v>
      </c>
      <c r="J858" t="s">
        <v>1571</v>
      </c>
      <c r="K858" t="s">
        <v>45</v>
      </c>
      <c r="M858" t="s">
        <v>138</v>
      </c>
    </row>
    <row r="859" spans="1:13" x14ac:dyDescent="0.25">
      <c r="A859" t="s">
        <v>1436</v>
      </c>
      <c r="B859" t="s">
        <v>0</v>
      </c>
      <c r="C859" t="s">
        <v>123</v>
      </c>
      <c r="D859" t="s">
        <v>124</v>
      </c>
      <c r="E859" t="s">
        <v>20</v>
      </c>
      <c r="F859" s="5">
        <v>43509</v>
      </c>
      <c r="G859" s="5">
        <v>43544</v>
      </c>
      <c r="H859" s="6">
        <v>0.62847222222222221</v>
      </c>
      <c r="I859">
        <v>320</v>
      </c>
      <c r="J859" t="s">
        <v>553</v>
      </c>
      <c r="K859" t="s">
        <v>45</v>
      </c>
      <c r="M859" t="s">
        <v>138</v>
      </c>
    </row>
    <row r="860" spans="1:13" x14ac:dyDescent="0.25">
      <c r="A860" t="s">
        <v>1436</v>
      </c>
      <c r="B860" t="s">
        <v>0</v>
      </c>
      <c r="C860" t="s">
        <v>123</v>
      </c>
      <c r="D860" t="s">
        <v>124</v>
      </c>
      <c r="E860" t="s">
        <v>20</v>
      </c>
      <c r="F860" s="5">
        <v>43509</v>
      </c>
      <c r="G860" s="5">
        <v>43530</v>
      </c>
      <c r="H860" s="6">
        <v>0.65972222222222221</v>
      </c>
      <c r="I860" t="s">
        <v>106</v>
      </c>
      <c r="J860" t="s">
        <v>1930</v>
      </c>
      <c r="K860" t="s">
        <v>45</v>
      </c>
      <c r="L860" t="s">
        <v>17</v>
      </c>
      <c r="M860" t="s">
        <v>138</v>
      </c>
    </row>
    <row r="861" spans="1:13" x14ac:dyDescent="0.25">
      <c r="A861" t="s">
        <v>1436</v>
      </c>
      <c r="B861" t="s">
        <v>0</v>
      </c>
      <c r="C861" t="s">
        <v>123</v>
      </c>
      <c r="D861" t="s">
        <v>124</v>
      </c>
      <c r="E861" t="s">
        <v>22</v>
      </c>
      <c r="F861" s="5">
        <v>43456</v>
      </c>
      <c r="G861" s="5">
        <v>43554</v>
      </c>
      <c r="H861" s="6">
        <v>0.69444444444444453</v>
      </c>
      <c r="I861" t="s">
        <v>106</v>
      </c>
      <c r="J861" t="s">
        <v>554</v>
      </c>
      <c r="K861" t="s">
        <v>45</v>
      </c>
      <c r="M861" t="s">
        <v>138</v>
      </c>
    </row>
    <row r="862" spans="1:13" x14ac:dyDescent="0.25">
      <c r="A862" t="s">
        <v>1436</v>
      </c>
      <c r="B862" t="s">
        <v>0</v>
      </c>
      <c r="C862" t="s">
        <v>123</v>
      </c>
      <c r="D862" t="s">
        <v>124</v>
      </c>
      <c r="E862" t="s">
        <v>48</v>
      </c>
      <c r="F862" s="5">
        <v>43511</v>
      </c>
      <c r="G862" s="5">
        <v>43553</v>
      </c>
      <c r="H862" s="6">
        <v>0.69444444444444453</v>
      </c>
      <c r="I862" t="s">
        <v>39</v>
      </c>
      <c r="J862" t="s">
        <v>553</v>
      </c>
      <c r="K862" t="s">
        <v>45</v>
      </c>
      <c r="M862" t="s">
        <v>138</v>
      </c>
    </row>
    <row r="863" spans="1:13" x14ac:dyDescent="0.25">
      <c r="A863" t="s">
        <v>1436</v>
      </c>
      <c r="B863" t="s">
        <v>0</v>
      </c>
      <c r="C863" t="s">
        <v>123</v>
      </c>
      <c r="D863" t="s">
        <v>124</v>
      </c>
      <c r="E863" t="s">
        <v>18</v>
      </c>
      <c r="F863" s="5">
        <v>43478</v>
      </c>
      <c r="G863" s="5">
        <v>43548</v>
      </c>
      <c r="H863" s="6">
        <v>0.70138888888888884</v>
      </c>
      <c r="I863" t="s">
        <v>104</v>
      </c>
      <c r="J863" t="s">
        <v>553</v>
      </c>
      <c r="K863" t="s">
        <v>45</v>
      </c>
      <c r="M863" t="s">
        <v>138</v>
      </c>
    </row>
    <row r="864" spans="1:13" x14ac:dyDescent="0.25">
      <c r="A864" t="s">
        <v>1436</v>
      </c>
      <c r="B864" t="s">
        <v>0</v>
      </c>
      <c r="C864" t="s">
        <v>123</v>
      </c>
      <c r="D864" t="s">
        <v>124</v>
      </c>
      <c r="E864" t="s">
        <v>22</v>
      </c>
      <c r="F864" s="5">
        <v>43491</v>
      </c>
      <c r="G864" s="5">
        <v>43554</v>
      </c>
      <c r="H864" s="6">
        <v>0.70138888888888884</v>
      </c>
      <c r="I864" t="s">
        <v>104</v>
      </c>
      <c r="J864" t="s">
        <v>553</v>
      </c>
      <c r="K864" t="s">
        <v>45</v>
      </c>
      <c r="M864" t="s">
        <v>138</v>
      </c>
    </row>
    <row r="865" spans="1:13" x14ac:dyDescent="0.25">
      <c r="A865" t="s">
        <v>1436</v>
      </c>
      <c r="B865" t="s">
        <v>0</v>
      </c>
      <c r="C865" t="s">
        <v>123</v>
      </c>
      <c r="D865" t="s">
        <v>124</v>
      </c>
      <c r="E865" t="s">
        <v>48</v>
      </c>
      <c r="F865" s="5">
        <v>43413</v>
      </c>
      <c r="G865" s="5">
        <v>43539</v>
      </c>
      <c r="H865" s="6">
        <v>0.72222222222222221</v>
      </c>
      <c r="I865" t="s">
        <v>106</v>
      </c>
      <c r="J865" t="s">
        <v>554</v>
      </c>
      <c r="K865" t="s">
        <v>45</v>
      </c>
      <c r="M865" t="s">
        <v>138</v>
      </c>
    </row>
    <row r="866" spans="1:13" x14ac:dyDescent="0.25">
      <c r="A866" t="s">
        <v>1436</v>
      </c>
      <c r="B866" t="s">
        <v>0</v>
      </c>
      <c r="C866" t="s">
        <v>123</v>
      </c>
      <c r="D866" t="s">
        <v>124</v>
      </c>
      <c r="E866" t="s">
        <v>13</v>
      </c>
      <c r="F866" s="5">
        <v>43454</v>
      </c>
      <c r="G866" s="5">
        <v>43538</v>
      </c>
      <c r="H866" s="6">
        <v>0.72222222222222221</v>
      </c>
      <c r="I866" t="s">
        <v>106</v>
      </c>
      <c r="J866" t="s">
        <v>554</v>
      </c>
      <c r="K866" t="s">
        <v>45</v>
      </c>
      <c r="M866" t="s">
        <v>138</v>
      </c>
    </row>
    <row r="867" spans="1:13" x14ac:dyDescent="0.25">
      <c r="A867" t="s">
        <v>1436</v>
      </c>
      <c r="B867" t="s">
        <v>0</v>
      </c>
      <c r="C867" t="s">
        <v>123</v>
      </c>
      <c r="D867" t="s">
        <v>124</v>
      </c>
      <c r="E867" t="s">
        <v>59</v>
      </c>
      <c r="F867" s="5">
        <v>43472</v>
      </c>
      <c r="G867" s="5">
        <v>43535</v>
      </c>
      <c r="H867" s="6">
        <v>0.72222222222222221</v>
      </c>
      <c r="I867" t="s">
        <v>106</v>
      </c>
      <c r="J867" t="s">
        <v>554</v>
      </c>
      <c r="K867" t="s">
        <v>45</v>
      </c>
      <c r="M867" t="s">
        <v>138</v>
      </c>
    </row>
    <row r="868" spans="1:13" x14ac:dyDescent="0.25">
      <c r="A868" t="s">
        <v>1436</v>
      </c>
      <c r="B868" t="s">
        <v>0</v>
      </c>
      <c r="C868" t="s">
        <v>365</v>
      </c>
      <c r="D868" t="s">
        <v>366</v>
      </c>
      <c r="E868" t="s">
        <v>20</v>
      </c>
      <c r="F868" s="5">
        <v>43411</v>
      </c>
      <c r="G868" s="5">
        <v>43551</v>
      </c>
      <c r="H868" s="6">
        <v>0.63888888888888895</v>
      </c>
      <c r="I868">
        <v>319</v>
      </c>
      <c r="J868" t="s">
        <v>555</v>
      </c>
      <c r="K868" t="s">
        <v>45</v>
      </c>
      <c r="M868" t="s">
        <v>138</v>
      </c>
    </row>
    <row r="869" spans="1:13" x14ac:dyDescent="0.25">
      <c r="A869" t="s">
        <v>1436</v>
      </c>
      <c r="B869" t="s">
        <v>0</v>
      </c>
      <c r="C869" t="s">
        <v>365</v>
      </c>
      <c r="D869" t="s">
        <v>366</v>
      </c>
      <c r="E869" t="s">
        <v>18</v>
      </c>
      <c r="F869" s="5">
        <v>43478</v>
      </c>
      <c r="G869" s="5">
        <v>43513</v>
      </c>
      <c r="H869" s="6">
        <v>0.67708333333333337</v>
      </c>
      <c r="I869">
        <v>319</v>
      </c>
      <c r="J869" t="s">
        <v>555</v>
      </c>
      <c r="K869" t="s">
        <v>45</v>
      </c>
      <c r="M869" t="s">
        <v>138</v>
      </c>
    </row>
    <row r="870" spans="1:13" x14ac:dyDescent="0.25">
      <c r="A870" t="s">
        <v>1436</v>
      </c>
      <c r="B870" t="s">
        <v>0</v>
      </c>
      <c r="C870" t="s">
        <v>556</v>
      </c>
      <c r="D870" t="s">
        <v>80</v>
      </c>
      <c r="E870" t="s">
        <v>52</v>
      </c>
      <c r="F870" s="5">
        <v>43401</v>
      </c>
      <c r="G870" s="5">
        <v>43554</v>
      </c>
      <c r="H870" s="6">
        <v>0.28819444444444448</v>
      </c>
      <c r="I870" t="s">
        <v>139</v>
      </c>
      <c r="J870" t="s">
        <v>557</v>
      </c>
      <c r="K870" t="s">
        <v>1533</v>
      </c>
      <c r="M870" t="s">
        <v>138</v>
      </c>
    </row>
    <row r="871" spans="1:13" x14ac:dyDescent="0.25">
      <c r="A871" t="s">
        <v>1436</v>
      </c>
      <c r="B871" t="s">
        <v>0</v>
      </c>
      <c r="C871" t="s">
        <v>556</v>
      </c>
      <c r="D871" t="s">
        <v>80</v>
      </c>
      <c r="E871" t="s">
        <v>1847</v>
      </c>
      <c r="F871" s="5">
        <v>43473</v>
      </c>
      <c r="G871" s="5">
        <v>43552</v>
      </c>
      <c r="H871" s="6">
        <v>0.28819444444444448</v>
      </c>
      <c r="I871" t="s">
        <v>139</v>
      </c>
      <c r="J871" t="s">
        <v>557</v>
      </c>
      <c r="K871" t="s">
        <v>1533</v>
      </c>
      <c r="M871" t="s">
        <v>138</v>
      </c>
    </row>
    <row r="872" spans="1:13" x14ac:dyDescent="0.25">
      <c r="A872" t="s">
        <v>1436</v>
      </c>
      <c r="B872" t="s">
        <v>0</v>
      </c>
      <c r="C872" t="s">
        <v>556</v>
      </c>
      <c r="D872" t="s">
        <v>80</v>
      </c>
      <c r="E872" t="s">
        <v>144</v>
      </c>
      <c r="F872" s="5">
        <v>43473</v>
      </c>
      <c r="G872" s="5">
        <v>43554</v>
      </c>
      <c r="H872" s="6">
        <v>0.28819444444444448</v>
      </c>
      <c r="I872" t="s">
        <v>139</v>
      </c>
      <c r="J872" t="s">
        <v>561</v>
      </c>
      <c r="K872" t="s">
        <v>1533</v>
      </c>
      <c r="M872" t="s">
        <v>138</v>
      </c>
    </row>
    <row r="873" spans="1:13" x14ac:dyDescent="0.25">
      <c r="A873" t="s">
        <v>1436</v>
      </c>
      <c r="B873" t="s">
        <v>0</v>
      </c>
      <c r="C873" t="s">
        <v>556</v>
      </c>
      <c r="D873" t="s">
        <v>80</v>
      </c>
      <c r="E873" t="s">
        <v>132</v>
      </c>
      <c r="F873" s="5">
        <v>43488</v>
      </c>
      <c r="G873" s="5">
        <v>43553</v>
      </c>
      <c r="H873" s="6">
        <v>0.28819444444444448</v>
      </c>
      <c r="I873" t="s">
        <v>139</v>
      </c>
      <c r="J873" t="s">
        <v>557</v>
      </c>
      <c r="K873" t="s">
        <v>1533</v>
      </c>
      <c r="M873" t="s">
        <v>138</v>
      </c>
    </row>
    <row r="874" spans="1:13" x14ac:dyDescent="0.25">
      <c r="A874" t="s">
        <v>1436</v>
      </c>
      <c r="B874" t="s">
        <v>0</v>
      </c>
      <c r="C874" t="s">
        <v>556</v>
      </c>
      <c r="D874" t="s">
        <v>80</v>
      </c>
      <c r="E874" t="s">
        <v>30</v>
      </c>
      <c r="F874" s="5">
        <v>43402</v>
      </c>
      <c r="G874" s="5">
        <v>43554</v>
      </c>
      <c r="H874" s="6">
        <v>0.29166666666666669</v>
      </c>
      <c r="I874" t="s">
        <v>139</v>
      </c>
      <c r="J874" t="s">
        <v>559</v>
      </c>
      <c r="K874" t="s">
        <v>1533</v>
      </c>
      <c r="M874" t="s">
        <v>138</v>
      </c>
    </row>
    <row r="875" spans="1:13" x14ac:dyDescent="0.25">
      <c r="A875" t="s">
        <v>1436</v>
      </c>
      <c r="B875" t="s">
        <v>0</v>
      </c>
      <c r="C875" t="s">
        <v>556</v>
      </c>
      <c r="D875" t="s">
        <v>80</v>
      </c>
      <c r="E875" t="s">
        <v>18</v>
      </c>
      <c r="F875" s="5">
        <v>43478</v>
      </c>
      <c r="G875" s="5">
        <v>43548</v>
      </c>
      <c r="H875" s="6">
        <v>0.29166666666666669</v>
      </c>
      <c r="I875" t="s">
        <v>139</v>
      </c>
      <c r="J875" t="s">
        <v>559</v>
      </c>
      <c r="K875" t="s">
        <v>1533</v>
      </c>
      <c r="M875" t="s">
        <v>138</v>
      </c>
    </row>
    <row r="876" spans="1:13" x14ac:dyDescent="0.25">
      <c r="A876" t="s">
        <v>1436</v>
      </c>
      <c r="B876" t="s">
        <v>0</v>
      </c>
      <c r="C876" t="s">
        <v>556</v>
      </c>
      <c r="D876" t="s">
        <v>80</v>
      </c>
      <c r="E876" t="s">
        <v>20</v>
      </c>
      <c r="F876" s="5">
        <v>43404</v>
      </c>
      <c r="G876" s="5">
        <v>43551</v>
      </c>
      <c r="H876" s="6">
        <v>0.34375</v>
      </c>
      <c r="I876" t="s">
        <v>139</v>
      </c>
      <c r="J876" t="s">
        <v>562</v>
      </c>
      <c r="K876" t="s">
        <v>1533</v>
      </c>
      <c r="M876" t="s">
        <v>138</v>
      </c>
    </row>
    <row r="877" spans="1:13" x14ac:dyDescent="0.25">
      <c r="A877" t="s">
        <v>1436</v>
      </c>
      <c r="B877" t="s">
        <v>0</v>
      </c>
      <c r="C877" t="s">
        <v>556</v>
      </c>
      <c r="D877" t="s">
        <v>80</v>
      </c>
      <c r="E877" t="s">
        <v>755</v>
      </c>
      <c r="F877" s="5">
        <v>43473</v>
      </c>
      <c r="G877" s="5">
        <v>43522</v>
      </c>
      <c r="H877" s="6">
        <v>0.34375</v>
      </c>
      <c r="I877" t="s">
        <v>139</v>
      </c>
      <c r="J877" t="s">
        <v>562</v>
      </c>
      <c r="K877" t="s">
        <v>1533</v>
      </c>
      <c r="M877" t="s">
        <v>138</v>
      </c>
    </row>
    <row r="878" spans="1:13" x14ac:dyDescent="0.25">
      <c r="A878" t="s">
        <v>1436</v>
      </c>
      <c r="B878" t="s">
        <v>0</v>
      </c>
      <c r="C878" t="s">
        <v>556</v>
      </c>
      <c r="D878" t="s">
        <v>80</v>
      </c>
      <c r="E878" t="s">
        <v>673</v>
      </c>
      <c r="F878" s="5">
        <v>43475</v>
      </c>
      <c r="G878" s="5">
        <v>43553</v>
      </c>
      <c r="H878" s="6">
        <v>0.34375</v>
      </c>
      <c r="I878" t="s">
        <v>139</v>
      </c>
      <c r="J878" t="s">
        <v>562</v>
      </c>
      <c r="K878" t="s">
        <v>1533</v>
      </c>
      <c r="M878" t="s">
        <v>138</v>
      </c>
    </row>
    <row r="879" spans="1:13" x14ac:dyDescent="0.25">
      <c r="A879" t="s">
        <v>1436</v>
      </c>
      <c r="B879" t="s">
        <v>0</v>
      </c>
      <c r="C879" t="s">
        <v>556</v>
      </c>
      <c r="D879" t="s">
        <v>80</v>
      </c>
      <c r="E879" t="s">
        <v>13</v>
      </c>
      <c r="F879" s="5">
        <v>43405</v>
      </c>
      <c r="G879" s="5">
        <v>43552</v>
      </c>
      <c r="H879" s="6">
        <v>0.38541666666666669</v>
      </c>
      <c r="I879" t="s">
        <v>139</v>
      </c>
      <c r="J879" t="s">
        <v>563</v>
      </c>
      <c r="K879" t="s">
        <v>1533</v>
      </c>
      <c r="M879" t="s">
        <v>138</v>
      </c>
    </row>
    <row r="880" spans="1:13" x14ac:dyDescent="0.25">
      <c r="A880" t="s">
        <v>1436</v>
      </c>
      <c r="B880" t="s">
        <v>0</v>
      </c>
      <c r="C880" t="s">
        <v>556</v>
      </c>
      <c r="D880" t="s">
        <v>80</v>
      </c>
      <c r="E880" t="s">
        <v>190</v>
      </c>
      <c r="F880" s="5">
        <v>43448</v>
      </c>
      <c r="G880" s="5">
        <v>43554</v>
      </c>
      <c r="H880" s="6">
        <v>0.38541666666666669</v>
      </c>
      <c r="I880" t="s">
        <v>139</v>
      </c>
      <c r="J880" t="s">
        <v>563</v>
      </c>
      <c r="K880" t="s">
        <v>1533</v>
      </c>
      <c r="M880" t="s">
        <v>138</v>
      </c>
    </row>
    <row r="881" spans="1:13" x14ac:dyDescent="0.25">
      <c r="A881" t="s">
        <v>1436</v>
      </c>
      <c r="B881" t="s">
        <v>0</v>
      </c>
      <c r="C881" t="s">
        <v>556</v>
      </c>
      <c r="D881" t="s">
        <v>80</v>
      </c>
      <c r="E881" t="s">
        <v>19</v>
      </c>
      <c r="F881" s="5">
        <v>43466</v>
      </c>
      <c r="G881" s="5">
        <v>43550</v>
      </c>
      <c r="H881" s="6">
        <v>0.38541666666666669</v>
      </c>
      <c r="I881" t="s">
        <v>139</v>
      </c>
      <c r="J881" t="s">
        <v>563</v>
      </c>
      <c r="K881" t="s">
        <v>1533</v>
      </c>
      <c r="M881" t="s">
        <v>138</v>
      </c>
    </row>
    <row r="882" spans="1:13" x14ac:dyDescent="0.25">
      <c r="A882" t="s">
        <v>1436</v>
      </c>
      <c r="B882" t="s">
        <v>0</v>
      </c>
      <c r="C882" t="s">
        <v>556</v>
      </c>
      <c r="D882" t="s">
        <v>80</v>
      </c>
      <c r="E882" t="s">
        <v>20</v>
      </c>
      <c r="F882" s="5">
        <v>43474</v>
      </c>
      <c r="G882" s="5">
        <v>43551</v>
      </c>
      <c r="H882" s="6">
        <v>0.38541666666666669</v>
      </c>
      <c r="I882" t="s">
        <v>139</v>
      </c>
      <c r="J882" t="s">
        <v>563</v>
      </c>
      <c r="K882" t="s">
        <v>1533</v>
      </c>
      <c r="M882" t="s">
        <v>138</v>
      </c>
    </row>
    <row r="883" spans="1:13" x14ac:dyDescent="0.25">
      <c r="A883" t="s">
        <v>1436</v>
      </c>
      <c r="B883" t="s">
        <v>0</v>
      </c>
      <c r="C883" t="s">
        <v>556</v>
      </c>
      <c r="D883" t="s">
        <v>80</v>
      </c>
      <c r="E883" t="s">
        <v>59</v>
      </c>
      <c r="F883" s="5">
        <v>43500</v>
      </c>
      <c r="G883" s="5">
        <v>43549</v>
      </c>
      <c r="H883" s="6">
        <v>0.3888888888888889</v>
      </c>
      <c r="I883" t="s">
        <v>141</v>
      </c>
      <c r="J883" t="s">
        <v>563</v>
      </c>
      <c r="K883" t="s">
        <v>1533</v>
      </c>
      <c r="M883" t="s">
        <v>138</v>
      </c>
    </row>
    <row r="884" spans="1:13" x14ac:dyDescent="0.25">
      <c r="A884" t="s">
        <v>1436</v>
      </c>
      <c r="B884" t="s">
        <v>0</v>
      </c>
      <c r="C884" t="s">
        <v>556</v>
      </c>
      <c r="D884" t="s">
        <v>80</v>
      </c>
      <c r="E884" t="s">
        <v>18</v>
      </c>
      <c r="F884" s="5">
        <v>43499</v>
      </c>
      <c r="G884" s="5">
        <v>43548</v>
      </c>
      <c r="H884" s="6">
        <v>0.41319444444444442</v>
      </c>
      <c r="I884" t="s">
        <v>139</v>
      </c>
      <c r="J884" t="s">
        <v>564</v>
      </c>
      <c r="K884" t="s">
        <v>1533</v>
      </c>
      <c r="M884" t="s">
        <v>138</v>
      </c>
    </row>
    <row r="885" spans="1:13" x14ac:dyDescent="0.25">
      <c r="A885" t="s">
        <v>1436</v>
      </c>
      <c r="B885" t="s">
        <v>0</v>
      </c>
      <c r="C885" t="s">
        <v>556</v>
      </c>
      <c r="D885" t="s">
        <v>80</v>
      </c>
      <c r="E885" t="s">
        <v>132</v>
      </c>
      <c r="F885" s="5">
        <v>43404</v>
      </c>
      <c r="G885" s="5">
        <v>43553</v>
      </c>
      <c r="H885" s="6">
        <v>0.41666666666666669</v>
      </c>
      <c r="I885" t="s">
        <v>139</v>
      </c>
      <c r="J885" t="s">
        <v>564</v>
      </c>
      <c r="K885" t="s">
        <v>1533</v>
      </c>
      <c r="M885" t="s">
        <v>138</v>
      </c>
    </row>
    <row r="886" spans="1:13" x14ac:dyDescent="0.25">
      <c r="A886" t="s">
        <v>1436</v>
      </c>
      <c r="B886" t="s">
        <v>0</v>
      </c>
      <c r="C886" t="s">
        <v>556</v>
      </c>
      <c r="D886" t="s">
        <v>80</v>
      </c>
      <c r="E886" t="s">
        <v>19</v>
      </c>
      <c r="F886" s="5">
        <v>43473</v>
      </c>
      <c r="G886" s="5">
        <v>43522</v>
      </c>
      <c r="H886" s="6">
        <v>0.41666666666666669</v>
      </c>
      <c r="I886" t="s">
        <v>139</v>
      </c>
      <c r="J886" t="s">
        <v>564</v>
      </c>
      <c r="K886" t="s">
        <v>1533</v>
      </c>
      <c r="M886" t="s">
        <v>138</v>
      </c>
    </row>
    <row r="887" spans="1:13" x14ac:dyDescent="0.25">
      <c r="A887" t="s">
        <v>1436</v>
      </c>
      <c r="B887" t="s">
        <v>0</v>
      </c>
      <c r="C887" t="s">
        <v>556</v>
      </c>
      <c r="D887" t="s">
        <v>80</v>
      </c>
      <c r="E887" t="s">
        <v>22</v>
      </c>
      <c r="F887" s="5">
        <v>43491</v>
      </c>
      <c r="G887" s="5">
        <v>43554</v>
      </c>
      <c r="H887" s="6">
        <v>0.41666666666666669</v>
      </c>
      <c r="I887" t="s">
        <v>139</v>
      </c>
      <c r="J887" t="s">
        <v>564</v>
      </c>
      <c r="K887" t="s">
        <v>1533</v>
      </c>
      <c r="M887" t="s">
        <v>138</v>
      </c>
    </row>
    <row r="888" spans="1:13" x14ac:dyDescent="0.25">
      <c r="A888" t="s">
        <v>1436</v>
      </c>
      <c r="B888" t="s">
        <v>0</v>
      </c>
      <c r="C888" t="s">
        <v>556</v>
      </c>
      <c r="D888" t="s">
        <v>80</v>
      </c>
      <c r="E888" t="s">
        <v>59</v>
      </c>
      <c r="F888" s="5">
        <v>43500</v>
      </c>
      <c r="G888" s="5">
        <v>43549</v>
      </c>
      <c r="H888" s="6">
        <v>0.41666666666666669</v>
      </c>
      <c r="I888" t="s">
        <v>139</v>
      </c>
      <c r="J888" t="s">
        <v>564</v>
      </c>
      <c r="K888" t="s">
        <v>1533</v>
      </c>
      <c r="M888" t="s">
        <v>138</v>
      </c>
    </row>
    <row r="889" spans="1:13" x14ac:dyDescent="0.25">
      <c r="A889" t="s">
        <v>1436</v>
      </c>
      <c r="B889" t="s">
        <v>0</v>
      </c>
      <c r="C889" t="s">
        <v>556</v>
      </c>
      <c r="D889" t="s">
        <v>80</v>
      </c>
      <c r="E889" t="s">
        <v>814</v>
      </c>
      <c r="F889" s="5">
        <v>43402</v>
      </c>
      <c r="G889" s="5">
        <v>43554</v>
      </c>
      <c r="H889" s="6">
        <v>0.43402777777777773</v>
      </c>
      <c r="I889" t="s">
        <v>139</v>
      </c>
      <c r="J889" t="s">
        <v>565</v>
      </c>
      <c r="K889" t="s">
        <v>1533</v>
      </c>
      <c r="M889" t="s">
        <v>138</v>
      </c>
    </row>
    <row r="890" spans="1:13" x14ac:dyDescent="0.25">
      <c r="A890" t="s">
        <v>1436</v>
      </c>
      <c r="B890" t="s">
        <v>0</v>
      </c>
      <c r="C890" t="s">
        <v>556</v>
      </c>
      <c r="D890" t="s">
        <v>80</v>
      </c>
      <c r="E890" t="s">
        <v>190</v>
      </c>
      <c r="F890" s="5">
        <v>43406</v>
      </c>
      <c r="G890" s="5">
        <v>43554</v>
      </c>
      <c r="H890" s="6">
        <v>0.47916666666666669</v>
      </c>
      <c r="I890" t="s">
        <v>139</v>
      </c>
      <c r="J890" t="s">
        <v>566</v>
      </c>
      <c r="K890" t="s">
        <v>1533</v>
      </c>
      <c r="M890" t="s">
        <v>138</v>
      </c>
    </row>
    <row r="891" spans="1:13" x14ac:dyDescent="0.25">
      <c r="A891" t="s">
        <v>1436</v>
      </c>
      <c r="B891" t="s">
        <v>0</v>
      </c>
      <c r="C891" t="s">
        <v>556</v>
      </c>
      <c r="D891" t="s">
        <v>80</v>
      </c>
      <c r="E891" t="s">
        <v>19</v>
      </c>
      <c r="F891" s="5">
        <v>43466</v>
      </c>
      <c r="G891" s="5">
        <v>43522</v>
      </c>
      <c r="H891" s="6">
        <v>0.47916666666666669</v>
      </c>
      <c r="I891" t="s">
        <v>139</v>
      </c>
      <c r="J891" t="s">
        <v>566</v>
      </c>
      <c r="K891" t="s">
        <v>1533</v>
      </c>
      <c r="M891" t="s">
        <v>138</v>
      </c>
    </row>
    <row r="892" spans="1:13" x14ac:dyDescent="0.25">
      <c r="A892" t="s">
        <v>1436</v>
      </c>
      <c r="B892" t="s">
        <v>0</v>
      </c>
      <c r="C892" t="s">
        <v>556</v>
      </c>
      <c r="D892" t="s">
        <v>80</v>
      </c>
      <c r="E892" t="s">
        <v>228</v>
      </c>
      <c r="F892" s="5">
        <v>43467</v>
      </c>
      <c r="G892" s="5">
        <v>43552</v>
      </c>
      <c r="H892" s="6">
        <v>0.47916666666666669</v>
      </c>
      <c r="I892" t="s">
        <v>139</v>
      </c>
      <c r="J892" t="s">
        <v>566</v>
      </c>
      <c r="K892" t="s">
        <v>1533</v>
      </c>
      <c r="M892" t="s">
        <v>138</v>
      </c>
    </row>
    <row r="893" spans="1:13" x14ac:dyDescent="0.25">
      <c r="A893" t="s">
        <v>1436</v>
      </c>
      <c r="B893" t="s">
        <v>0</v>
      </c>
      <c r="C893" t="s">
        <v>556</v>
      </c>
      <c r="D893" t="s">
        <v>80</v>
      </c>
      <c r="E893" t="s">
        <v>379</v>
      </c>
      <c r="F893" s="5">
        <v>43402</v>
      </c>
      <c r="G893" s="5">
        <v>43553</v>
      </c>
      <c r="H893" s="6">
        <v>0.49305555555555558</v>
      </c>
      <c r="I893" t="s">
        <v>139</v>
      </c>
      <c r="J893" t="s">
        <v>567</v>
      </c>
      <c r="K893" t="s">
        <v>1533</v>
      </c>
      <c r="M893" t="s">
        <v>138</v>
      </c>
    </row>
    <row r="894" spans="1:13" x14ac:dyDescent="0.25">
      <c r="A894" t="s">
        <v>1436</v>
      </c>
      <c r="B894" t="s">
        <v>0</v>
      </c>
      <c r="C894" t="s">
        <v>556</v>
      </c>
      <c r="D894" t="s">
        <v>80</v>
      </c>
      <c r="E894" t="s">
        <v>18</v>
      </c>
      <c r="F894" s="5">
        <v>43478</v>
      </c>
      <c r="G894" s="5">
        <v>43548</v>
      </c>
      <c r="H894" s="6">
        <v>0.51041666666666663</v>
      </c>
      <c r="I894" t="s">
        <v>139</v>
      </c>
      <c r="J894" t="s">
        <v>568</v>
      </c>
      <c r="K894" t="s">
        <v>1533</v>
      </c>
      <c r="M894" t="s">
        <v>138</v>
      </c>
    </row>
    <row r="895" spans="1:13" x14ac:dyDescent="0.25">
      <c r="A895" t="s">
        <v>1436</v>
      </c>
      <c r="B895" t="s">
        <v>0</v>
      </c>
      <c r="C895" t="s">
        <v>556</v>
      </c>
      <c r="D895" t="s">
        <v>80</v>
      </c>
      <c r="E895" t="s">
        <v>48</v>
      </c>
      <c r="F895" s="5">
        <v>43476</v>
      </c>
      <c r="G895" s="5">
        <v>43518</v>
      </c>
      <c r="H895" s="6">
        <v>0.51388888888888895</v>
      </c>
      <c r="I895" t="s">
        <v>139</v>
      </c>
      <c r="J895" t="s">
        <v>569</v>
      </c>
      <c r="K895" t="s">
        <v>1533</v>
      </c>
      <c r="M895" t="s">
        <v>138</v>
      </c>
    </row>
    <row r="896" spans="1:13" x14ac:dyDescent="0.25">
      <c r="A896" t="s">
        <v>1436</v>
      </c>
      <c r="B896" t="s">
        <v>0</v>
      </c>
      <c r="C896" t="s">
        <v>556</v>
      </c>
      <c r="D896" t="s">
        <v>80</v>
      </c>
      <c r="E896" t="s">
        <v>13</v>
      </c>
      <c r="F896" s="5">
        <v>43475</v>
      </c>
      <c r="G896" s="5">
        <v>43552</v>
      </c>
      <c r="H896" s="6">
        <v>0.54166666666666663</v>
      </c>
      <c r="I896" t="s">
        <v>139</v>
      </c>
      <c r="J896" t="s">
        <v>568</v>
      </c>
      <c r="K896" t="s">
        <v>1533</v>
      </c>
      <c r="M896" t="s">
        <v>138</v>
      </c>
    </row>
    <row r="897" spans="1:13" x14ac:dyDescent="0.25">
      <c r="A897" t="s">
        <v>1436</v>
      </c>
      <c r="B897" t="s">
        <v>0</v>
      </c>
      <c r="C897" t="s">
        <v>556</v>
      </c>
      <c r="D897" t="s">
        <v>80</v>
      </c>
      <c r="E897" t="s">
        <v>22</v>
      </c>
      <c r="F897" s="5">
        <v>43498</v>
      </c>
      <c r="G897" s="5">
        <v>43519</v>
      </c>
      <c r="H897" s="6">
        <v>0.55902777777777779</v>
      </c>
      <c r="I897" t="s">
        <v>139</v>
      </c>
      <c r="J897" t="s">
        <v>568</v>
      </c>
      <c r="K897" t="s">
        <v>1533</v>
      </c>
      <c r="M897" t="s">
        <v>138</v>
      </c>
    </row>
    <row r="898" spans="1:13" x14ac:dyDescent="0.25">
      <c r="A898" t="s">
        <v>1436</v>
      </c>
      <c r="B898" t="s">
        <v>0</v>
      </c>
      <c r="C898" t="s">
        <v>556</v>
      </c>
      <c r="D898" t="s">
        <v>80</v>
      </c>
      <c r="E898" t="s">
        <v>54</v>
      </c>
      <c r="F898" s="5">
        <v>43403</v>
      </c>
      <c r="G898" s="5">
        <v>43551</v>
      </c>
      <c r="H898" s="6">
        <v>0.58333333333333337</v>
      </c>
      <c r="I898" t="s">
        <v>139</v>
      </c>
      <c r="J898" t="s">
        <v>570</v>
      </c>
      <c r="K898" t="s">
        <v>1533</v>
      </c>
      <c r="M898" t="s">
        <v>138</v>
      </c>
    </row>
    <row r="899" spans="1:13" x14ac:dyDescent="0.25">
      <c r="A899" t="s">
        <v>1436</v>
      </c>
      <c r="B899" t="s">
        <v>0</v>
      </c>
      <c r="C899" t="s">
        <v>556</v>
      </c>
      <c r="D899" t="s">
        <v>80</v>
      </c>
      <c r="E899" t="s">
        <v>13</v>
      </c>
      <c r="F899" s="5">
        <v>43447</v>
      </c>
      <c r="G899" s="5">
        <v>43552</v>
      </c>
      <c r="H899" s="6">
        <v>0.58333333333333337</v>
      </c>
      <c r="I899" t="s">
        <v>139</v>
      </c>
      <c r="J899" t="s">
        <v>570</v>
      </c>
      <c r="K899" t="s">
        <v>1533</v>
      </c>
      <c r="M899" t="s">
        <v>138</v>
      </c>
    </row>
    <row r="900" spans="1:13" x14ac:dyDescent="0.25">
      <c r="A900" t="s">
        <v>1436</v>
      </c>
      <c r="B900" t="s">
        <v>0</v>
      </c>
      <c r="C900" t="s">
        <v>556</v>
      </c>
      <c r="D900" t="s">
        <v>80</v>
      </c>
      <c r="E900" t="s">
        <v>59</v>
      </c>
      <c r="F900" s="5">
        <v>43472</v>
      </c>
      <c r="G900" s="5">
        <v>43549</v>
      </c>
      <c r="H900" s="6">
        <v>0.58333333333333337</v>
      </c>
      <c r="I900" t="s">
        <v>139</v>
      </c>
      <c r="J900" t="s">
        <v>570</v>
      </c>
      <c r="K900" t="s">
        <v>1533</v>
      </c>
      <c r="M900" t="s">
        <v>138</v>
      </c>
    </row>
    <row r="901" spans="1:13" x14ac:dyDescent="0.25">
      <c r="A901" t="s">
        <v>1436</v>
      </c>
      <c r="B901" t="s">
        <v>0</v>
      </c>
      <c r="C901" t="s">
        <v>556</v>
      </c>
      <c r="D901" t="s">
        <v>80</v>
      </c>
      <c r="E901" t="s">
        <v>48</v>
      </c>
      <c r="F901" s="5">
        <v>43476</v>
      </c>
      <c r="G901" s="5">
        <v>43518</v>
      </c>
      <c r="H901" s="6">
        <v>0.59027777777777779</v>
      </c>
      <c r="I901" t="s">
        <v>139</v>
      </c>
      <c r="J901" t="s">
        <v>570</v>
      </c>
      <c r="K901" t="s">
        <v>1533</v>
      </c>
      <c r="M901" t="s">
        <v>138</v>
      </c>
    </row>
    <row r="902" spans="1:13" x14ac:dyDescent="0.25">
      <c r="A902" t="s">
        <v>1436</v>
      </c>
      <c r="B902" t="s">
        <v>0</v>
      </c>
      <c r="C902" t="s">
        <v>556</v>
      </c>
      <c r="D902" t="s">
        <v>80</v>
      </c>
      <c r="E902" t="s">
        <v>18</v>
      </c>
      <c r="F902" s="5">
        <v>43478</v>
      </c>
      <c r="G902" s="5">
        <v>43520</v>
      </c>
      <c r="H902" s="6">
        <v>0.59027777777777779</v>
      </c>
      <c r="I902" t="s">
        <v>139</v>
      </c>
      <c r="J902" t="s">
        <v>569</v>
      </c>
      <c r="K902" t="s">
        <v>1533</v>
      </c>
      <c r="M902" t="s">
        <v>138</v>
      </c>
    </row>
    <row r="903" spans="1:13" x14ac:dyDescent="0.25">
      <c r="A903" t="s">
        <v>1436</v>
      </c>
      <c r="B903" t="s">
        <v>0</v>
      </c>
      <c r="C903" t="s">
        <v>556</v>
      </c>
      <c r="D903" t="s">
        <v>80</v>
      </c>
      <c r="E903" t="s">
        <v>48</v>
      </c>
      <c r="F903" s="5">
        <v>43448</v>
      </c>
      <c r="G903" s="5">
        <v>43553</v>
      </c>
      <c r="H903" s="6">
        <v>0.60763888888888895</v>
      </c>
      <c r="I903" t="s">
        <v>139</v>
      </c>
      <c r="J903" t="s">
        <v>571</v>
      </c>
      <c r="K903" t="s">
        <v>1533</v>
      </c>
      <c r="M903" t="s">
        <v>138</v>
      </c>
    </row>
    <row r="904" spans="1:13" x14ac:dyDescent="0.25">
      <c r="A904" t="s">
        <v>1436</v>
      </c>
      <c r="B904" t="s">
        <v>0</v>
      </c>
      <c r="C904" t="s">
        <v>556</v>
      </c>
      <c r="D904" t="s">
        <v>80</v>
      </c>
      <c r="E904" t="s">
        <v>13</v>
      </c>
      <c r="F904" s="5">
        <v>43405</v>
      </c>
      <c r="G904" s="5">
        <v>43552</v>
      </c>
      <c r="H904" s="6">
        <v>0.625</v>
      </c>
      <c r="I904" t="s">
        <v>139</v>
      </c>
      <c r="J904" t="s">
        <v>569</v>
      </c>
      <c r="K904" t="s">
        <v>1533</v>
      </c>
      <c r="M904" t="s">
        <v>138</v>
      </c>
    </row>
    <row r="905" spans="1:13" x14ac:dyDescent="0.25">
      <c r="A905" t="s">
        <v>1436</v>
      </c>
      <c r="B905" t="s">
        <v>0</v>
      </c>
      <c r="C905" t="s">
        <v>556</v>
      </c>
      <c r="D905" t="s">
        <v>80</v>
      </c>
      <c r="E905" t="s">
        <v>19</v>
      </c>
      <c r="F905" s="5">
        <v>43473</v>
      </c>
      <c r="G905" s="5">
        <v>43522</v>
      </c>
      <c r="H905" s="6">
        <v>0.625</v>
      </c>
      <c r="I905" t="s">
        <v>139</v>
      </c>
      <c r="J905" t="s">
        <v>569</v>
      </c>
      <c r="K905" t="s">
        <v>1533</v>
      </c>
      <c r="M905" t="s">
        <v>138</v>
      </c>
    </row>
    <row r="906" spans="1:13" x14ac:dyDescent="0.25">
      <c r="A906" t="s">
        <v>1436</v>
      </c>
      <c r="B906" t="s">
        <v>0</v>
      </c>
      <c r="C906" t="s">
        <v>556</v>
      </c>
      <c r="D906" t="s">
        <v>80</v>
      </c>
      <c r="E906" t="s">
        <v>20</v>
      </c>
      <c r="F906" s="5">
        <v>43488</v>
      </c>
      <c r="G906" s="5">
        <v>43551</v>
      </c>
      <c r="H906" s="6">
        <v>0.625</v>
      </c>
      <c r="I906" t="s">
        <v>139</v>
      </c>
      <c r="J906" t="s">
        <v>569</v>
      </c>
      <c r="K906" t="s">
        <v>1533</v>
      </c>
      <c r="M906" t="s">
        <v>138</v>
      </c>
    </row>
    <row r="907" spans="1:13" x14ac:dyDescent="0.25">
      <c r="A907" t="s">
        <v>1436</v>
      </c>
      <c r="B907" t="s">
        <v>0</v>
      </c>
      <c r="C907" t="s">
        <v>556</v>
      </c>
      <c r="D907" t="s">
        <v>80</v>
      </c>
      <c r="E907" t="s">
        <v>59</v>
      </c>
      <c r="F907" s="5">
        <v>43500</v>
      </c>
      <c r="G907" s="5">
        <v>43521</v>
      </c>
      <c r="H907" s="6">
        <v>0.625</v>
      </c>
      <c r="I907" t="s">
        <v>139</v>
      </c>
      <c r="J907" t="s">
        <v>569</v>
      </c>
      <c r="K907" t="s">
        <v>1533</v>
      </c>
      <c r="M907" t="s">
        <v>138</v>
      </c>
    </row>
    <row r="908" spans="1:13" x14ac:dyDescent="0.25">
      <c r="A908" t="s">
        <v>1436</v>
      </c>
      <c r="B908" t="s">
        <v>0</v>
      </c>
      <c r="C908" t="s">
        <v>556</v>
      </c>
      <c r="D908" t="s">
        <v>80</v>
      </c>
      <c r="E908" t="s">
        <v>18</v>
      </c>
      <c r="F908" s="5">
        <v>43471</v>
      </c>
      <c r="G908" s="5">
        <v>43548</v>
      </c>
      <c r="H908" s="6">
        <v>0.64583333333333337</v>
      </c>
      <c r="I908" t="s">
        <v>139</v>
      </c>
      <c r="J908" t="s">
        <v>570</v>
      </c>
      <c r="K908" t="s">
        <v>1533</v>
      </c>
      <c r="M908" t="s">
        <v>138</v>
      </c>
    </row>
    <row r="909" spans="1:13" x14ac:dyDescent="0.25">
      <c r="A909" t="s">
        <v>1436</v>
      </c>
      <c r="B909" t="s">
        <v>0</v>
      </c>
      <c r="C909" t="s">
        <v>556</v>
      </c>
      <c r="D909" t="s">
        <v>80</v>
      </c>
      <c r="E909" t="s">
        <v>151</v>
      </c>
      <c r="F909" s="5">
        <v>43401</v>
      </c>
      <c r="G909" s="5">
        <v>43553</v>
      </c>
      <c r="H909" s="6">
        <v>0.67708333333333337</v>
      </c>
      <c r="I909" t="s">
        <v>139</v>
      </c>
      <c r="J909" t="s">
        <v>572</v>
      </c>
      <c r="K909" t="s">
        <v>1533</v>
      </c>
      <c r="M909" t="s">
        <v>138</v>
      </c>
    </row>
    <row r="910" spans="1:13" x14ac:dyDescent="0.25">
      <c r="A910" t="s">
        <v>1436</v>
      </c>
      <c r="B910" t="s">
        <v>0</v>
      </c>
      <c r="C910" t="s">
        <v>556</v>
      </c>
      <c r="D910" t="s">
        <v>80</v>
      </c>
      <c r="E910" t="s">
        <v>19</v>
      </c>
      <c r="F910" s="5">
        <v>43403</v>
      </c>
      <c r="G910" s="5">
        <v>43550</v>
      </c>
      <c r="H910" s="6">
        <v>0.68055555555555547</v>
      </c>
      <c r="I910" t="s">
        <v>139</v>
      </c>
      <c r="J910" t="s">
        <v>573</v>
      </c>
      <c r="K910" t="s">
        <v>1533</v>
      </c>
      <c r="M910" t="s">
        <v>138</v>
      </c>
    </row>
    <row r="911" spans="1:13" x14ac:dyDescent="0.25">
      <c r="A911" t="s">
        <v>1436</v>
      </c>
      <c r="B911" t="s">
        <v>0</v>
      </c>
      <c r="C911" t="s">
        <v>556</v>
      </c>
      <c r="D911" t="s">
        <v>80</v>
      </c>
      <c r="E911" t="s">
        <v>298</v>
      </c>
      <c r="F911" s="5">
        <v>43467</v>
      </c>
      <c r="G911" s="5">
        <v>43551</v>
      </c>
      <c r="H911" s="6">
        <v>0.68055555555555547</v>
      </c>
      <c r="I911" t="s">
        <v>139</v>
      </c>
      <c r="J911" t="s">
        <v>573</v>
      </c>
      <c r="K911" t="s">
        <v>1533</v>
      </c>
      <c r="M911" t="s">
        <v>138</v>
      </c>
    </row>
    <row r="912" spans="1:13" x14ac:dyDescent="0.25">
      <c r="A912" t="s">
        <v>1436</v>
      </c>
      <c r="B912" t="s">
        <v>0</v>
      </c>
      <c r="C912" t="s">
        <v>556</v>
      </c>
      <c r="D912" t="s">
        <v>80</v>
      </c>
      <c r="E912" t="s">
        <v>13</v>
      </c>
      <c r="F912" s="5">
        <v>43503</v>
      </c>
      <c r="G912" s="5">
        <v>43524</v>
      </c>
      <c r="H912" s="6">
        <v>0.6875</v>
      </c>
      <c r="I912" t="s">
        <v>139</v>
      </c>
      <c r="J912" t="s">
        <v>573</v>
      </c>
      <c r="K912" t="s">
        <v>1533</v>
      </c>
      <c r="M912" t="s">
        <v>138</v>
      </c>
    </row>
    <row r="913" spans="1:13" x14ac:dyDescent="0.25">
      <c r="A913" t="s">
        <v>1436</v>
      </c>
      <c r="B913" t="s">
        <v>0</v>
      </c>
      <c r="C913" t="s">
        <v>556</v>
      </c>
      <c r="D913" t="s">
        <v>80</v>
      </c>
      <c r="E913" t="s">
        <v>48</v>
      </c>
      <c r="F913" s="5">
        <v>43406</v>
      </c>
      <c r="G913" s="5">
        <v>43518</v>
      </c>
      <c r="H913" s="6">
        <v>0.70486111111111116</v>
      </c>
      <c r="I913" t="s">
        <v>139</v>
      </c>
      <c r="J913" t="s">
        <v>573</v>
      </c>
      <c r="K913" t="s">
        <v>1533</v>
      </c>
      <c r="M913" t="s">
        <v>138</v>
      </c>
    </row>
    <row r="914" spans="1:13" x14ac:dyDescent="0.25">
      <c r="A914" t="s">
        <v>1436</v>
      </c>
      <c r="B914" t="s">
        <v>0</v>
      </c>
      <c r="C914" t="s">
        <v>556</v>
      </c>
      <c r="D914" t="s">
        <v>80</v>
      </c>
      <c r="E914" t="s">
        <v>22</v>
      </c>
      <c r="F914" s="5">
        <v>43477</v>
      </c>
      <c r="G914" s="5">
        <v>43554</v>
      </c>
      <c r="H914" s="6">
        <v>0.70833333333333337</v>
      </c>
      <c r="I914" t="s">
        <v>139</v>
      </c>
      <c r="J914" t="s">
        <v>573</v>
      </c>
      <c r="K914" t="s">
        <v>1533</v>
      </c>
      <c r="M914" t="s">
        <v>138</v>
      </c>
    </row>
    <row r="915" spans="1:13" x14ac:dyDescent="0.25">
      <c r="A915" t="s">
        <v>1436</v>
      </c>
      <c r="B915" t="s">
        <v>0</v>
      </c>
      <c r="C915" t="s">
        <v>556</v>
      </c>
      <c r="D915" t="s">
        <v>80</v>
      </c>
      <c r="E915" t="s">
        <v>144</v>
      </c>
      <c r="F915" s="5">
        <v>43401</v>
      </c>
      <c r="G915" s="5">
        <v>43554</v>
      </c>
      <c r="H915" s="6">
        <v>0.72222222222222221</v>
      </c>
      <c r="I915" t="s">
        <v>139</v>
      </c>
      <c r="J915" t="s">
        <v>574</v>
      </c>
      <c r="K915" t="s">
        <v>1533</v>
      </c>
      <c r="M915" t="s">
        <v>138</v>
      </c>
    </row>
    <row r="916" spans="1:13" x14ac:dyDescent="0.25">
      <c r="A916" t="s">
        <v>1436</v>
      </c>
      <c r="B916" t="s">
        <v>0</v>
      </c>
      <c r="C916" t="s">
        <v>556</v>
      </c>
      <c r="D916" t="s">
        <v>80</v>
      </c>
      <c r="E916" t="s">
        <v>13</v>
      </c>
      <c r="F916" s="5">
        <v>43447</v>
      </c>
      <c r="G916" s="5">
        <v>43552</v>
      </c>
      <c r="H916" s="6">
        <v>0.72222222222222221</v>
      </c>
      <c r="I916" t="s">
        <v>139</v>
      </c>
      <c r="J916" t="s">
        <v>575</v>
      </c>
      <c r="K916" t="s">
        <v>1533</v>
      </c>
      <c r="M916" t="s">
        <v>138</v>
      </c>
    </row>
    <row r="917" spans="1:13" x14ac:dyDescent="0.25">
      <c r="A917" t="s">
        <v>1436</v>
      </c>
      <c r="B917" t="s">
        <v>0</v>
      </c>
      <c r="C917" t="s">
        <v>556</v>
      </c>
      <c r="D917" t="s">
        <v>80</v>
      </c>
      <c r="E917" t="s">
        <v>48</v>
      </c>
      <c r="F917" s="5">
        <v>43455</v>
      </c>
      <c r="G917" s="5">
        <v>43553</v>
      </c>
      <c r="H917" s="6">
        <v>0.74305555555555547</v>
      </c>
      <c r="I917" t="s">
        <v>141</v>
      </c>
      <c r="J917" t="s">
        <v>575</v>
      </c>
      <c r="K917" t="s">
        <v>1533</v>
      </c>
      <c r="M917" t="s">
        <v>138</v>
      </c>
    </row>
    <row r="918" spans="1:13" x14ac:dyDescent="0.25">
      <c r="A918" t="s">
        <v>1436</v>
      </c>
      <c r="B918" t="s">
        <v>0</v>
      </c>
      <c r="C918" t="s">
        <v>556</v>
      </c>
      <c r="D918" t="s">
        <v>80</v>
      </c>
      <c r="E918" t="s">
        <v>18</v>
      </c>
      <c r="F918" s="5">
        <v>43492</v>
      </c>
      <c r="G918" s="5">
        <v>43520</v>
      </c>
      <c r="H918" s="6">
        <v>0.74305555555555547</v>
      </c>
      <c r="I918" t="s">
        <v>141</v>
      </c>
      <c r="J918" t="s">
        <v>575</v>
      </c>
      <c r="K918" t="s">
        <v>1533</v>
      </c>
      <c r="M918" t="s">
        <v>138</v>
      </c>
    </row>
    <row r="919" spans="1:13" x14ac:dyDescent="0.25">
      <c r="A919" t="s">
        <v>1436</v>
      </c>
      <c r="B919" t="s">
        <v>0</v>
      </c>
      <c r="C919" t="s">
        <v>556</v>
      </c>
      <c r="D919" t="s">
        <v>80</v>
      </c>
      <c r="E919" t="s">
        <v>22</v>
      </c>
      <c r="F919" s="5">
        <v>43477</v>
      </c>
      <c r="G919" s="5">
        <v>43554</v>
      </c>
      <c r="H919" s="6">
        <v>0.75</v>
      </c>
      <c r="I919" t="s">
        <v>139</v>
      </c>
      <c r="J919" t="s">
        <v>575</v>
      </c>
      <c r="K919" t="s">
        <v>1533</v>
      </c>
      <c r="M919" t="s">
        <v>138</v>
      </c>
    </row>
    <row r="920" spans="1:13" x14ac:dyDescent="0.25">
      <c r="A920" t="s">
        <v>1436</v>
      </c>
      <c r="B920" t="s">
        <v>0</v>
      </c>
      <c r="C920" t="s">
        <v>556</v>
      </c>
      <c r="D920" t="s">
        <v>80</v>
      </c>
      <c r="E920" t="s">
        <v>18</v>
      </c>
      <c r="F920" s="5">
        <v>43478</v>
      </c>
      <c r="G920" s="5">
        <v>43520</v>
      </c>
      <c r="H920" s="6">
        <v>0.75694444444444453</v>
      </c>
      <c r="I920" t="s">
        <v>139</v>
      </c>
      <c r="J920" t="s">
        <v>1897</v>
      </c>
      <c r="K920" t="s">
        <v>1533</v>
      </c>
      <c r="M920" t="s">
        <v>138</v>
      </c>
    </row>
    <row r="921" spans="1:13" x14ac:dyDescent="0.25">
      <c r="A921" t="s">
        <v>1436</v>
      </c>
      <c r="B921" t="s">
        <v>0</v>
      </c>
      <c r="C921" t="s">
        <v>556</v>
      </c>
      <c r="D921" t="s">
        <v>80</v>
      </c>
      <c r="E921" t="s">
        <v>54</v>
      </c>
      <c r="F921" s="5">
        <v>43403</v>
      </c>
      <c r="G921" s="5">
        <v>43551</v>
      </c>
      <c r="H921" s="6">
        <v>0.77777777777777779</v>
      </c>
      <c r="I921" t="s">
        <v>139</v>
      </c>
      <c r="J921" t="s">
        <v>576</v>
      </c>
      <c r="K921" t="s">
        <v>1533</v>
      </c>
      <c r="M921" t="s">
        <v>138</v>
      </c>
    </row>
    <row r="922" spans="1:13" x14ac:dyDescent="0.25">
      <c r="A922" t="s">
        <v>1436</v>
      </c>
      <c r="B922" t="s">
        <v>0</v>
      </c>
      <c r="C922" t="s">
        <v>556</v>
      </c>
      <c r="D922" t="s">
        <v>80</v>
      </c>
      <c r="E922" t="s">
        <v>59</v>
      </c>
      <c r="F922" s="5">
        <v>43465</v>
      </c>
      <c r="G922" s="5">
        <v>43549</v>
      </c>
      <c r="H922" s="6">
        <v>0.77777777777777779</v>
      </c>
      <c r="I922" t="s">
        <v>139</v>
      </c>
      <c r="J922" t="s">
        <v>576</v>
      </c>
      <c r="K922" t="s">
        <v>1533</v>
      </c>
      <c r="M922" t="s">
        <v>138</v>
      </c>
    </row>
    <row r="923" spans="1:13" x14ac:dyDescent="0.25">
      <c r="A923" t="s">
        <v>1436</v>
      </c>
      <c r="B923" t="s">
        <v>0</v>
      </c>
      <c r="C923" t="s">
        <v>556</v>
      </c>
      <c r="D923" t="s">
        <v>80</v>
      </c>
      <c r="E923" t="s">
        <v>13</v>
      </c>
      <c r="F923" s="5">
        <v>43475</v>
      </c>
      <c r="G923" s="5">
        <v>43524</v>
      </c>
      <c r="H923" s="6">
        <v>0.77777777777777779</v>
      </c>
      <c r="I923" t="s">
        <v>139</v>
      </c>
      <c r="J923" t="s">
        <v>576</v>
      </c>
      <c r="K923" t="s">
        <v>1533</v>
      </c>
      <c r="M923" t="s">
        <v>138</v>
      </c>
    </row>
    <row r="924" spans="1:13" x14ac:dyDescent="0.25">
      <c r="A924" t="s">
        <v>1436</v>
      </c>
      <c r="B924" t="s">
        <v>0</v>
      </c>
      <c r="C924" t="s">
        <v>556</v>
      </c>
      <c r="D924" t="s">
        <v>80</v>
      </c>
      <c r="E924" t="s">
        <v>18</v>
      </c>
      <c r="F924" s="5">
        <v>43478</v>
      </c>
      <c r="G924" s="5">
        <v>43548</v>
      </c>
      <c r="H924" s="6">
        <v>0.79166666666666663</v>
      </c>
      <c r="I924" t="s">
        <v>139</v>
      </c>
      <c r="J924" t="s">
        <v>576</v>
      </c>
      <c r="K924" t="s">
        <v>1533</v>
      </c>
      <c r="M924" t="s">
        <v>138</v>
      </c>
    </row>
    <row r="925" spans="1:13" x14ac:dyDescent="0.25">
      <c r="A925" t="s">
        <v>1436</v>
      </c>
      <c r="B925" t="s">
        <v>0</v>
      </c>
      <c r="C925" t="s">
        <v>556</v>
      </c>
      <c r="D925" t="s">
        <v>80</v>
      </c>
      <c r="E925" t="s">
        <v>48</v>
      </c>
      <c r="F925" s="5">
        <v>43406</v>
      </c>
      <c r="G925" s="5">
        <v>43553</v>
      </c>
      <c r="H925" s="6">
        <v>0.79861111111111116</v>
      </c>
      <c r="I925" t="s">
        <v>139</v>
      </c>
      <c r="J925" t="s">
        <v>576</v>
      </c>
      <c r="K925" t="s">
        <v>1533</v>
      </c>
      <c r="M925" t="s">
        <v>138</v>
      </c>
    </row>
    <row r="926" spans="1:13" x14ac:dyDescent="0.25">
      <c r="A926" t="s">
        <v>1436</v>
      </c>
      <c r="B926" t="s">
        <v>0</v>
      </c>
      <c r="C926" t="s">
        <v>556</v>
      </c>
      <c r="D926" t="s">
        <v>80</v>
      </c>
      <c r="E926" t="s">
        <v>20</v>
      </c>
      <c r="F926" s="5">
        <v>43460</v>
      </c>
      <c r="G926" s="5">
        <v>43523</v>
      </c>
      <c r="H926" s="6">
        <v>0.83333333333333337</v>
      </c>
      <c r="I926" t="s">
        <v>139</v>
      </c>
      <c r="J926" t="s">
        <v>577</v>
      </c>
      <c r="K926" t="s">
        <v>1533</v>
      </c>
      <c r="M926" t="s">
        <v>138</v>
      </c>
    </row>
    <row r="927" spans="1:13" x14ac:dyDescent="0.25">
      <c r="A927" t="s">
        <v>1436</v>
      </c>
      <c r="B927" t="s">
        <v>0</v>
      </c>
      <c r="C927" t="s">
        <v>556</v>
      </c>
      <c r="D927" t="s">
        <v>80</v>
      </c>
      <c r="E927" t="s">
        <v>13</v>
      </c>
      <c r="F927" s="5">
        <v>43475</v>
      </c>
      <c r="G927" s="5">
        <v>43552</v>
      </c>
      <c r="H927" s="6">
        <v>0.83333333333333337</v>
      </c>
      <c r="I927" t="s">
        <v>139</v>
      </c>
      <c r="J927" t="s">
        <v>577</v>
      </c>
      <c r="K927" t="s">
        <v>1533</v>
      </c>
      <c r="M927" t="s">
        <v>138</v>
      </c>
    </row>
    <row r="928" spans="1:13" x14ac:dyDescent="0.25">
      <c r="A928" t="s">
        <v>1436</v>
      </c>
      <c r="B928" t="s">
        <v>0</v>
      </c>
      <c r="C928" t="s">
        <v>556</v>
      </c>
      <c r="D928" t="s">
        <v>80</v>
      </c>
      <c r="E928" t="s">
        <v>59</v>
      </c>
      <c r="F928" s="5">
        <v>43479</v>
      </c>
      <c r="G928" s="5">
        <v>43521</v>
      </c>
      <c r="H928" s="6">
        <v>0.83333333333333337</v>
      </c>
      <c r="I928" t="s">
        <v>139</v>
      </c>
      <c r="J928" t="s">
        <v>577</v>
      </c>
      <c r="K928" t="s">
        <v>1533</v>
      </c>
      <c r="M928" t="s">
        <v>138</v>
      </c>
    </row>
    <row r="929" spans="1:13" x14ac:dyDescent="0.25">
      <c r="A929" t="s">
        <v>1436</v>
      </c>
      <c r="B929" t="s">
        <v>0</v>
      </c>
      <c r="C929" t="s">
        <v>556</v>
      </c>
      <c r="D929" t="s">
        <v>80</v>
      </c>
      <c r="E929" t="s">
        <v>19</v>
      </c>
      <c r="F929" s="5">
        <v>43501</v>
      </c>
      <c r="G929" s="5">
        <v>43522</v>
      </c>
      <c r="H929" s="6">
        <v>0.83333333333333337</v>
      </c>
      <c r="I929" t="s">
        <v>139</v>
      </c>
      <c r="J929" t="s">
        <v>577</v>
      </c>
      <c r="K929" t="s">
        <v>1533</v>
      </c>
      <c r="M929" t="s">
        <v>138</v>
      </c>
    </row>
    <row r="930" spans="1:13" x14ac:dyDescent="0.25">
      <c r="A930" t="s">
        <v>1436</v>
      </c>
      <c r="B930" t="s">
        <v>0</v>
      </c>
      <c r="C930" t="s">
        <v>556</v>
      </c>
      <c r="D930" t="s">
        <v>80</v>
      </c>
      <c r="E930" t="s">
        <v>48</v>
      </c>
      <c r="F930" s="5">
        <v>43448</v>
      </c>
      <c r="G930" s="5">
        <v>43553</v>
      </c>
      <c r="H930" s="6">
        <v>0.84027777777777779</v>
      </c>
      <c r="I930" t="s">
        <v>141</v>
      </c>
      <c r="J930" t="s">
        <v>577</v>
      </c>
      <c r="K930" t="s">
        <v>1533</v>
      </c>
      <c r="M930" t="s">
        <v>138</v>
      </c>
    </row>
    <row r="931" spans="1:13" x14ac:dyDescent="0.25">
      <c r="A931" t="s">
        <v>1436</v>
      </c>
      <c r="B931" t="s">
        <v>0</v>
      </c>
      <c r="C931" t="s">
        <v>556</v>
      </c>
      <c r="D931" t="s">
        <v>80</v>
      </c>
      <c r="E931" t="s">
        <v>22</v>
      </c>
      <c r="F931" s="5">
        <v>43407</v>
      </c>
      <c r="G931" s="5">
        <v>43554</v>
      </c>
      <c r="H931" s="6">
        <v>0.84722222222222221</v>
      </c>
      <c r="I931" t="s">
        <v>139</v>
      </c>
      <c r="J931" t="s">
        <v>577</v>
      </c>
      <c r="K931" t="s">
        <v>1533</v>
      </c>
      <c r="M931" t="s">
        <v>138</v>
      </c>
    </row>
    <row r="932" spans="1:13" x14ac:dyDescent="0.25">
      <c r="A932" t="s">
        <v>1436</v>
      </c>
      <c r="B932" t="s">
        <v>0</v>
      </c>
      <c r="C932" t="s">
        <v>556</v>
      </c>
      <c r="D932" t="s">
        <v>80</v>
      </c>
      <c r="E932" t="s">
        <v>18</v>
      </c>
      <c r="F932" s="5">
        <v>43478</v>
      </c>
      <c r="G932" s="5">
        <v>43520</v>
      </c>
      <c r="H932" s="6">
        <v>0.85416666666666663</v>
      </c>
      <c r="I932" t="s">
        <v>139</v>
      </c>
      <c r="J932" t="s">
        <v>577</v>
      </c>
      <c r="K932" t="s">
        <v>1533</v>
      </c>
      <c r="M932" t="s">
        <v>138</v>
      </c>
    </row>
    <row r="933" spans="1:13" x14ac:dyDescent="0.25">
      <c r="A933" t="s">
        <v>1436</v>
      </c>
      <c r="B933" t="s">
        <v>0</v>
      </c>
      <c r="C933" t="s">
        <v>556</v>
      </c>
      <c r="D933" t="s">
        <v>80</v>
      </c>
      <c r="E933" t="s">
        <v>144</v>
      </c>
      <c r="F933" s="5">
        <v>43401</v>
      </c>
      <c r="G933" s="5">
        <v>43554</v>
      </c>
      <c r="H933" s="6">
        <v>0.86111111111111116</v>
      </c>
      <c r="I933" t="s">
        <v>139</v>
      </c>
      <c r="J933" t="s">
        <v>578</v>
      </c>
      <c r="K933" t="s">
        <v>1533</v>
      </c>
      <c r="M933" t="s">
        <v>138</v>
      </c>
    </row>
    <row r="934" spans="1:13" x14ac:dyDescent="0.25">
      <c r="A934" t="s">
        <v>1436</v>
      </c>
      <c r="B934" t="s">
        <v>0</v>
      </c>
      <c r="C934" t="s">
        <v>556</v>
      </c>
      <c r="D934" t="s">
        <v>80</v>
      </c>
      <c r="E934" t="s">
        <v>48</v>
      </c>
      <c r="F934" s="5">
        <v>43406</v>
      </c>
      <c r="G934" s="5">
        <v>43553</v>
      </c>
      <c r="H934" s="6">
        <v>0.875</v>
      </c>
      <c r="I934" t="s">
        <v>139</v>
      </c>
      <c r="J934" t="s">
        <v>579</v>
      </c>
      <c r="K934" t="s">
        <v>1533</v>
      </c>
      <c r="M934" t="s">
        <v>138</v>
      </c>
    </row>
    <row r="935" spans="1:13" x14ac:dyDescent="0.25">
      <c r="A935" t="s">
        <v>1436</v>
      </c>
      <c r="B935" t="s">
        <v>0</v>
      </c>
      <c r="C935" t="s">
        <v>556</v>
      </c>
      <c r="D935" t="s">
        <v>80</v>
      </c>
      <c r="E935" t="s">
        <v>18</v>
      </c>
      <c r="F935" s="5">
        <v>43478</v>
      </c>
      <c r="G935" s="5">
        <v>43548</v>
      </c>
      <c r="H935" s="6">
        <v>0.88541666666666663</v>
      </c>
      <c r="I935" t="s">
        <v>139</v>
      </c>
      <c r="J935" t="s">
        <v>579</v>
      </c>
      <c r="K935" t="s">
        <v>1533</v>
      </c>
      <c r="M935" t="s">
        <v>138</v>
      </c>
    </row>
    <row r="936" spans="1:13" x14ac:dyDescent="0.25">
      <c r="A936" t="s">
        <v>1436</v>
      </c>
      <c r="B936" t="s">
        <v>0</v>
      </c>
      <c r="C936" t="s">
        <v>580</v>
      </c>
      <c r="D936" t="s">
        <v>503</v>
      </c>
      <c r="E936" t="s">
        <v>795</v>
      </c>
      <c r="F936" s="5">
        <v>43401</v>
      </c>
      <c r="G936" s="5">
        <v>43552</v>
      </c>
      <c r="H936" s="6">
        <v>0.61458333333333337</v>
      </c>
      <c r="I936" t="s">
        <v>139</v>
      </c>
      <c r="J936" t="s">
        <v>581</v>
      </c>
      <c r="K936" t="s">
        <v>582</v>
      </c>
      <c r="M936" t="s">
        <v>138</v>
      </c>
    </row>
    <row r="937" spans="1:13" x14ac:dyDescent="0.25">
      <c r="A937" t="s">
        <v>1436</v>
      </c>
      <c r="B937" t="s">
        <v>0</v>
      </c>
      <c r="C937" t="s">
        <v>584</v>
      </c>
      <c r="D937" t="s">
        <v>585</v>
      </c>
      <c r="E937" t="s">
        <v>13</v>
      </c>
      <c r="F937" s="5">
        <v>43405</v>
      </c>
      <c r="G937" s="5">
        <v>43552</v>
      </c>
      <c r="H937" s="6">
        <v>0.50694444444444442</v>
      </c>
      <c r="I937">
        <v>320</v>
      </c>
      <c r="J937" t="s">
        <v>1572</v>
      </c>
      <c r="K937" t="s">
        <v>34</v>
      </c>
      <c r="M937" t="s">
        <v>138</v>
      </c>
    </row>
    <row r="938" spans="1:13" x14ac:dyDescent="0.25">
      <c r="A938" t="s">
        <v>1436</v>
      </c>
      <c r="B938" t="s">
        <v>0</v>
      </c>
      <c r="C938" t="s">
        <v>130</v>
      </c>
      <c r="D938" t="s">
        <v>131</v>
      </c>
      <c r="E938" t="s">
        <v>1509</v>
      </c>
      <c r="F938" s="5">
        <v>43405</v>
      </c>
      <c r="G938" s="5">
        <v>43554</v>
      </c>
      <c r="H938" s="6">
        <v>0.62152777777777779</v>
      </c>
      <c r="I938" t="s">
        <v>14</v>
      </c>
      <c r="J938" t="s">
        <v>586</v>
      </c>
      <c r="K938" t="s">
        <v>38</v>
      </c>
      <c r="M938" t="s">
        <v>138</v>
      </c>
    </row>
    <row r="939" spans="1:13" x14ac:dyDescent="0.25">
      <c r="A939" t="s">
        <v>1436</v>
      </c>
      <c r="B939" t="s">
        <v>0</v>
      </c>
      <c r="C939" t="s">
        <v>130</v>
      </c>
      <c r="D939" t="s">
        <v>131</v>
      </c>
      <c r="E939" t="s">
        <v>59</v>
      </c>
      <c r="F939" s="5">
        <v>43416</v>
      </c>
      <c r="G939" s="5">
        <v>43549</v>
      </c>
      <c r="H939" s="6">
        <v>0.65277777777777779</v>
      </c>
      <c r="I939" t="s">
        <v>39</v>
      </c>
      <c r="J939" t="s">
        <v>1842</v>
      </c>
      <c r="K939" t="s">
        <v>38</v>
      </c>
      <c r="M939" t="s">
        <v>138</v>
      </c>
    </row>
    <row r="940" spans="1:13" x14ac:dyDescent="0.25">
      <c r="A940" t="s">
        <v>1436</v>
      </c>
      <c r="B940" t="s">
        <v>0</v>
      </c>
      <c r="C940" t="s">
        <v>828</v>
      </c>
      <c r="D940" t="s">
        <v>829</v>
      </c>
      <c r="E940" t="s">
        <v>20</v>
      </c>
      <c r="F940" s="5">
        <v>43481</v>
      </c>
      <c r="G940" s="5">
        <v>43551</v>
      </c>
      <c r="H940" s="6">
        <v>0.43055555555555558</v>
      </c>
      <c r="I940" t="s">
        <v>14</v>
      </c>
      <c r="J940" t="s">
        <v>1573</v>
      </c>
      <c r="K940" t="s">
        <v>544</v>
      </c>
      <c r="M940" t="s">
        <v>138</v>
      </c>
    </row>
    <row r="941" spans="1:13" x14ac:dyDescent="0.25">
      <c r="A941" t="s">
        <v>1436</v>
      </c>
      <c r="B941" t="s">
        <v>0</v>
      </c>
      <c r="C941" t="s">
        <v>828</v>
      </c>
      <c r="D941" t="s">
        <v>829</v>
      </c>
      <c r="E941" t="s">
        <v>22</v>
      </c>
      <c r="F941" s="5">
        <v>43428</v>
      </c>
      <c r="G941" s="5">
        <v>43554</v>
      </c>
      <c r="H941" s="6">
        <v>0.71875</v>
      </c>
      <c r="I941" t="s">
        <v>14</v>
      </c>
      <c r="J941" t="s">
        <v>1574</v>
      </c>
      <c r="K941" t="s">
        <v>544</v>
      </c>
      <c r="M941" t="s">
        <v>138</v>
      </c>
    </row>
    <row r="942" spans="1:13" x14ac:dyDescent="0.25">
      <c r="A942" t="s">
        <v>1436</v>
      </c>
      <c r="B942" t="s">
        <v>0</v>
      </c>
      <c r="C942" t="s">
        <v>587</v>
      </c>
      <c r="D942" t="s">
        <v>588</v>
      </c>
      <c r="E942" t="s">
        <v>59</v>
      </c>
      <c r="F942" s="5">
        <v>43416</v>
      </c>
      <c r="G942" s="5">
        <v>43549</v>
      </c>
      <c r="H942" s="6">
        <v>0.3923611111111111</v>
      </c>
      <c r="I942" t="s">
        <v>14</v>
      </c>
      <c r="J942" t="s">
        <v>1575</v>
      </c>
      <c r="K942" t="s">
        <v>16</v>
      </c>
      <c r="M942" t="s">
        <v>138</v>
      </c>
    </row>
    <row r="943" spans="1:13" x14ac:dyDescent="0.25">
      <c r="A943" t="s">
        <v>1436</v>
      </c>
      <c r="B943" t="s">
        <v>0</v>
      </c>
      <c r="C943" t="s">
        <v>587</v>
      </c>
      <c r="D943" t="s">
        <v>588</v>
      </c>
      <c r="E943" t="s">
        <v>48</v>
      </c>
      <c r="F943" s="5">
        <v>43476</v>
      </c>
      <c r="G943" s="5">
        <v>43553</v>
      </c>
      <c r="H943" s="6">
        <v>0.39583333333333331</v>
      </c>
      <c r="I943" t="s">
        <v>14</v>
      </c>
      <c r="J943" t="s">
        <v>949</v>
      </c>
      <c r="K943" t="s">
        <v>16</v>
      </c>
      <c r="M943" t="s">
        <v>138</v>
      </c>
    </row>
    <row r="944" spans="1:13" x14ac:dyDescent="0.25">
      <c r="A944" t="s">
        <v>1436</v>
      </c>
      <c r="B944" t="s">
        <v>0</v>
      </c>
      <c r="C944" t="s">
        <v>177</v>
      </c>
      <c r="D944" t="s">
        <v>178</v>
      </c>
      <c r="E944" t="s">
        <v>13</v>
      </c>
      <c r="F944" s="5">
        <v>43405</v>
      </c>
      <c r="G944" s="5">
        <v>43552</v>
      </c>
      <c r="H944" s="6">
        <v>0.37152777777777773</v>
      </c>
      <c r="I944" t="s">
        <v>14</v>
      </c>
      <c r="J944" t="s">
        <v>589</v>
      </c>
      <c r="K944" t="s">
        <v>45</v>
      </c>
      <c r="M944" t="s">
        <v>138</v>
      </c>
    </row>
    <row r="945" spans="1:13" x14ac:dyDescent="0.25">
      <c r="A945" t="s">
        <v>1436</v>
      </c>
      <c r="B945" t="s">
        <v>0</v>
      </c>
      <c r="C945" t="s">
        <v>177</v>
      </c>
      <c r="D945" t="s">
        <v>178</v>
      </c>
      <c r="E945" t="s">
        <v>22</v>
      </c>
      <c r="F945" s="5">
        <v>43407</v>
      </c>
      <c r="G945" s="5">
        <v>43554</v>
      </c>
      <c r="H945" s="6">
        <v>0.44791666666666669</v>
      </c>
      <c r="I945" t="s">
        <v>14</v>
      </c>
      <c r="J945" t="s">
        <v>489</v>
      </c>
      <c r="K945" t="s">
        <v>45</v>
      </c>
      <c r="M945" t="s">
        <v>138</v>
      </c>
    </row>
    <row r="946" spans="1:13" x14ac:dyDescent="0.25">
      <c r="A946" t="s">
        <v>1436</v>
      </c>
      <c r="B946" t="s">
        <v>0</v>
      </c>
      <c r="C946" t="s">
        <v>177</v>
      </c>
      <c r="D946" t="s">
        <v>178</v>
      </c>
      <c r="E946" t="s">
        <v>19</v>
      </c>
      <c r="F946" s="5">
        <v>43473</v>
      </c>
      <c r="G946" s="5">
        <v>43550</v>
      </c>
      <c r="H946" s="6">
        <v>0.45833333333333331</v>
      </c>
      <c r="I946" t="s">
        <v>14</v>
      </c>
      <c r="J946" t="s">
        <v>489</v>
      </c>
      <c r="K946" t="s">
        <v>45</v>
      </c>
      <c r="M946" t="s">
        <v>138</v>
      </c>
    </row>
    <row r="947" spans="1:13" x14ac:dyDescent="0.25">
      <c r="A947" t="s">
        <v>1436</v>
      </c>
      <c r="B947" t="s">
        <v>0</v>
      </c>
      <c r="C947" t="s">
        <v>177</v>
      </c>
      <c r="D947" t="s">
        <v>178</v>
      </c>
      <c r="E947" t="s">
        <v>13</v>
      </c>
      <c r="F947" s="5">
        <v>43496</v>
      </c>
      <c r="G947" s="5">
        <v>43552</v>
      </c>
      <c r="H947" s="6">
        <v>0.45833333333333331</v>
      </c>
      <c r="I947" t="s">
        <v>14</v>
      </c>
      <c r="J947" t="s">
        <v>489</v>
      </c>
      <c r="K947" t="s">
        <v>45</v>
      </c>
      <c r="M947" t="s">
        <v>138</v>
      </c>
    </row>
    <row r="948" spans="1:13" x14ac:dyDescent="0.25">
      <c r="A948" t="s">
        <v>1436</v>
      </c>
      <c r="B948" t="s">
        <v>0</v>
      </c>
      <c r="C948" t="s">
        <v>177</v>
      </c>
      <c r="D948" t="s">
        <v>178</v>
      </c>
      <c r="E948" t="s">
        <v>20</v>
      </c>
      <c r="F948" s="5">
        <v>43411</v>
      </c>
      <c r="G948" s="5">
        <v>43551</v>
      </c>
      <c r="H948" s="6">
        <v>0.4861111111111111</v>
      </c>
      <c r="I948" t="s">
        <v>106</v>
      </c>
      <c r="J948" t="s">
        <v>1576</v>
      </c>
      <c r="K948" t="s">
        <v>45</v>
      </c>
      <c r="M948" t="s">
        <v>138</v>
      </c>
    </row>
    <row r="949" spans="1:13" x14ac:dyDescent="0.25">
      <c r="A949" t="s">
        <v>1436</v>
      </c>
      <c r="B949" t="s">
        <v>0</v>
      </c>
      <c r="C949" t="s">
        <v>177</v>
      </c>
      <c r="D949" t="s">
        <v>178</v>
      </c>
      <c r="E949" t="s">
        <v>18</v>
      </c>
      <c r="F949" s="5">
        <v>43401</v>
      </c>
      <c r="G949" s="5">
        <v>43548</v>
      </c>
      <c r="H949" s="6">
        <v>0.49305555555555558</v>
      </c>
      <c r="I949" t="s">
        <v>14</v>
      </c>
      <c r="J949" t="s">
        <v>1577</v>
      </c>
      <c r="K949" t="s">
        <v>45</v>
      </c>
      <c r="M949" t="s">
        <v>138</v>
      </c>
    </row>
    <row r="950" spans="1:13" x14ac:dyDescent="0.25">
      <c r="A950" t="s">
        <v>1436</v>
      </c>
      <c r="B950" t="s">
        <v>0</v>
      </c>
      <c r="C950" t="s">
        <v>177</v>
      </c>
      <c r="D950" t="s">
        <v>178</v>
      </c>
      <c r="E950" t="s">
        <v>18</v>
      </c>
      <c r="F950" s="5">
        <v>43401</v>
      </c>
      <c r="G950" s="5">
        <v>43548</v>
      </c>
      <c r="H950" s="6">
        <v>0.51388888888888895</v>
      </c>
      <c r="I950" t="s">
        <v>14</v>
      </c>
      <c r="J950" t="s">
        <v>589</v>
      </c>
      <c r="K950" t="s">
        <v>45</v>
      </c>
      <c r="M950" t="s">
        <v>138</v>
      </c>
    </row>
    <row r="951" spans="1:13" x14ac:dyDescent="0.25">
      <c r="A951" t="s">
        <v>1436</v>
      </c>
      <c r="B951" t="s">
        <v>0</v>
      </c>
      <c r="C951" t="s">
        <v>177</v>
      </c>
      <c r="D951" t="s">
        <v>178</v>
      </c>
      <c r="E951" t="s">
        <v>48</v>
      </c>
      <c r="F951" s="5">
        <v>43511</v>
      </c>
      <c r="G951" s="5">
        <v>43539</v>
      </c>
      <c r="H951" s="6">
        <v>0.57291666666666663</v>
      </c>
      <c r="I951" t="s">
        <v>104</v>
      </c>
      <c r="J951" t="s">
        <v>590</v>
      </c>
      <c r="K951" t="s">
        <v>45</v>
      </c>
      <c r="M951" t="s">
        <v>138</v>
      </c>
    </row>
    <row r="952" spans="1:13" x14ac:dyDescent="0.25">
      <c r="A952" t="s">
        <v>1436</v>
      </c>
      <c r="B952" t="s">
        <v>0</v>
      </c>
      <c r="C952" t="s">
        <v>177</v>
      </c>
      <c r="D952" t="s">
        <v>178</v>
      </c>
      <c r="E952" t="s">
        <v>48</v>
      </c>
      <c r="F952" s="5">
        <v>43511</v>
      </c>
      <c r="G952" s="5">
        <v>43511</v>
      </c>
      <c r="H952" s="6">
        <v>0.57638888888888895</v>
      </c>
      <c r="I952" t="s">
        <v>106</v>
      </c>
      <c r="J952" t="s">
        <v>1576</v>
      </c>
      <c r="K952" t="s">
        <v>45</v>
      </c>
      <c r="M952" t="s">
        <v>138</v>
      </c>
    </row>
    <row r="953" spans="1:13" x14ac:dyDescent="0.25">
      <c r="A953" t="s">
        <v>1436</v>
      </c>
      <c r="B953" t="s">
        <v>0</v>
      </c>
      <c r="C953" t="s">
        <v>177</v>
      </c>
      <c r="D953" t="s">
        <v>178</v>
      </c>
      <c r="E953" t="s">
        <v>20</v>
      </c>
      <c r="F953" s="5">
        <v>43495</v>
      </c>
      <c r="G953" s="5">
        <v>43551</v>
      </c>
      <c r="H953" s="6">
        <v>0.60069444444444442</v>
      </c>
      <c r="I953" t="s">
        <v>104</v>
      </c>
      <c r="J953" t="s">
        <v>590</v>
      </c>
      <c r="K953" t="s">
        <v>45</v>
      </c>
      <c r="M953" t="s">
        <v>138</v>
      </c>
    </row>
    <row r="954" spans="1:13" x14ac:dyDescent="0.25">
      <c r="A954" t="s">
        <v>1436</v>
      </c>
      <c r="B954" t="s">
        <v>0</v>
      </c>
      <c r="C954" t="s">
        <v>177</v>
      </c>
      <c r="D954" t="s">
        <v>178</v>
      </c>
      <c r="E954" t="s">
        <v>18</v>
      </c>
      <c r="F954" s="5">
        <v>43513</v>
      </c>
      <c r="G954" s="5">
        <v>43541</v>
      </c>
      <c r="H954" s="6">
        <v>0.61111111111111105</v>
      </c>
      <c r="I954" t="s">
        <v>104</v>
      </c>
      <c r="J954" t="s">
        <v>590</v>
      </c>
      <c r="K954" t="s">
        <v>45</v>
      </c>
      <c r="M954" t="s">
        <v>138</v>
      </c>
    </row>
    <row r="955" spans="1:13" x14ac:dyDescent="0.25">
      <c r="A955" t="s">
        <v>1436</v>
      </c>
      <c r="B955" t="s">
        <v>0</v>
      </c>
      <c r="C955" t="s">
        <v>177</v>
      </c>
      <c r="D955" t="s">
        <v>178</v>
      </c>
      <c r="E955" t="s">
        <v>19</v>
      </c>
      <c r="F955" s="5">
        <v>43403</v>
      </c>
      <c r="G955" s="5">
        <v>43550</v>
      </c>
      <c r="H955" s="6">
        <v>0.65625</v>
      </c>
      <c r="I955" t="s">
        <v>14</v>
      </c>
      <c r="J955" t="s">
        <v>1577</v>
      </c>
      <c r="K955" t="s">
        <v>45</v>
      </c>
      <c r="M955" t="s">
        <v>138</v>
      </c>
    </row>
    <row r="956" spans="1:13" x14ac:dyDescent="0.25">
      <c r="A956" t="s">
        <v>1436</v>
      </c>
      <c r="B956" t="s">
        <v>0</v>
      </c>
      <c r="C956" t="s">
        <v>177</v>
      </c>
      <c r="D956" t="s">
        <v>178</v>
      </c>
      <c r="E956" t="s">
        <v>22</v>
      </c>
      <c r="F956" s="5">
        <v>43512</v>
      </c>
      <c r="G956" s="5">
        <v>43554</v>
      </c>
      <c r="H956" s="6">
        <v>0.68402777777777779</v>
      </c>
      <c r="I956" t="s">
        <v>104</v>
      </c>
      <c r="J956" t="s">
        <v>590</v>
      </c>
      <c r="K956" t="s">
        <v>45</v>
      </c>
      <c r="M956" t="s">
        <v>138</v>
      </c>
    </row>
    <row r="957" spans="1:13" x14ac:dyDescent="0.25">
      <c r="A957" t="s">
        <v>1436</v>
      </c>
      <c r="B957" t="s">
        <v>0</v>
      </c>
      <c r="C957" t="s">
        <v>180</v>
      </c>
      <c r="D957" t="s">
        <v>181</v>
      </c>
      <c r="E957" t="s">
        <v>18</v>
      </c>
      <c r="F957" s="5">
        <v>43450</v>
      </c>
      <c r="G957" s="5">
        <v>43548</v>
      </c>
      <c r="H957" s="6">
        <v>0.3298611111111111</v>
      </c>
      <c r="I957" t="s">
        <v>106</v>
      </c>
      <c r="J957" t="s">
        <v>1252</v>
      </c>
      <c r="K957" t="s">
        <v>45</v>
      </c>
      <c r="M957" t="s">
        <v>138</v>
      </c>
    </row>
    <row r="958" spans="1:13" x14ac:dyDescent="0.25">
      <c r="A958" t="s">
        <v>1436</v>
      </c>
      <c r="B958" t="s">
        <v>0</v>
      </c>
      <c r="C958" t="s">
        <v>180</v>
      </c>
      <c r="D958" t="s">
        <v>181</v>
      </c>
      <c r="E958" t="s">
        <v>22</v>
      </c>
      <c r="F958" s="5">
        <v>43407</v>
      </c>
      <c r="G958" s="5">
        <v>43554</v>
      </c>
      <c r="H958" s="6">
        <v>0.4548611111111111</v>
      </c>
      <c r="I958">
        <v>320</v>
      </c>
      <c r="J958" t="s">
        <v>592</v>
      </c>
      <c r="K958" t="s">
        <v>45</v>
      </c>
      <c r="M958" t="s">
        <v>138</v>
      </c>
    </row>
    <row r="959" spans="1:13" x14ac:dyDescent="0.25">
      <c r="A959" t="s">
        <v>1436</v>
      </c>
      <c r="B959" t="s">
        <v>0</v>
      </c>
      <c r="C959" t="s">
        <v>180</v>
      </c>
      <c r="D959" t="s">
        <v>181</v>
      </c>
      <c r="E959" t="s">
        <v>19</v>
      </c>
      <c r="F959" s="5">
        <v>43403</v>
      </c>
      <c r="G959" s="5">
        <v>43550</v>
      </c>
      <c r="H959" s="6">
        <v>0.49305555555555558</v>
      </c>
      <c r="I959" t="s">
        <v>14</v>
      </c>
      <c r="J959" t="s">
        <v>1578</v>
      </c>
      <c r="K959" t="s">
        <v>45</v>
      </c>
      <c r="M959" t="s">
        <v>138</v>
      </c>
    </row>
    <row r="960" spans="1:13" x14ac:dyDescent="0.25">
      <c r="A960" t="s">
        <v>1436</v>
      </c>
      <c r="B960" t="s">
        <v>0</v>
      </c>
      <c r="C960" t="s">
        <v>180</v>
      </c>
      <c r="D960" t="s">
        <v>181</v>
      </c>
      <c r="E960" t="s">
        <v>13</v>
      </c>
      <c r="F960" s="5">
        <v>43405</v>
      </c>
      <c r="G960" s="5">
        <v>43552</v>
      </c>
      <c r="H960" s="6">
        <v>0.53819444444444442</v>
      </c>
      <c r="I960" t="s">
        <v>106</v>
      </c>
      <c r="J960" t="s">
        <v>591</v>
      </c>
      <c r="K960" t="s">
        <v>45</v>
      </c>
      <c r="M960" t="s">
        <v>138</v>
      </c>
    </row>
    <row r="961" spans="1:13" x14ac:dyDescent="0.25">
      <c r="A961" t="s">
        <v>1436</v>
      </c>
      <c r="B961" t="s">
        <v>0</v>
      </c>
      <c r="C961" t="s">
        <v>180</v>
      </c>
      <c r="D961" t="s">
        <v>181</v>
      </c>
      <c r="E961" t="s">
        <v>59</v>
      </c>
      <c r="F961" s="5">
        <v>43416</v>
      </c>
      <c r="G961" s="5">
        <v>43549</v>
      </c>
      <c r="H961" s="6">
        <v>0.53819444444444442</v>
      </c>
      <c r="I961" t="s">
        <v>106</v>
      </c>
      <c r="J961" t="s">
        <v>591</v>
      </c>
      <c r="K961" t="s">
        <v>45</v>
      </c>
      <c r="M961" t="s">
        <v>138</v>
      </c>
    </row>
    <row r="962" spans="1:13" x14ac:dyDescent="0.25">
      <c r="A962" t="s">
        <v>1436</v>
      </c>
      <c r="B962" t="s">
        <v>0</v>
      </c>
      <c r="C962" t="s">
        <v>180</v>
      </c>
      <c r="D962" t="s">
        <v>181</v>
      </c>
      <c r="E962" t="s">
        <v>20</v>
      </c>
      <c r="F962" s="5">
        <v>43404</v>
      </c>
      <c r="G962" s="5">
        <v>43551</v>
      </c>
      <c r="H962" s="6">
        <v>0.63194444444444442</v>
      </c>
      <c r="I962">
        <v>320</v>
      </c>
      <c r="J962" t="s">
        <v>592</v>
      </c>
      <c r="K962" t="s">
        <v>45</v>
      </c>
      <c r="M962" t="s">
        <v>138</v>
      </c>
    </row>
    <row r="963" spans="1:13" x14ac:dyDescent="0.25">
      <c r="A963" t="s">
        <v>1436</v>
      </c>
      <c r="B963" t="s">
        <v>0</v>
      </c>
      <c r="C963" t="s">
        <v>180</v>
      </c>
      <c r="D963" t="s">
        <v>181</v>
      </c>
      <c r="E963" t="s">
        <v>18</v>
      </c>
      <c r="F963" s="5">
        <v>43415</v>
      </c>
      <c r="G963" s="5">
        <v>43548</v>
      </c>
      <c r="H963" s="6">
        <v>0.63541666666666663</v>
      </c>
      <c r="I963">
        <v>320</v>
      </c>
      <c r="J963" t="s">
        <v>592</v>
      </c>
      <c r="K963" t="s">
        <v>45</v>
      </c>
      <c r="M963" t="s">
        <v>138</v>
      </c>
    </row>
    <row r="964" spans="1:13" x14ac:dyDescent="0.25">
      <c r="A964" t="s">
        <v>1436</v>
      </c>
      <c r="B964" t="s">
        <v>0</v>
      </c>
      <c r="C964" t="s">
        <v>180</v>
      </c>
      <c r="D964" t="s">
        <v>181</v>
      </c>
      <c r="E964" t="s">
        <v>18</v>
      </c>
      <c r="F964" s="5">
        <v>43408</v>
      </c>
      <c r="G964" s="5">
        <v>43548</v>
      </c>
      <c r="H964" s="6">
        <v>0.81597222222222221</v>
      </c>
      <c r="I964" t="s">
        <v>106</v>
      </c>
      <c r="J964" t="s">
        <v>1580</v>
      </c>
      <c r="K964" t="s">
        <v>45</v>
      </c>
      <c r="M964" t="s">
        <v>138</v>
      </c>
    </row>
    <row r="965" spans="1:13" x14ac:dyDescent="0.25">
      <c r="A965" t="s">
        <v>1436</v>
      </c>
      <c r="B965" t="s">
        <v>0</v>
      </c>
      <c r="C965" t="s">
        <v>180</v>
      </c>
      <c r="D965" t="s">
        <v>181</v>
      </c>
      <c r="E965" t="s">
        <v>22</v>
      </c>
      <c r="F965" s="5">
        <v>43463</v>
      </c>
      <c r="G965" s="5">
        <v>43554</v>
      </c>
      <c r="H965" s="6">
        <v>0.81597222222222221</v>
      </c>
      <c r="I965" t="s">
        <v>106</v>
      </c>
      <c r="J965" t="s">
        <v>1580</v>
      </c>
      <c r="K965" t="s">
        <v>45</v>
      </c>
      <c r="M965" t="s">
        <v>138</v>
      </c>
    </row>
    <row r="966" spans="1:13" x14ac:dyDescent="0.25">
      <c r="A966" t="s">
        <v>1436</v>
      </c>
      <c r="B966" t="s">
        <v>0</v>
      </c>
      <c r="C966" t="s">
        <v>180</v>
      </c>
      <c r="D966" t="s">
        <v>181</v>
      </c>
      <c r="E966" t="s">
        <v>48</v>
      </c>
      <c r="F966" s="5">
        <v>43455</v>
      </c>
      <c r="G966" s="5">
        <v>43553</v>
      </c>
      <c r="H966" s="6">
        <v>0.82638888888888884</v>
      </c>
      <c r="I966" t="s">
        <v>106</v>
      </c>
      <c r="J966" t="s">
        <v>591</v>
      </c>
      <c r="K966" t="s">
        <v>45</v>
      </c>
      <c r="M966" t="s">
        <v>138</v>
      </c>
    </row>
    <row r="967" spans="1:13" x14ac:dyDescent="0.25">
      <c r="A967" t="s">
        <v>1436</v>
      </c>
      <c r="B967" t="s">
        <v>0</v>
      </c>
      <c r="C967" t="s">
        <v>180</v>
      </c>
      <c r="D967" t="s">
        <v>181</v>
      </c>
      <c r="E967" t="s">
        <v>22</v>
      </c>
      <c r="F967" s="5">
        <v>43512</v>
      </c>
      <c r="G967" s="5">
        <v>43512</v>
      </c>
      <c r="H967" s="6">
        <v>0.82638888888888884</v>
      </c>
      <c r="I967" t="s">
        <v>106</v>
      </c>
      <c r="J967" t="s">
        <v>591</v>
      </c>
      <c r="K967" t="s">
        <v>45</v>
      </c>
      <c r="M967" t="s">
        <v>138</v>
      </c>
    </row>
    <row r="968" spans="1:13" x14ac:dyDescent="0.25">
      <c r="A968" t="s">
        <v>1436</v>
      </c>
      <c r="B968" t="s">
        <v>0</v>
      </c>
      <c r="C968" t="s">
        <v>180</v>
      </c>
      <c r="D968" t="s">
        <v>181</v>
      </c>
      <c r="E968" t="s">
        <v>18</v>
      </c>
      <c r="F968" s="5">
        <v>43464</v>
      </c>
      <c r="G968" s="5">
        <v>43548</v>
      </c>
      <c r="H968" s="6">
        <v>0.84375</v>
      </c>
      <c r="I968" t="s">
        <v>106</v>
      </c>
      <c r="J968" t="s">
        <v>1579</v>
      </c>
      <c r="K968" t="s">
        <v>45</v>
      </c>
      <c r="M968" t="s">
        <v>138</v>
      </c>
    </row>
    <row r="969" spans="1:13" x14ac:dyDescent="0.25">
      <c r="A969" t="s">
        <v>1436</v>
      </c>
      <c r="B969" t="s">
        <v>0</v>
      </c>
      <c r="C969" t="s">
        <v>1253</v>
      </c>
      <c r="D969" t="s">
        <v>1254</v>
      </c>
      <c r="E969" t="s">
        <v>13</v>
      </c>
      <c r="F969" s="5">
        <v>43461</v>
      </c>
      <c r="G969" s="5">
        <v>43552</v>
      </c>
      <c r="H969" s="6">
        <v>0.67708333333333337</v>
      </c>
      <c r="I969" t="s">
        <v>698</v>
      </c>
      <c r="J969" t="s">
        <v>1255</v>
      </c>
      <c r="K969" t="s">
        <v>488</v>
      </c>
      <c r="M969" t="s">
        <v>138</v>
      </c>
    </row>
    <row r="970" spans="1:13" x14ac:dyDescent="0.25">
      <c r="A970" t="s">
        <v>1436</v>
      </c>
      <c r="B970" t="s">
        <v>0</v>
      </c>
      <c r="C970" t="s">
        <v>593</v>
      </c>
      <c r="D970" t="s">
        <v>594</v>
      </c>
      <c r="E970" t="s">
        <v>1278</v>
      </c>
      <c r="F970" s="5">
        <v>43401</v>
      </c>
      <c r="G970" s="5">
        <v>43554</v>
      </c>
      <c r="H970" s="6">
        <v>0.4826388888888889</v>
      </c>
      <c r="I970" t="s">
        <v>39</v>
      </c>
      <c r="J970" t="s">
        <v>1256</v>
      </c>
      <c r="K970" t="s">
        <v>595</v>
      </c>
      <c r="M970" t="s">
        <v>138</v>
      </c>
    </row>
    <row r="971" spans="1:13" x14ac:dyDescent="0.25">
      <c r="A971" t="s">
        <v>1436</v>
      </c>
      <c r="B971" t="s">
        <v>0</v>
      </c>
      <c r="C971" t="s">
        <v>593</v>
      </c>
      <c r="D971" t="s">
        <v>594</v>
      </c>
      <c r="E971" t="s">
        <v>814</v>
      </c>
      <c r="F971" s="5">
        <v>43402</v>
      </c>
      <c r="G971" s="5">
        <v>43554</v>
      </c>
      <c r="H971" s="6">
        <v>0.66319444444444442</v>
      </c>
      <c r="I971" t="s">
        <v>698</v>
      </c>
      <c r="J971" t="s">
        <v>1581</v>
      </c>
      <c r="K971" t="s">
        <v>595</v>
      </c>
      <c r="M971" t="s">
        <v>138</v>
      </c>
    </row>
    <row r="972" spans="1:13" x14ac:dyDescent="0.25">
      <c r="A972" t="s">
        <v>1436</v>
      </c>
      <c r="B972" t="s">
        <v>0</v>
      </c>
      <c r="C972" t="s">
        <v>593</v>
      </c>
      <c r="D972" t="s">
        <v>594</v>
      </c>
      <c r="E972" t="s">
        <v>22</v>
      </c>
      <c r="F972" s="5">
        <v>43407</v>
      </c>
      <c r="G972" s="5">
        <v>43554</v>
      </c>
      <c r="H972" s="6">
        <v>0.71180555555555547</v>
      </c>
      <c r="I972" t="s">
        <v>39</v>
      </c>
      <c r="J972" t="s">
        <v>1257</v>
      </c>
      <c r="K972" t="s">
        <v>595</v>
      </c>
      <c r="M972" t="s">
        <v>138</v>
      </c>
    </row>
    <row r="973" spans="1:13" x14ac:dyDescent="0.25">
      <c r="A973" t="s">
        <v>1436</v>
      </c>
      <c r="B973" t="s">
        <v>0</v>
      </c>
      <c r="C973" t="s">
        <v>593</v>
      </c>
      <c r="D973" t="s">
        <v>594</v>
      </c>
      <c r="E973" t="s">
        <v>132</v>
      </c>
      <c r="F973" s="5">
        <v>43404</v>
      </c>
      <c r="G973" s="5">
        <v>43553</v>
      </c>
      <c r="H973" s="6">
        <v>0.71527777777777779</v>
      </c>
      <c r="I973" t="s">
        <v>39</v>
      </c>
      <c r="J973" t="s">
        <v>1257</v>
      </c>
      <c r="K973" t="s">
        <v>595</v>
      </c>
      <c r="M973" t="s">
        <v>138</v>
      </c>
    </row>
    <row r="974" spans="1:13" x14ac:dyDescent="0.25">
      <c r="A974" t="s">
        <v>1436</v>
      </c>
      <c r="B974" t="s">
        <v>0</v>
      </c>
      <c r="C974" t="s">
        <v>593</v>
      </c>
      <c r="D974" t="s">
        <v>594</v>
      </c>
      <c r="E974" t="s">
        <v>48</v>
      </c>
      <c r="F974" s="5">
        <v>43511</v>
      </c>
      <c r="G974" s="5">
        <v>43553</v>
      </c>
      <c r="H974" s="6">
        <v>0.82638888888888884</v>
      </c>
      <c r="I974" t="s">
        <v>698</v>
      </c>
      <c r="J974" t="s">
        <v>1582</v>
      </c>
      <c r="K974" t="s">
        <v>595</v>
      </c>
      <c r="M974" t="s">
        <v>138</v>
      </c>
    </row>
    <row r="975" spans="1:13" x14ac:dyDescent="0.25">
      <c r="A975" t="s">
        <v>1436</v>
      </c>
      <c r="B975" t="s">
        <v>0</v>
      </c>
      <c r="C975" t="s">
        <v>593</v>
      </c>
      <c r="D975" t="s">
        <v>594</v>
      </c>
      <c r="E975" t="s">
        <v>18</v>
      </c>
      <c r="F975" s="5">
        <v>43492</v>
      </c>
      <c r="G975" s="5">
        <v>43548</v>
      </c>
      <c r="H975" s="6">
        <v>0.93055555555555547</v>
      </c>
      <c r="I975" t="s">
        <v>14</v>
      </c>
      <c r="J975" t="s">
        <v>1582</v>
      </c>
      <c r="K975" t="s">
        <v>595</v>
      </c>
      <c r="M975" t="s">
        <v>138</v>
      </c>
    </row>
    <row r="976" spans="1:13" x14ac:dyDescent="0.25">
      <c r="A976" t="s">
        <v>1436</v>
      </c>
      <c r="B976" t="s">
        <v>0</v>
      </c>
      <c r="C976" t="s">
        <v>593</v>
      </c>
      <c r="D976" t="s">
        <v>594</v>
      </c>
      <c r="E976" t="s">
        <v>109</v>
      </c>
      <c r="F976" s="5">
        <v>43403</v>
      </c>
      <c r="G976" s="5">
        <v>43552</v>
      </c>
      <c r="H976" s="6">
        <v>0.97222222222222221</v>
      </c>
      <c r="I976" t="s">
        <v>14</v>
      </c>
      <c r="J976" t="s">
        <v>1583</v>
      </c>
      <c r="K976" t="s">
        <v>595</v>
      </c>
      <c r="M976" t="s">
        <v>138</v>
      </c>
    </row>
    <row r="977" spans="1:13" x14ac:dyDescent="0.25">
      <c r="A977" t="s">
        <v>1436</v>
      </c>
      <c r="B977" t="s">
        <v>0</v>
      </c>
      <c r="C977" t="s">
        <v>593</v>
      </c>
      <c r="D977" t="s">
        <v>594</v>
      </c>
      <c r="E977" t="s">
        <v>190</v>
      </c>
      <c r="F977" s="5">
        <v>43407</v>
      </c>
      <c r="G977" s="5">
        <v>43554</v>
      </c>
      <c r="H977" s="6">
        <v>0.97222222222222221</v>
      </c>
      <c r="I977" t="s">
        <v>14</v>
      </c>
      <c r="J977" t="s">
        <v>1583</v>
      </c>
      <c r="K977" t="s">
        <v>595</v>
      </c>
      <c r="M977" t="s">
        <v>138</v>
      </c>
    </row>
    <row r="978" spans="1:13" x14ac:dyDescent="0.25">
      <c r="A978" t="s">
        <v>1436</v>
      </c>
      <c r="B978" t="s">
        <v>0</v>
      </c>
      <c r="C978" t="s">
        <v>593</v>
      </c>
      <c r="D978" t="s">
        <v>594</v>
      </c>
      <c r="E978" t="s">
        <v>59</v>
      </c>
      <c r="F978" s="5">
        <v>43472</v>
      </c>
      <c r="G978" s="5">
        <v>43549</v>
      </c>
      <c r="H978" s="6">
        <v>0.97222222222222221</v>
      </c>
      <c r="I978" t="s">
        <v>14</v>
      </c>
      <c r="J978" t="s">
        <v>1583</v>
      </c>
      <c r="K978" t="s">
        <v>595</v>
      </c>
      <c r="M978" t="s">
        <v>138</v>
      </c>
    </row>
    <row r="979" spans="1:13" x14ac:dyDescent="0.25">
      <c r="A979" t="s">
        <v>1436</v>
      </c>
      <c r="B979" t="s">
        <v>0</v>
      </c>
      <c r="C979" t="s">
        <v>1258</v>
      </c>
      <c r="D979" t="s">
        <v>1259</v>
      </c>
      <c r="E979" t="s">
        <v>59</v>
      </c>
      <c r="F979" s="5">
        <v>43402</v>
      </c>
      <c r="G979" s="5">
        <v>43549</v>
      </c>
      <c r="H979" s="6">
        <v>0.375</v>
      </c>
      <c r="I979" t="s">
        <v>14</v>
      </c>
      <c r="J979" t="s">
        <v>1584</v>
      </c>
      <c r="K979" t="s">
        <v>544</v>
      </c>
      <c r="M979" t="s">
        <v>138</v>
      </c>
    </row>
    <row r="980" spans="1:13" x14ac:dyDescent="0.25">
      <c r="A980" t="s">
        <v>1436</v>
      </c>
      <c r="B980" t="s">
        <v>0</v>
      </c>
      <c r="C980" t="s">
        <v>399</v>
      </c>
      <c r="D980" t="s">
        <v>400</v>
      </c>
      <c r="E980" t="s">
        <v>19</v>
      </c>
      <c r="F980" s="5">
        <v>43459</v>
      </c>
      <c r="G980" s="5">
        <v>43543</v>
      </c>
      <c r="H980" s="6">
        <v>0.54861111111111105</v>
      </c>
      <c r="I980">
        <v>738</v>
      </c>
      <c r="J980" t="s">
        <v>1843</v>
      </c>
      <c r="K980" t="s">
        <v>129</v>
      </c>
      <c r="M980" t="s">
        <v>138</v>
      </c>
    </row>
    <row r="981" spans="1:13" x14ac:dyDescent="0.25">
      <c r="A981" t="s">
        <v>1436</v>
      </c>
      <c r="B981" t="s">
        <v>0</v>
      </c>
      <c r="C981" t="s">
        <v>1030</v>
      </c>
      <c r="D981" t="s">
        <v>1031</v>
      </c>
      <c r="E981" t="s">
        <v>19</v>
      </c>
      <c r="F981" s="5">
        <v>43466</v>
      </c>
      <c r="G981" s="5">
        <v>43550</v>
      </c>
      <c r="H981" s="6">
        <v>0.65972222222222221</v>
      </c>
      <c r="I981">
        <v>321</v>
      </c>
      <c r="J981" t="s">
        <v>1844</v>
      </c>
      <c r="K981" t="s">
        <v>1032</v>
      </c>
      <c r="M981" t="s">
        <v>138</v>
      </c>
    </row>
    <row r="982" spans="1:13" x14ac:dyDescent="0.25">
      <c r="A982" t="s">
        <v>1436</v>
      </c>
      <c r="B982" t="s">
        <v>0</v>
      </c>
      <c r="C982" t="s">
        <v>599</v>
      </c>
      <c r="D982" t="s">
        <v>600</v>
      </c>
      <c r="E982" t="s">
        <v>144</v>
      </c>
      <c r="F982" s="5">
        <v>43401</v>
      </c>
      <c r="G982" s="5">
        <v>43554</v>
      </c>
      <c r="H982" s="6">
        <v>0.30555555555555552</v>
      </c>
      <c r="I982" t="s">
        <v>139</v>
      </c>
      <c r="J982" t="s">
        <v>601</v>
      </c>
      <c r="K982" t="s">
        <v>1533</v>
      </c>
      <c r="M982" t="s">
        <v>138</v>
      </c>
    </row>
    <row r="983" spans="1:13" x14ac:dyDescent="0.25">
      <c r="A983" t="s">
        <v>1436</v>
      </c>
      <c r="B983" t="s">
        <v>0</v>
      </c>
      <c r="C983" t="s">
        <v>599</v>
      </c>
      <c r="D983" t="s">
        <v>600</v>
      </c>
      <c r="E983" t="s">
        <v>109</v>
      </c>
      <c r="F983" s="5">
        <v>43403</v>
      </c>
      <c r="G983" s="5">
        <v>43552</v>
      </c>
      <c r="H983" s="6">
        <v>0.66666666666666663</v>
      </c>
      <c r="I983" t="s">
        <v>139</v>
      </c>
      <c r="J983" t="s">
        <v>603</v>
      </c>
      <c r="K983" t="s">
        <v>1533</v>
      </c>
      <c r="M983" t="s">
        <v>138</v>
      </c>
    </row>
    <row r="984" spans="1:13" x14ac:dyDescent="0.25">
      <c r="A984" t="s">
        <v>1436</v>
      </c>
      <c r="B984" t="s">
        <v>0</v>
      </c>
      <c r="C984" t="s">
        <v>599</v>
      </c>
      <c r="D984" t="s">
        <v>600</v>
      </c>
      <c r="E984" t="s">
        <v>20</v>
      </c>
      <c r="F984" s="5">
        <v>43460</v>
      </c>
      <c r="G984" s="5">
        <v>43551</v>
      </c>
      <c r="H984" s="6">
        <v>0.66666666666666663</v>
      </c>
      <c r="I984" t="s">
        <v>139</v>
      </c>
      <c r="J984" t="s">
        <v>603</v>
      </c>
      <c r="K984" t="s">
        <v>1533</v>
      </c>
      <c r="M984" t="s">
        <v>138</v>
      </c>
    </row>
    <row r="985" spans="1:13" x14ac:dyDescent="0.25">
      <c r="A985" t="s">
        <v>1436</v>
      </c>
      <c r="B985" t="s">
        <v>0</v>
      </c>
      <c r="C985" t="s">
        <v>599</v>
      </c>
      <c r="D985" t="s">
        <v>600</v>
      </c>
      <c r="E985" t="s">
        <v>22</v>
      </c>
      <c r="F985" s="5">
        <v>43477</v>
      </c>
      <c r="G985" s="5">
        <v>43554</v>
      </c>
      <c r="H985" s="6">
        <v>0.71180555555555547</v>
      </c>
      <c r="I985" t="s">
        <v>139</v>
      </c>
      <c r="J985" t="s">
        <v>602</v>
      </c>
      <c r="K985" t="s">
        <v>1533</v>
      </c>
      <c r="M985" t="s">
        <v>138</v>
      </c>
    </row>
    <row r="986" spans="1:13" x14ac:dyDescent="0.25">
      <c r="A986" t="s">
        <v>1436</v>
      </c>
      <c r="B986" t="s">
        <v>0</v>
      </c>
      <c r="C986" t="s">
        <v>599</v>
      </c>
      <c r="D986" t="s">
        <v>600</v>
      </c>
      <c r="E986" t="s">
        <v>48</v>
      </c>
      <c r="F986" s="5">
        <v>43406</v>
      </c>
      <c r="G986" s="5">
        <v>43553</v>
      </c>
      <c r="H986" s="6">
        <v>0.71527777777777779</v>
      </c>
      <c r="I986" t="s">
        <v>139</v>
      </c>
      <c r="J986" t="s">
        <v>602</v>
      </c>
      <c r="K986" t="s">
        <v>1533</v>
      </c>
      <c r="M986" t="s">
        <v>138</v>
      </c>
    </row>
    <row r="987" spans="1:13" x14ac:dyDescent="0.25">
      <c r="A987" t="s">
        <v>1436</v>
      </c>
      <c r="B987" t="s">
        <v>0</v>
      </c>
      <c r="C987" t="s">
        <v>599</v>
      </c>
      <c r="D987" t="s">
        <v>600</v>
      </c>
      <c r="E987" t="s">
        <v>18</v>
      </c>
      <c r="F987" s="5">
        <v>43478</v>
      </c>
      <c r="G987" s="5">
        <v>43520</v>
      </c>
      <c r="H987" s="6">
        <v>0.71527777777777779</v>
      </c>
      <c r="I987" t="s">
        <v>139</v>
      </c>
      <c r="J987" t="s">
        <v>602</v>
      </c>
      <c r="K987" t="s">
        <v>1533</v>
      </c>
      <c r="M987" t="s">
        <v>138</v>
      </c>
    </row>
    <row r="988" spans="1:13" x14ac:dyDescent="0.25">
      <c r="A988" t="s">
        <v>1436</v>
      </c>
      <c r="B988" t="s">
        <v>0</v>
      </c>
      <c r="C988" t="s">
        <v>599</v>
      </c>
      <c r="D988" t="s">
        <v>600</v>
      </c>
      <c r="E988" t="s">
        <v>59</v>
      </c>
      <c r="F988" s="5">
        <v>43402</v>
      </c>
      <c r="G988" s="5">
        <v>43549</v>
      </c>
      <c r="H988" s="6">
        <v>0.72222222222222221</v>
      </c>
      <c r="I988" t="s">
        <v>139</v>
      </c>
      <c r="J988" t="s">
        <v>603</v>
      </c>
      <c r="K988" t="s">
        <v>1533</v>
      </c>
      <c r="M988" t="s">
        <v>138</v>
      </c>
    </row>
    <row r="989" spans="1:13" x14ac:dyDescent="0.25">
      <c r="A989" t="s">
        <v>1436</v>
      </c>
      <c r="B989" t="s">
        <v>0</v>
      </c>
      <c r="C989" t="s">
        <v>599</v>
      </c>
      <c r="D989" t="s">
        <v>600</v>
      </c>
      <c r="E989" t="s">
        <v>18</v>
      </c>
      <c r="F989" s="5">
        <v>43478</v>
      </c>
      <c r="G989" s="5">
        <v>43520</v>
      </c>
      <c r="H989" s="6">
        <v>0.74652777777777779</v>
      </c>
      <c r="I989" t="s">
        <v>139</v>
      </c>
      <c r="J989" t="s">
        <v>603</v>
      </c>
      <c r="K989" t="s">
        <v>1533</v>
      </c>
      <c r="M989" t="s">
        <v>138</v>
      </c>
    </row>
    <row r="990" spans="1:13" x14ac:dyDescent="0.25">
      <c r="A990" t="s">
        <v>1436</v>
      </c>
      <c r="B990" t="s">
        <v>0</v>
      </c>
      <c r="C990" t="s">
        <v>599</v>
      </c>
      <c r="D990" t="s">
        <v>600</v>
      </c>
      <c r="E990" t="s">
        <v>48</v>
      </c>
      <c r="F990" s="5">
        <v>43448</v>
      </c>
      <c r="G990" s="5">
        <v>43553</v>
      </c>
      <c r="H990" s="6">
        <v>0.76388888888888884</v>
      </c>
      <c r="I990" t="s">
        <v>139</v>
      </c>
      <c r="J990" t="s">
        <v>603</v>
      </c>
      <c r="K990" t="s">
        <v>1533</v>
      </c>
      <c r="M990" t="s">
        <v>138</v>
      </c>
    </row>
    <row r="991" spans="1:13" x14ac:dyDescent="0.25">
      <c r="A991" t="s">
        <v>1436</v>
      </c>
      <c r="B991" t="s">
        <v>0</v>
      </c>
      <c r="C991" t="s">
        <v>599</v>
      </c>
      <c r="D991" t="s">
        <v>600</v>
      </c>
      <c r="E991" t="s">
        <v>755</v>
      </c>
      <c r="F991" s="5">
        <v>43402</v>
      </c>
      <c r="G991" s="5">
        <v>43554</v>
      </c>
      <c r="H991" s="6">
        <v>0.82986111111111116</v>
      </c>
      <c r="I991" t="s">
        <v>139</v>
      </c>
      <c r="J991" t="s">
        <v>604</v>
      </c>
      <c r="K991" t="s">
        <v>1533</v>
      </c>
      <c r="M991" t="s">
        <v>138</v>
      </c>
    </row>
    <row r="992" spans="1:13" x14ac:dyDescent="0.25">
      <c r="A992" t="s">
        <v>1436</v>
      </c>
      <c r="B992" t="s">
        <v>0</v>
      </c>
      <c r="C992" t="s">
        <v>599</v>
      </c>
      <c r="D992" t="s">
        <v>600</v>
      </c>
      <c r="E992" t="s">
        <v>13</v>
      </c>
      <c r="F992" s="5">
        <v>43447</v>
      </c>
      <c r="G992" s="5">
        <v>43552</v>
      </c>
      <c r="H992" s="6">
        <v>0.82986111111111116</v>
      </c>
      <c r="I992" t="s">
        <v>139</v>
      </c>
      <c r="J992" t="s">
        <v>604</v>
      </c>
      <c r="K992" t="s">
        <v>1533</v>
      </c>
      <c r="M992" t="s">
        <v>138</v>
      </c>
    </row>
    <row r="993" spans="1:13" x14ac:dyDescent="0.25">
      <c r="A993" t="s">
        <v>1436</v>
      </c>
      <c r="B993" t="s">
        <v>0</v>
      </c>
      <c r="C993" t="s">
        <v>599</v>
      </c>
      <c r="D993" t="s">
        <v>600</v>
      </c>
      <c r="E993" t="s">
        <v>20</v>
      </c>
      <c r="F993" s="5">
        <v>43474</v>
      </c>
      <c r="G993" s="5">
        <v>43523</v>
      </c>
      <c r="H993" s="6">
        <v>0.82986111111111116</v>
      </c>
      <c r="I993" t="s">
        <v>139</v>
      </c>
      <c r="J993" t="s">
        <v>604</v>
      </c>
      <c r="K993" t="s">
        <v>1533</v>
      </c>
      <c r="M993" t="s">
        <v>138</v>
      </c>
    </row>
    <row r="994" spans="1:13" x14ac:dyDescent="0.25">
      <c r="A994" t="s">
        <v>1436</v>
      </c>
      <c r="B994" t="s">
        <v>0</v>
      </c>
      <c r="C994" t="s">
        <v>599</v>
      </c>
      <c r="D994" t="s">
        <v>600</v>
      </c>
      <c r="E994" t="s">
        <v>48</v>
      </c>
      <c r="F994" s="5">
        <v>43455</v>
      </c>
      <c r="G994" s="5">
        <v>43553</v>
      </c>
      <c r="H994" s="6">
        <v>0.83333333333333337</v>
      </c>
      <c r="I994" t="s">
        <v>141</v>
      </c>
      <c r="J994" t="s">
        <v>604</v>
      </c>
      <c r="K994" t="s">
        <v>1533</v>
      </c>
      <c r="M994" t="s">
        <v>138</v>
      </c>
    </row>
    <row r="995" spans="1:13" x14ac:dyDescent="0.25">
      <c r="A995" t="s">
        <v>1436</v>
      </c>
      <c r="B995" t="s">
        <v>0</v>
      </c>
      <c r="C995" t="s">
        <v>599</v>
      </c>
      <c r="D995" t="s">
        <v>600</v>
      </c>
      <c r="E995" t="s">
        <v>18</v>
      </c>
      <c r="F995" s="5">
        <v>43478</v>
      </c>
      <c r="G995" s="5">
        <v>43520</v>
      </c>
      <c r="H995" s="6">
        <v>0.83680555555555547</v>
      </c>
      <c r="I995" t="s">
        <v>141</v>
      </c>
      <c r="J995" t="s">
        <v>604</v>
      </c>
      <c r="K995" t="s">
        <v>1533</v>
      </c>
      <c r="M995" t="s">
        <v>138</v>
      </c>
    </row>
    <row r="996" spans="1:13" x14ac:dyDescent="0.25">
      <c r="A996" t="s">
        <v>1436</v>
      </c>
      <c r="B996" t="s">
        <v>0</v>
      </c>
      <c r="C996" t="s">
        <v>605</v>
      </c>
      <c r="D996" t="s">
        <v>606</v>
      </c>
      <c r="E996" t="s">
        <v>673</v>
      </c>
      <c r="F996" s="5">
        <v>43405</v>
      </c>
      <c r="G996" s="5">
        <v>43553</v>
      </c>
      <c r="H996" s="6">
        <v>0.51041666666666663</v>
      </c>
      <c r="I996" t="s">
        <v>139</v>
      </c>
      <c r="J996" t="s">
        <v>607</v>
      </c>
      <c r="K996" t="s">
        <v>468</v>
      </c>
      <c r="M996" t="s">
        <v>138</v>
      </c>
    </row>
    <row r="997" spans="1:13" x14ac:dyDescent="0.25">
      <c r="A997" t="s">
        <v>1436</v>
      </c>
      <c r="B997" t="s">
        <v>0</v>
      </c>
      <c r="C997" t="s">
        <v>605</v>
      </c>
      <c r="D997" t="s">
        <v>606</v>
      </c>
      <c r="E997" t="s">
        <v>18</v>
      </c>
      <c r="F997" s="5">
        <v>43401</v>
      </c>
      <c r="G997" s="5">
        <v>43548</v>
      </c>
      <c r="H997" s="6">
        <v>0.52083333333333337</v>
      </c>
      <c r="I997" t="s">
        <v>139</v>
      </c>
      <c r="J997" t="s">
        <v>607</v>
      </c>
      <c r="K997" t="s">
        <v>468</v>
      </c>
      <c r="M997" t="s">
        <v>138</v>
      </c>
    </row>
    <row r="998" spans="1:13" x14ac:dyDescent="0.25">
      <c r="A998" t="s">
        <v>1436</v>
      </c>
      <c r="B998" t="s">
        <v>0</v>
      </c>
      <c r="C998" t="s">
        <v>605</v>
      </c>
      <c r="D998" t="s">
        <v>606</v>
      </c>
      <c r="E998" t="s">
        <v>19</v>
      </c>
      <c r="F998" s="5">
        <v>43487</v>
      </c>
      <c r="G998" s="5">
        <v>43522</v>
      </c>
      <c r="H998" s="6">
        <v>0.52083333333333337</v>
      </c>
      <c r="I998" t="s">
        <v>139</v>
      </c>
      <c r="J998" t="s">
        <v>607</v>
      </c>
      <c r="K998" t="s">
        <v>468</v>
      </c>
      <c r="M998" t="s">
        <v>138</v>
      </c>
    </row>
    <row r="999" spans="1:13" x14ac:dyDescent="0.25">
      <c r="A999" t="s">
        <v>1436</v>
      </c>
      <c r="B999" t="s">
        <v>0</v>
      </c>
      <c r="C999" t="s">
        <v>605</v>
      </c>
      <c r="D999" t="s">
        <v>606</v>
      </c>
      <c r="E999" t="s">
        <v>929</v>
      </c>
      <c r="F999" s="5">
        <v>43507</v>
      </c>
      <c r="G999" s="5">
        <v>43532</v>
      </c>
      <c r="H999" s="6">
        <v>0.82638888888888884</v>
      </c>
      <c r="I999">
        <v>738</v>
      </c>
      <c r="J999" t="s">
        <v>608</v>
      </c>
      <c r="K999" t="s">
        <v>468</v>
      </c>
      <c r="M999" t="s">
        <v>138</v>
      </c>
    </row>
    <row r="1000" spans="1:13" x14ac:dyDescent="0.25">
      <c r="A1000" t="s">
        <v>1436</v>
      </c>
      <c r="B1000" t="s">
        <v>0</v>
      </c>
      <c r="C1000" t="s">
        <v>609</v>
      </c>
      <c r="D1000" t="s">
        <v>17</v>
      </c>
      <c r="E1000" t="s">
        <v>13</v>
      </c>
      <c r="F1000" s="5">
        <v>43454</v>
      </c>
      <c r="G1000" s="5">
        <v>43552</v>
      </c>
      <c r="H1000" s="6">
        <v>0.28819444444444448</v>
      </c>
      <c r="I1000" t="s">
        <v>141</v>
      </c>
      <c r="J1000" t="s">
        <v>610</v>
      </c>
      <c r="K1000" t="s">
        <v>1533</v>
      </c>
      <c r="M1000" t="s">
        <v>138</v>
      </c>
    </row>
    <row r="1001" spans="1:13" x14ac:dyDescent="0.25">
      <c r="A1001" t="s">
        <v>1436</v>
      </c>
      <c r="B1001" t="s">
        <v>0</v>
      </c>
      <c r="C1001" t="s">
        <v>609</v>
      </c>
      <c r="D1001" t="s">
        <v>17</v>
      </c>
      <c r="E1001" t="s">
        <v>659</v>
      </c>
      <c r="F1001" s="5">
        <v>43402</v>
      </c>
      <c r="G1001" s="5">
        <v>43554</v>
      </c>
      <c r="H1001" s="6">
        <v>0.29166666666666669</v>
      </c>
      <c r="I1001" t="s">
        <v>141</v>
      </c>
      <c r="J1001" t="s">
        <v>610</v>
      </c>
      <c r="K1001" t="s">
        <v>1533</v>
      </c>
      <c r="M1001" t="s">
        <v>138</v>
      </c>
    </row>
    <row r="1002" spans="1:13" x14ac:dyDescent="0.25">
      <c r="A1002" t="s">
        <v>1436</v>
      </c>
      <c r="B1002" t="s">
        <v>0</v>
      </c>
      <c r="C1002" t="s">
        <v>609</v>
      </c>
      <c r="D1002" t="s">
        <v>17</v>
      </c>
      <c r="E1002" t="s">
        <v>48</v>
      </c>
      <c r="F1002" s="5">
        <v>43455</v>
      </c>
      <c r="G1002" s="5">
        <v>43553</v>
      </c>
      <c r="H1002" s="6">
        <v>0.29166666666666669</v>
      </c>
      <c r="I1002" t="s">
        <v>141</v>
      </c>
      <c r="J1002" t="s">
        <v>610</v>
      </c>
      <c r="K1002" t="s">
        <v>1533</v>
      </c>
      <c r="M1002" t="s">
        <v>138</v>
      </c>
    </row>
    <row r="1003" spans="1:13" x14ac:dyDescent="0.25">
      <c r="A1003" t="s">
        <v>1436</v>
      </c>
      <c r="B1003" t="s">
        <v>0</v>
      </c>
      <c r="C1003" t="s">
        <v>609</v>
      </c>
      <c r="D1003" t="s">
        <v>17</v>
      </c>
      <c r="E1003" t="s">
        <v>18</v>
      </c>
      <c r="F1003" s="5">
        <v>43478</v>
      </c>
      <c r="G1003" s="5">
        <v>43548</v>
      </c>
      <c r="H1003" s="6">
        <v>0.29166666666666669</v>
      </c>
      <c r="I1003" t="s">
        <v>141</v>
      </c>
      <c r="J1003" t="s">
        <v>610</v>
      </c>
      <c r="K1003" t="s">
        <v>1533</v>
      </c>
      <c r="M1003" t="s">
        <v>138</v>
      </c>
    </row>
    <row r="1004" spans="1:13" x14ac:dyDescent="0.25">
      <c r="A1004" t="s">
        <v>1436</v>
      </c>
      <c r="B1004" t="s">
        <v>0</v>
      </c>
      <c r="C1004" t="s">
        <v>609</v>
      </c>
      <c r="D1004" t="s">
        <v>17</v>
      </c>
      <c r="E1004" t="s">
        <v>19</v>
      </c>
      <c r="F1004" s="5">
        <v>43487</v>
      </c>
      <c r="G1004" s="5">
        <v>43522</v>
      </c>
      <c r="H1004" s="6">
        <v>0.29166666666666669</v>
      </c>
      <c r="I1004" t="s">
        <v>141</v>
      </c>
      <c r="J1004" t="s">
        <v>610</v>
      </c>
      <c r="K1004" t="s">
        <v>1533</v>
      </c>
      <c r="M1004" t="s">
        <v>138</v>
      </c>
    </row>
    <row r="1005" spans="1:13" x14ac:dyDescent="0.25">
      <c r="A1005" t="s">
        <v>1436</v>
      </c>
      <c r="B1005" t="s">
        <v>0</v>
      </c>
      <c r="C1005" t="s">
        <v>609</v>
      </c>
      <c r="D1005" t="s">
        <v>17</v>
      </c>
      <c r="E1005" t="s">
        <v>144</v>
      </c>
      <c r="F1005" s="5">
        <v>43401</v>
      </c>
      <c r="G1005" s="5">
        <v>43554</v>
      </c>
      <c r="H1005" s="6">
        <v>0.30902777777777779</v>
      </c>
      <c r="I1005" t="s">
        <v>139</v>
      </c>
      <c r="J1005" t="s">
        <v>611</v>
      </c>
      <c r="K1005" t="s">
        <v>1533</v>
      </c>
      <c r="M1005" t="s">
        <v>138</v>
      </c>
    </row>
    <row r="1006" spans="1:13" x14ac:dyDescent="0.25">
      <c r="A1006" t="s">
        <v>1436</v>
      </c>
      <c r="B1006" t="s">
        <v>0</v>
      </c>
      <c r="C1006" t="s">
        <v>609</v>
      </c>
      <c r="D1006" t="s">
        <v>17</v>
      </c>
      <c r="E1006" t="s">
        <v>20</v>
      </c>
      <c r="F1006" s="5">
        <v>43404</v>
      </c>
      <c r="G1006" s="5">
        <v>43551</v>
      </c>
      <c r="H1006" s="6">
        <v>0.3125</v>
      </c>
      <c r="I1006" t="s">
        <v>139</v>
      </c>
      <c r="J1006" t="s">
        <v>612</v>
      </c>
      <c r="K1006" t="s">
        <v>1533</v>
      </c>
      <c r="M1006" t="s">
        <v>138</v>
      </c>
    </row>
    <row r="1007" spans="1:13" x14ac:dyDescent="0.25">
      <c r="A1007" t="s">
        <v>1436</v>
      </c>
      <c r="B1007" t="s">
        <v>0</v>
      </c>
      <c r="C1007" t="s">
        <v>609</v>
      </c>
      <c r="D1007" t="s">
        <v>17</v>
      </c>
      <c r="E1007" t="s">
        <v>146</v>
      </c>
      <c r="F1007" s="5">
        <v>43472</v>
      </c>
      <c r="G1007" s="5">
        <v>43522</v>
      </c>
      <c r="H1007" s="6">
        <v>0.3125</v>
      </c>
      <c r="I1007" t="s">
        <v>139</v>
      </c>
      <c r="J1007" t="s">
        <v>612</v>
      </c>
      <c r="K1007" t="s">
        <v>1533</v>
      </c>
      <c r="M1007" t="s">
        <v>138</v>
      </c>
    </row>
    <row r="1008" spans="1:13" x14ac:dyDescent="0.25">
      <c r="A1008" t="s">
        <v>1436</v>
      </c>
      <c r="B1008" t="s">
        <v>0</v>
      </c>
      <c r="C1008" t="s">
        <v>609</v>
      </c>
      <c r="D1008" t="s">
        <v>17</v>
      </c>
      <c r="E1008" t="s">
        <v>805</v>
      </c>
      <c r="F1008" s="5">
        <v>43404</v>
      </c>
      <c r="G1008" s="5">
        <v>43553</v>
      </c>
      <c r="H1008" s="6">
        <v>0.34375</v>
      </c>
      <c r="I1008" t="s">
        <v>139</v>
      </c>
      <c r="J1008" t="s">
        <v>613</v>
      </c>
      <c r="K1008" t="s">
        <v>1533</v>
      </c>
      <c r="M1008" t="s">
        <v>138</v>
      </c>
    </row>
    <row r="1009" spans="1:13" x14ac:dyDescent="0.25">
      <c r="A1009" t="s">
        <v>1436</v>
      </c>
      <c r="B1009" t="s">
        <v>0</v>
      </c>
      <c r="C1009" t="s">
        <v>609</v>
      </c>
      <c r="D1009" t="s">
        <v>17</v>
      </c>
      <c r="E1009" t="s">
        <v>22</v>
      </c>
      <c r="F1009" s="5">
        <v>43407</v>
      </c>
      <c r="G1009" s="5">
        <v>43554</v>
      </c>
      <c r="H1009" s="6">
        <v>0.34375</v>
      </c>
      <c r="I1009" t="s">
        <v>139</v>
      </c>
      <c r="J1009" t="s">
        <v>614</v>
      </c>
      <c r="K1009" t="s">
        <v>1533</v>
      </c>
      <c r="M1009" t="s">
        <v>138</v>
      </c>
    </row>
    <row r="1010" spans="1:13" x14ac:dyDescent="0.25">
      <c r="A1010" t="s">
        <v>1436</v>
      </c>
      <c r="B1010" t="s">
        <v>0</v>
      </c>
      <c r="C1010" t="s">
        <v>609</v>
      </c>
      <c r="D1010" t="s">
        <v>17</v>
      </c>
      <c r="E1010" t="s">
        <v>146</v>
      </c>
      <c r="F1010" s="5">
        <v>43472</v>
      </c>
      <c r="G1010" s="5">
        <v>43550</v>
      </c>
      <c r="H1010" s="6">
        <v>0.34375</v>
      </c>
      <c r="I1010" t="s">
        <v>139</v>
      </c>
      <c r="J1010" t="s">
        <v>613</v>
      </c>
      <c r="K1010" t="s">
        <v>1533</v>
      </c>
      <c r="M1010" t="s">
        <v>138</v>
      </c>
    </row>
    <row r="1011" spans="1:13" x14ac:dyDescent="0.25">
      <c r="A1011" t="s">
        <v>1436</v>
      </c>
      <c r="B1011" t="s">
        <v>0</v>
      </c>
      <c r="C1011" t="s">
        <v>609</v>
      </c>
      <c r="D1011" t="s">
        <v>17</v>
      </c>
      <c r="E1011" t="s">
        <v>1454</v>
      </c>
      <c r="F1011" s="5">
        <v>43404</v>
      </c>
      <c r="G1011" s="5">
        <v>43554</v>
      </c>
      <c r="H1011" s="6">
        <v>0.3888888888888889</v>
      </c>
      <c r="I1011" t="s">
        <v>139</v>
      </c>
      <c r="J1011" t="s">
        <v>616</v>
      </c>
      <c r="K1011" t="s">
        <v>1533</v>
      </c>
      <c r="M1011" t="s">
        <v>138</v>
      </c>
    </row>
    <row r="1012" spans="1:13" x14ac:dyDescent="0.25">
      <c r="A1012" t="s">
        <v>1436</v>
      </c>
      <c r="B1012" t="s">
        <v>0</v>
      </c>
      <c r="C1012" t="s">
        <v>609</v>
      </c>
      <c r="D1012" t="s">
        <v>17</v>
      </c>
      <c r="E1012" t="s">
        <v>875</v>
      </c>
      <c r="F1012" s="5">
        <v>43471</v>
      </c>
      <c r="G1012" s="5">
        <v>43550</v>
      </c>
      <c r="H1012" s="6">
        <v>0.3888888888888889</v>
      </c>
      <c r="I1012" t="s">
        <v>139</v>
      </c>
      <c r="J1012" t="s">
        <v>616</v>
      </c>
      <c r="K1012" t="s">
        <v>1533</v>
      </c>
      <c r="M1012" t="s">
        <v>138</v>
      </c>
    </row>
    <row r="1013" spans="1:13" x14ac:dyDescent="0.25">
      <c r="A1013" t="s">
        <v>1436</v>
      </c>
      <c r="B1013" t="s">
        <v>0</v>
      </c>
      <c r="C1013" t="s">
        <v>609</v>
      </c>
      <c r="D1013" t="s">
        <v>17</v>
      </c>
      <c r="E1013" t="s">
        <v>163</v>
      </c>
      <c r="F1013" s="5">
        <v>43402</v>
      </c>
      <c r="G1013" s="5">
        <v>43552</v>
      </c>
      <c r="H1013" s="6">
        <v>0.39583333333333331</v>
      </c>
      <c r="I1013" t="s">
        <v>139</v>
      </c>
      <c r="J1013" t="s">
        <v>617</v>
      </c>
      <c r="K1013" t="s">
        <v>1533</v>
      </c>
      <c r="M1013" t="s">
        <v>138</v>
      </c>
    </row>
    <row r="1014" spans="1:13" x14ac:dyDescent="0.25">
      <c r="A1014" t="s">
        <v>1436</v>
      </c>
      <c r="B1014" t="s">
        <v>0</v>
      </c>
      <c r="C1014" t="s">
        <v>609</v>
      </c>
      <c r="D1014" t="s">
        <v>17</v>
      </c>
      <c r="E1014" t="s">
        <v>18</v>
      </c>
      <c r="F1014" s="5">
        <v>43478</v>
      </c>
      <c r="G1014" s="5">
        <v>43548</v>
      </c>
      <c r="H1014" s="6">
        <v>0.39583333333333331</v>
      </c>
      <c r="I1014" t="s">
        <v>139</v>
      </c>
      <c r="J1014" t="s">
        <v>618</v>
      </c>
      <c r="K1014" t="s">
        <v>1533</v>
      </c>
      <c r="M1014" t="s">
        <v>138</v>
      </c>
    </row>
    <row r="1015" spans="1:13" x14ac:dyDescent="0.25">
      <c r="A1015" t="s">
        <v>1436</v>
      </c>
      <c r="B1015" t="s">
        <v>0</v>
      </c>
      <c r="C1015" t="s">
        <v>609</v>
      </c>
      <c r="D1015" t="s">
        <v>17</v>
      </c>
      <c r="E1015" t="s">
        <v>19</v>
      </c>
      <c r="F1015" s="5">
        <v>43487</v>
      </c>
      <c r="G1015" s="5">
        <v>43522</v>
      </c>
      <c r="H1015" s="6">
        <v>0.39583333333333331</v>
      </c>
      <c r="I1015" t="s">
        <v>139</v>
      </c>
      <c r="J1015" t="s">
        <v>617</v>
      </c>
      <c r="K1015" t="s">
        <v>1533</v>
      </c>
      <c r="M1015" t="s">
        <v>138</v>
      </c>
    </row>
    <row r="1016" spans="1:13" x14ac:dyDescent="0.25">
      <c r="A1016" t="s">
        <v>1436</v>
      </c>
      <c r="B1016" t="s">
        <v>0</v>
      </c>
      <c r="C1016" t="s">
        <v>609</v>
      </c>
      <c r="D1016" t="s">
        <v>17</v>
      </c>
      <c r="E1016" t="s">
        <v>144</v>
      </c>
      <c r="F1016" s="5">
        <v>43473</v>
      </c>
      <c r="G1016" s="5">
        <v>43554</v>
      </c>
      <c r="H1016" s="6">
        <v>0.40277777777777773</v>
      </c>
      <c r="I1016" t="s">
        <v>139</v>
      </c>
      <c r="J1016" t="s">
        <v>620</v>
      </c>
      <c r="K1016" t="s">
        <v>1533</v>
      </c>
      <c r="M1016" t="s">
        <v>138</v>
      </c>
    </row>
    <row r="1017" spans="1:13" x14ac:dyDescent="0.25">
      <c r="A1017" t="s">
        <v>1436</v>
      </c>
      <c r="B1017" t="s">
        <v>0</v>
      </c>
      <c r="C1017" t="s">
        <v>609</v>
      </c>
      <c r="D1017" t="s">
        <v>17</v>
      </c>
      <c r="E1017" t="s">
        <v>132</v>
      </c>
      <c r="F1017" s="5">
        <v>43404</v>
      </c>
      <c r="G1017" s="5">
        <v>43553</v>
      </c>
      <c r="H1017" s="6">
        <v>0.44791666666666669</v>
      </c>
      <c r="I1017" t="s">
        <v>139</v>
      </c>
      <c r="J1017" t="s">
        <v>618</v>
      </c>
      <c r="K1017" t="s">
        <v>1533</v>
      </c>
      <c r="M1017" t="s">
        <v>138</v>
      </c>
    </row>
    <row r="1018" spans="1:13" x14ac:dyDescent="0.25">
      <c r="A1018" t="s">
        <v>1436</v>
      </c>
      <c r="B1018" t="s">
        <v>0</v>
      </c>
      <c r="C1018" t="s">
        <v>609</v>
      </c>
      <c r="D1018" t="s">
        <v>17</v>
      </c>
      <c r="E1018" t="s">
        <v>59</v>
      </c>
      <c r="F1018" s="5">
        <v>43465</v>
      </c>
      <c r="G1018" s="5">
        <v>43521</v>
      </c>
      <c r="H1018" s="6">
        <v>0.44791666666666669</v>
      </c>
      <c r="I1018" t="s">
        <v>139</v>
      </c>
      <c r="J1018" t="s">
        <v>618</v>
      </c>
      <c r="K1018" t="s">
        <v>1533</v>
      </c>
      <c r="M1018" t="s">
        <v>138</v>
      </c>
    </row>
    <row r="1019" spans="1:13" x14ac:dyDescent="0.25">
      <c r="A1019" t="s">
        <v>1436</v>
      </c>
      <c r="B1019" t="s">
        <v>0</v>
      </c>
      <c r="C1019" t="s">
        <v>609</v>
      </c>
      <c r="D1019" t="s">
        <v>17</v>
      </c>
      <c r="E1019" t="s">
        <v>19</v>
      </c>
      <c r="F1019" s="5">
        <v>43466</v>
      </c>
      <c r="G1019" s="5">
        <v>43550</v>
      </c>
      <c r="H1019" s="6">
        <v>0.44791666666666669</v>
      </c>
      <c r="I1019" t="s">
        <v>139</v>
      </c>
      <c r="J1019" t="s">
        <v>618</v>
      </c>
      <c r="K1019" t="s">
        <v>1533</v>
      </c>
      <c r="M1019" t="s">
        <v>138</v>
      </c>
    </row>
    <row r="1020" spans="1:13" x14ac:dyDescent="0.25">
      <c r="A1020" t="s">
        <v>1436</v>
      </c>
      <c r="B1020" t="s">
        <v>0</v>
      </c>
      <c r="C1020" t="s">
        <v>609</v>
      </c>
      <c r="D1020" t="s">
        <v>17</v>
      </c>
      <c r="E1020" t="s">
        <v>22</v>
      </c>
      <c r="F1020" s="5">
        <v>43477</v>
      </c>
      <c r="G1020" s="5">
        <v>43554</v>
      </c>
      <c r="H1020" s="6">
        <v>0.44791666666666669</v>
      </c>
      <c r="I1020" t="s">
        <v>139</v>
      </c>
      <c r="J1020" t="s">
        <v>618</v>
      </c>
      <c r="K1020" t="s">
        <v>1533</v>
      </c>
      <c r="M1020" t="s">
        <v>138</v>
      </c>
    </row>
    <row r="1021" spans="1:13" x14ac:dyDescent="0.25">
      <c r="A1021" t="s">
        <v>1436</v>
      </c>
      <c r="B1021" t="s">
        <v>0</v>
      </c>
      <c r="C1021" t="s">
        <v>609</v>
      </c>
      <c r="D1021" t="s">
        <v>17</v>
      </c>
      <c r="E1021" t="s">
        <v>13</v>
      </c>
      <c r="F1021" s="5">
        <v>43440</v>
      </c>
      <c r="G1021" s="5">
        <v>43552</v>
      </c>
      <c r="H1021" s="6">
        <v>0.4513888888888889</v>
      </c>
      <c r="I1021" t="s">
        <v>139</v>
      </c>
      <c r="J1021" t="s">
        <v>618</v>
      </c>
      <c r="K1021" t="s">
        <v>1533</v>
      </c>
      <c r="M1021" t="s">
        <v>138</v>
      </c>
    </row>
    <row r="1022" spans="1:13" x14ac:dyDescent="0.25">
      <c r="A1022" t="s">
        <v>1436</v>
      </c>
      <c r="B1022" t="s">
        <v>0</v>
      </c>
      <c r="C1022" t="s">
        <v>609</v>
      </c>
      <c r="D1022" t="s">
        <v>17</v>
      </c>
      <c r="E1022" t="s">
        <v>22</v>
      </c>
      <c r="F1022" s="5">
        <v>43407</v>
      </c>
      <c r="G1022" s="5">
        <v>43554</v>
      </c>
      <c r="H1022" s="6">
        <v>0.5</v>
      </c>
      <c r="I1022" t="s">
        <v>139</v>
      </c>
      <c r="J1022" t="s">
        <v>621</v>
      </c>
      <c r="K1022" t="s">
        <v>1533</v>
      </c>
      <c r="M1022" t="s">
        <v>138</v>
      </c>
    </row>
    <row r="1023" spans="1:13" x14ac:dyDescent="0.25">
      <c r="A1023" t="s">
        <v>1436</v>
      </c>
      <c r="B1023" t="s">
        <v>0</v>
      </c>
      <c r="C1023" t="s">
        <v>609</v>
      </c>
      <c r="D1023" t="s">
        <v>17</v>
      </c>
      <c r="E1023" t="s">
        <v>143</v>
      </c>
      <c r="F1023" s="5">
        <v>43471</v>
      </c>
      <c r="G1023" s="5">
        <v>43553</v>
      </c>
      <c r="H1023" s="6">
        <v>0.5</v>
      </c>
      <c r="I1023" t="s">
        <v>139</v>
      </c>
      <c r="J1023" t="s">
        <v>621</v>
      </c>
      <c r="K1023" t="s">
        <v>1533</v>
      </c>
      <c r="M1023" t="s">
        <v>138</v>
      </c>
    </row>
    <row r="1024" spans="1:13" x14ac:dyDescent="0.25">
      <c r="A1024" t="s">
        <v>1436</v>
      </c>
      <c r="B1024" t="s">
        <v>0</v>
      </c>
      <c r="C1024" t="s">
        <v>609</v>
      </c>
      <c r="D1024" t="s">
        <v>17</v>
      </c>
      <c r="E1024" t="s">
        <v>59</v>
      </c>
      <c r="F1024" s="5">
        <v>43472</v>
      </c>
      <c r="G1024" s="5">
        <v>43549</v>
      </c>
      <c r="H1024" s="6">
        <v>0.5</v>
      </c>
      <c r="I1024" t="s">
        <v>139</v>
      </c>
      <c r="J1024" t="s">
        <v>615</v>
      </c>
      <c r="K1024" t="s">
        <v>1533</v>
      </c>
      <c r="M1024" t="s">
        <v>138</v>
      </c>
    </row>
    <row r="1025" spans="1:13" x14ac:dyDescent="0.25">
      <c r="A1025" t="s">
        <v>1436</v>
      </c>
      <c r="B1025" t="s">
        <v>0</v>
      </c>
      <c r="C1025" t="s">
        <v>609</v>
      </c>
      <c r="D1025" t="s">
        <v>17</v>
      </c>
      <c r="E1025" t="s">
        <v>22</v>
      </c>
      <c r="F1025" s="5">
        <v>43477</v>
      </c>
      <c r="G1025" s="5">
        <v>43554</v>
      </c>
      <c r="H1025" s="6">
        <v>0.51388888888888895</v>
      </c>
      <c r="I1025" t="s">
        <v>139</v>
      </c>
      <c r="J1025" t="s">
        <v>615</v>
      </c>
      <c r="K1025" t="s">
        <v>1533</v>
      </c>
      <c r="M1025" t="s">
        <v>138</v>
      </c>
    </row>
    <row r="1026" spans="1:13" x14ac:dyDescent="0.25">
      <c r="A1026" t="s">
        <v>1436</v>
      </c>
      <c r="B1026" t="s">
        <v>0</v>
      </c>
      <c r="C1026" t="s">
        <v>609</v>
      </c>
      <c r="D1026" t="s">
        <v>17</v>
      </c>
      <c r="E1026" t="s">
        <v>144</v>
      </c>
      <c r="F1026" s="5">
        <v>43401</v>
      </c>
      <c r="G1026" s="5">
        <v>43554</v>
      </c>
      <c r="H1026" s="6">
        <v>0.53819444444444442</v>
      </c>
      <c r="I1026" t="s">
        <v>139</v>
      </c>
      <c r="J1026" t="s">
        <v>622</v>
      </c>
      <c r="K1026" t="s">
        <v>1533</v>
      </c>
      <c r="M1026" t="s">
        <v>138</v>
      </c>
    </row>
    <row r="1027" spans="1:13" x14ac:dyDescent="0.25">
      <c r="A1027" t="s">
        <v>1436</v>
      </c>
      <c r="B1027" t="s">
        <v>0</v>
      </c>
      <c r="C1027" t="s">
        <v>609</v>
      </c>
      <c r="D1027" t="s">
        <v>17</v>
      </c>
      <c r="E1027" t="s">
        <v>18</v>
      </c>
      <c r="F1027" s="5">
        <v>43499</v>
      </c>
      <c r="G1027" s="5">
        <v>43548</v>
      </c>
      <c r="H1027" s="6">
        <v>0.54166666666666663</v>
      </c>
      <c r="I1027" t="s">
        <v>139</v>
      </c>
      <c r="J1027" t="s">
        <v>619</v>
      </c>
      <c r="K1027" t="s">
        <v>1533</v>
      </c>
      <c r="M1027" t="s">
        <v>138</v>
      </c>
    </row>
    <row r="1028" spans="1:13" x14ac:dyDescent="0.25">
      <c r="A1028" t="s">
        <v>1436</v>
      </c>
      <c r="B1028" t="s">
        <v>0</v>
      </c>
      <c r="C1028" t="s">
        <v>609</v>
      </c>
      <c r="D1028" t="s">
        <v>17</v>
      </c>
      <c r="E1028" t="s">
        <v>132</v>
      </c>
      <c r="F1028" s="5">
        <v>43404</v>
      </c>
      <c r="G1028" s="5">
        <v>43553</v>
      </c>
      <c r="H1028" s="6">
        <v>0.55208333333333337</v>
      </c>
      <c r="I1028" t="s">
        <v>139</v>
      </c>
      <c r="J1028" t="s">
        <v>619</v>
      </c>
      <c r="K1028" t="s">
        <v>1533</v>
      </c>
      <c r="M1028" t="s">
        <v>138</v>
      </c>
    </row>
    <row r="1029" spans="1:13" x14ac:dyDescent="0.25">
      <c r="A1029" t="s">
        <v>1436</v>
      </c>
      <c r="B1029" t="s">
        <v>0</v>
      </c>
      <c r="C1029" t="s">
        <v>609</v>
      </c>
      <c r="D1029" t="s">
        <v>17</v>
      </c>
      <c r="E1029" t="s">
        <v>146</v>
      </c>
      <c r="F1029" s="5">
        <v>43466</v>
      </c>
      <c r="G1029" s="5">
        <v>43550</v>
      </c>
      <c r="H1029" s="6">
        <v>0.55208333333333337</v>
      </c>
      <c r="I1029" t="s">
        <v>139</v>
      </c>
      <c r="J1029" t="s">
        <v>619</v>
      </c>
      <c r="K1029" t="s">
        <v>1533</v>
      </c>
      <c r="M1029" t="s">
        <v>138</v>
      </c>
    </row>
    <row r="1030" spans="1:13" x14ac:dyDescent="0.25">
      <c r="A1030" t="s">
        <v>1436</v>
      </c>
      <c r="B1030" t="s">
        <v>0</v>
      </c>
      <c r="C1030" t="s">
        <v>609</v>
      </c>
      <c r="D1030" t="s">
        <v>17</v>
      </c>
      <c r="E1030" t="s">
        <v>13</v>
      </c>
      <c r="F1030" s="5">
        <v>43405</v>
      </c>
      <c r="G1030" s="5">
        <v>43552</v>
      </c>
      <c r="H1030" s="6">
        <v>0.55555555555555558</v>
      </c>
      <c r="I1030" t="s">
        <v>139</v>
      </c>
      <c r="J1030" t="s">
        <v>619</v>
      </c>
      <c r="K1030" t="s">
        <v>1533</v>
      </c>
      <c r="M1030" t="s">
        <v>138</v>
      </c>
    </row>
    <row r="1031" spans="1:13" x14ac:dyDescent="0.25">
      <c r="A1031" t="s">
        <v>1436</v>
      </c>
      <c r="B1031" t="s">
        <v>0</v>
      </c>
      <c r="C1031" t="s">
        <v>609</v>
      </c>
      <c r="D1031" t="s">
        <v>17</v>
      </c>
      <c r="E1031" t="s">
        <v>18</v>
      </c>
      <c r="F1031" s="5">
        <v>43478</v>
      </c>
      <c r="G1031" s="5">
        <v>43520</v>
      </c>
      <c r="H1031" s="6">
        <v>0.60416666666666663</v>
      </c>
      <c r="I1031" t="s">
        <v>139</v>
      </c>
      <c r="J1031" t="s">
        <v>624</v>
      </c>
      <c r="K1031" t="s">
        <v>1533</v>
      </c>
      <c r="M1031" t="s">
        <v>138</v>
      </c>
    </row>
    <row r="1032" spans="1:13" x14ac:dyDescent="0.25">
      <c r="A1032" t="s">
        <v>1436</v>
      </c>
      <c r="B1032" t="s">
        <v>0</v>
      </c>
      <c r="C1032" t="s">
        <v>609</v>
      </c>
      <c r="D1032" t="s">
        <v>17</v>
      </c>
      <c r="E1032" t="s">
        <v>151</v>
      </c>
      <c r="F1032" s="5">
        <v>43401</v>
      </c>
      <c r="G1032" s="5">
        <v>43553</v>
      </c>
      <c r="H1032" s="6">
        <v>0.61111111111111105</v>
      </c>
      <c r="I1032" t="s">
        <v>139</v>
      </c>
      <c r="J1032" t="s">
        <v>623</v>
      </c>
      <c r="K1032" t="s">
        <v>1533</v>
      </c>
      <c r="M1032" t="s">
        <v>138</v>
      </c>
    </row>
    <row r="1033" spans="1:13" x14ac:dyDescent="0.25">
      <c r="A1033" t="s">
        <v>1436</v>
      </c>
      <c r="B1033" t="s">
        <v>0</v>
      </c>
      <c r="C1033" t="s">
        <v>609</v>
      </c>
      <c r="D1033" t="s">
        <v>17</v>
      </c>
      <c r="E1033" t="s">
        <v>48</v>
      </c>
      <c r="F1033" s="5">
        <v>43455</v>
      </c>
      <c r="G1033" s="5">
        <v>43518</v>
      </c>
      <c r="H1033" s="6">
        <v>0.61111111111111105</v>
      </c>
      <c r="I1033" t="s">
        <v>139</v>
      </c>
      <c r="J1033" t="s">
        <v>624</v>
      </c>
      <c r="K1033" t="s">
        <v>1533</v>
      </c>
      <c r="M1033" t="s">
        <v>138</v>
      </c>
    </row>
    <row r="1034" spans="1:13" x14ac:dyDescent="0.25">
      <c r="A1034" t="s">
        <v>1436</v>
      </c>
      <c r="B1034" t="s">
        <v>0</v>
      </c>
      <c r="C1034" t="s">
        <v>609</v>
      </c>
      <c r="D1034" t="s">
        <v>17</v>
      </c>
      <c r="E1034" t="s">
        <v>22</v>
      </c>
      <c r="F1034" s="5">
        <v>43407</v>
      </c>
      <c r="G1034" s="5">
        <v>43554</v>
      </c>
      <c r="H1034" s="6">
        <v>0.63888888888888895</v>
      </c>
      <c r="I1034" t="s">
        <v>139</v>
      </c>
      <c r="J1034" t="s">
        <v>625</v>
      </c>
      <c r="K1034" t="s">
        <v>1533</v>
      </c>
      <c r="M1034" t="s">
        <v>138</v>
      </c>
    </row>
    <row r="1035" spans="1:13" x14ac:dyDescent="0.25">
      <c r="A1035" t="s">
        <v>1436</v>
      </c>
      <c r="B1035" t="s">
        <v>0</v>
      </c>
      <c r="C1035" t="s">
        <v>609</v>
      </c>
      <c r="D1035" t="s">
        <v>17</v>
      </c>
      <c r="E1035" t="s">
        <v>19</v>
      </c>
      <c r="F1035" s="5">
        <v>43403</v>
      </c>
      <c r="G1035" s="5">
        <v>43529</v>
      </c>
      <c r="H1035" s="6">
        <v>0.65625</v>
      </c>
      <c r="I1035" t="s">
        <v>139</v>
      </c>
      <c r="J1035" t="s">
        <v>625</v>
      </c>
      <c r="K1035" t="s">
        <v>1533</v>
      </c>
      <c r="M1035" t="s">
        <v>138</v>
      </c>
    </row>
    <row r="1036" spans="1:13" x14ac:dyDescent="0.25">
      <c r="A1036" t="s">
        <v>1436</v>
      </c>
      <c r="B1036" t="s">
        <v>0</v>
      </c>
      <c r="C1036" t="s">
        <v>609</v>
      </c>
      <c r="D1036" t="s">
        <v>17</v>
      </c>
      <c r="E1036" t="s">
        <v>132</v>
      </c>
      <c r="F1036" s="5">
        <v>43404</v>
      </c>
      <c r="G1036" s="5">
        <v>43553</v>
      </c>
      <c r="H1036" s="6">
        <v>0.65625</v>
      </c>
      <c r="I1036" t="s">
        <v>139</v>
      </c>
      <c r="J1036" t="s">
        <v>625</v>
      </c>
      <c r="K1036" t="s">
        <v>1533</v>
      </c>
      <c r="M1036" t="s">
        <v>138</v>
      </c>
    </row>
    <row r="1037" spans="1:13" x14ac:dyDescent="0.25">
      <c r="A1037" t="s">
        <v>1436</v>
      </c>
      <c r="B1037" t="s">
        <v>0</v>
      </c>
      <c r="C1037" t="s">
        <v>609</v>
      </c>
      <c r="D1037" t="s">
        <v>17</v>
      </c>
      <c r="E1037" t="s">
        <v>59</v>
      </c>
      <c r="F1037" s="5">
        <v>43472</v>
      </c>
      <c r="G1037" s="5">
        <v>43549</v>
      </c>
      <c r="H1037" s="6">
        <v>0.65625</v>
      </c>
      <c r="I1037" t="s">
        <v>139</v>
      </c>
      <c r="J1037" t="s">
        <v>625</v>
      </c>
      <c r="K1037" t="s">
        <v>1533</v>
      </c>
      <c r="M1037" t="s">
        <v>138</v>
      </c>
    </row>
    <row r="1038" spans="1:13" x14ac:dyDescent="0.25">
      <c r="A1038" t="s">
        <v>1436</v>
      </c>
      <c r="B1038" t="s">
        <v>0</v>
      </c>
      <c r="C1038" t="s">
        <v>609</v>
      </c>
      <c r="D1038" t="s">
        <v>17</v>
      </c>
      <c r="E1038" t="s">
        <v>13</v>
      </c>
      <c r="F1038" s="5">
        <v>43503</v>
      </c>
      <c r="G1038" s="5">
        <v>43552</v>
      </c>
      <c r="H1038" s="6">
        <v>0.65972222222222221</v>
      </c>
      <c r="I1038" t="s">
        <v>139</v>
      </c>
      <c r="J1038" t="s">
        <v>625</v>
      </c>
      <c r="K1038" t="s">
        <v>1533</v>
      </c>
      <c r="M1038" t="s">
        <v>138</v>
      </c>
    </row>
    <row r="1039" spans="1:13" x14ac:dyDescent="0.25">
      <c r="A1039" t="s">
        <v>1436</v>
      </c>
      <c r="B1039" t="s">
        <v>0</v>
      </c>
      <c r="C1039" t="s">
        <v>609</v>
      </c>
      <c r="D1039" t="s">
        <v>17</v>
      </c>
      <c r="E1039" t="s">
        <v>18</v>
      </c>
      <c r="F1039" s="5">
        <v>43471</v>
      </c>
      <c r="G1039" s="5">
        <v>43520</v>
      </c>
      <c r="H1039" s="6">
        <v>0.6875</v>
      </c>
      <c r="I1039" t="s">
        <v>139</v>
      </c>
      <c r="J1039" t="s">
        <v>625</v>
      </c>
      <c r="K1039" t="s">
        <v>1533</v>
      </c>
      <c r="M1039" t="s">
        <v>138</v>
      </c>
    </row>
    <row r="1040" spans="1:13" x14ac:dyDescent="0.25">
      <c r="A1040" t="s">
        <v>1436</v>
      </c>
      <c r="B1040" t="s">
        <v>0</v>
      </c>
      <c r="C1040" t="s">
        <v>609</v>
      </c>
      <c r="D1040" t="s">
        <v>17</v>
      </c>
      <c r="E1040" t="s">
        <v>48</v>
      </c>
      <c r="F1040" s="5">
        <v>43448</v>
      </c>
      <c r="G1040" s="5">
        <v>43553</v>
      </c>
      <c r="H1040" s="6">
        <v>0.69444444444444453</v>
      </c>
      <c r="I1040" t="s">
        <v>139</v>
      </c>
      <c r="J1040" t="s">
        <v>627</v>
      </c>
      <c r="K1040" t="s">
        <v>1533</v>
      </c>
      <c r="M1040" t="s">
        <v>138</v>
      </c>
    </row>
    <row r="1041" spans="1:13" x14ac:dyDescent="0.25">
      <c r="A1041" t="s">
        <v>1436</v>
      </c>
      <c r="B1041" t="s">
        <v>0</v>
      </c>
      <c r="C1041" t="s">
        <v>609</v>
      </c>
      <c r="D1041" t="s">
        <v>17</v>
      </c>
      <c r="E1041" t="s">
        <v>109</v>
      </c>
      <c r="F1041" s="5">
        <v>43403</v>
      </c>
      <c r="G1041" s="5">
        <v>43552</v>
      </c>
      <c r="H1041" s="6">
        <v>0.70833333333333337</v>
      </c>
      <c r="I1041" t="s">
        <v>139</v>
      </c>
      <c r="J1041" t="s">
        <v>626</v>
      </c>
      <c r="K1041" t="s">
        <v>1533</v>
      </c>
      <c r="M1041" t="s">
        <v>138</v>
      </c>
    </row>
    <row r="1042" spans="1:13" x14ac:dyDescent="0.25">
      <c r="A1042" t="s">
        <v>1436</v>
      </c>
      <c r="B1042" t="s">
        <v>0</v>
      </c>
      <c r="C1042" t="s">
        <v>609</v>
      </c>
      <c r="D1042" t="s">
        <v>17</v>
      </c>
      <c r="E1042" t="s">
        <v>59</v>
      </c>
      <c r="F1042" s="5">
        <v>43465</v>
      </c>
      <c r="G1042" s="5">
        <v>43549</v>
      </c>
      <c r="H1042" s="6">
        <v>0.70833333333333337</v>
      </c>
      <c r="I1042" t="s">
        <v>139</v>
      </c>
      <c r="J1042" t="s">
        <v>626</v>
      </c>
      <c r="K1042" t="s">
        <v>1533</v>
      </c>
      <c r="M1042" t="s">
        <v>138</v>
      </c>
    </row>
    <row r="1043" spans="1:13" x14ac:dyDescent="0.25">
      <c r="A1043" t="s">
        <v>1436</v>
      </c>
      <c r="B1043" t="s">
        <v>0</v>
      </c>
      <c r="C1043" t="s">
        <v>609</v>
      </c>
      <c r="D1043" t="s">
        <v>17</v>
      </c>
      <c r="E1043" t="s">
        <v>20</v>
      </c>
      <c r="F1043" s="5">
        <v>43474</v>
      </c>
      <c r="G1043" s="5">
        <v>43523</v>
      </c>
      <c r="H1043" s="6">
        <v>0.70833333333333337</v>
      </c>
      <c r="I1043" t="s">
        <v>139</v>
      </c>
      <c r="J1043" t="s">
        <v>626</v>
      </c>
      <c r="K1043" t="s">
        <v>1533</v>
      </c>
      <c r="M1043" t="s">
        <v>138</v>
      </c>
    </row>
    <row r="1044" spans="1:13" x14ac:dyDescent="0.25">
      <c r="A1044" t="s">
        <v>1436</v>
      </c>
      <c r="B1044" t="s">
        <v>0</v>
      </c>
      <c r="C1044" t="s">
        <v>609</v>
      </c>
      <c r="D1044" t="s">
        <v>17</v>
      </c>
      <c r="E1044" t="s">
        <v>18</v>
      </c>
      <c r="F1044" s="5">
        <v>43478</v>
      </c>
      <c r="G1044" s="5">
        <v>43548</v>
      </c>
      <c r="H1044" s="6">
        <v>0.70833333333333337</v>
      </c>
      <c r="I1044" t="s">
        <v>139</v>
      </c>
      <c r="J1044" t="s">
        <v>626</v>
      </c>
      <c r="K1044" t="s">
        <v>1533</v>
      </c>
      <c r="M1044" t="s">
        <v>138</v>
      </c>
    </row>
    <row r="1045" spans="1:13" x14ac:dyDescent="0.25">
      <c r="A1045" t="s">
        <v>1436</v>
      </c>
      <c r="B1045" t="s">
        <v>0</v>
      </c>
      <c r="C1045" t="s">
        <v>609</v>
      </c>
      <c r="D1045" t="s">
        <v>17</v>
      </c>
      <c r="E1045" t="s">
        <v>48</v>
      </c>
      <c r="F1045" s="5">
        <v>43490</v>
      </c>
      <c r="G1045" s="5">
        <v>43553</v>
      </c>
      <c r="H1045" s="6">
        <v>0.70833333333333337</v>
      </c>
      <c r="I1045" t="s">
        <v>139</v>
      </c>
      <c r="J1045" t="s">
        <v>626</v>
      </c>
      <c r="K1045" t="s">
        <v>1533</v>
      </c>
      <c r="M1045" t="s">
        <v>138</v>
      </c>
    </row>
    <row r="1046" spans="1:13" x14ac:dyDescent="0.25">
      <c r="A1046" t="s">
        <v>1436</v>
      </c>
      <c r="B1046" t="s">
        <v>0</v>
      </c>
      <c r="C1046" t="s">
        <v>609</v>
      </c>
      <c r="D1046" t="s">
        <v>17</v>
      </c>
      <c r="E1046" t="s">
        <v>48</v>
      </c>
      <c r="F1046" s="5">
        <v>43448</v>
      </c>
      <c r="G1046" s="5">
        <v>43553</v>
      </c>
      <c r="H1046" s="6">
        <v>0.72916666666666663</v>
      </c>
      <c r="I1046" t="s">
        <v>139</v>
      </c>
      <c r="J1046" t="s">
        <v>630</v>
      </c>
      <c r="K1046" t="s">
        <v>1533</v>
      </c>
      <c r="M1046" t="s">
        <v>138</v>
      </c>
    </row>
    <row r="1047" spans="1:13" x14ac:dyDescent="0.25">
      <c r="A1047" t="s">
        <v>1436</v>
      </c>
      <c r="B1047" t="s">
        <v>0</v>
      </c>
      <c r="C1047" t="s">
        <v>609</v>
      </c>
      <c r="D1047" t="s">
        <v>17</v>
      </c>
      <c r="E1047" t="s">
        <v>22</v>
      </c>
      <c r="F1047" s="5">
        <v>43477</v>
      </c>
      <c r="G1047" s="5">
        <v>43554</v>
      </c>
      <c r="H1047" s="6">
        <v>0.72916666666666663</v>
      </c>
      <c r="I1047" t="s">
        <v>139</v>
      </c>
      <c r="J1047" t="s">
        <v>626</v>
      </c>
      <c r="K1047" t="s">
        <v>1533</v>
      </c>
      <c r="M1047" t="s">
        <v>138</v>
      </c>
    </row>
    <row r="1048" spans="1:13" x14ac:dyDescent="0.25">
      <c r="A1048" t="s">
        <v>1436</v>
      </c>
      <c r="B1048" t="s">
        <v>0</v>
      </c>
      <c r="C1048" t="s">
        <v>609</v>
      </c>
      <c r="D1048" t="s">
        <v>17</v>
      </c>
      <c r="E1048" t="s">
        <v>18</v>
      </c>
      <c r="F1048" s="5">
        <v>43478</v>
      </c>
      <c r="G1048" s="5">
        <v>43520</v>
      </c>
      <c r="H1048" s="6">
        <v>0.75</v>
      </c>
      <c r="I1048" t="s">
        <v>141</v>
      </c>
      <c r="J1048" t="s">
        <v>630</v>
      </c>
      <c r="K1048" t="s">
        <v>1533</v>
      </c>
      <c r="M1048" t="s">
        <v>138</v>
      </c>
    </row>
    <row r="1049" spans="1:13" x14ac:dyDescent="0.25">
      <c r="A1049" t="s">
        <v>1436</v>
      </c>
      <c r="B1049" t="s">
        <v>0</v>
      </c>
      <c r="C1049" t="s">
        <v>609</v>
      </c>
      <c r="D1049" t="s">
        <v>17</v>
      </c>
      <c r="E1049" t="s">
        <v>22</v>
      </c>
      <c r="F1049" s="5">
        <v>43498</v>
      </c>
      <c r="G1049" s="5">
        <v>43519</v>
      </c>
      <c r="H1049" s="6">
        <v>0.75694444444444453</v>
      </c>
      <c r="I1049" t="s">
        <v>139</v>
      </c>
      <c r="J1049" t="s">
        <v>630</v>
      </c>
      <c r="K1049" t="s">
        <v>1533</v>
      </c>
      <c r="M1049" t="s">
        <v>138</v>
      </c>
    </row>
    <row r="1050" spans="1:13" x14ac:dyDescent="0.25">
      <c r="A1050" t="s">
        <v>1436</v>
      </c>
      <c r="B1050" t="s">
        <v>0</v>
      </c>
      <c r="C1050" t="s">
        <v>609</v>
      </c>
      <c r="D1050" t="s">
        <v>17</v>
      </c>
      <c r="E1050" t="s">
        <v>19</v>
      </c>
      <c r="F1050" s="5">
        <v>43403</v>
      </c>
      <c r="G1050" s="5">
        <v>43529</v>
      </c>
      <c r="H1050" s="6">
        <v>0.76041666666666663</v>
      </c>
      <c r="I1050" t="s">
        <v>139</v>
      </c>
      <c r="J1050" t="s">
        <v>627</v>
      </c>
      <c r="K1050" t="s">
        <v>1533</v>
      </c>
      <c r="M1050" t="s">
        <v>138</v>
      </c>
    </row>
    <row r="1051" spans="1:13" x14ac:dyDescent="0.25">
      <c r="A1051" t="s">
        <v>1436</v>
      </c>
      <c r="B1051" t="s">
        <v>0</v>
      </c>
      <c r="C1051" t="s">
        <v>609</v>
      </c>
      <c r="D1051" t="s">
        <v>17</v>
      </c>
      <c r="E1051" t="s">
        <v>228</v>
      </c>
      <c r="F1051" s="5">
        <v>43404</v>
      </c>
      <c r="G1051" s="5">
        <v>43552</v>
      </c>
      <c r="H1051" s="6">
        <v>0.76041666666666663</v>
      </c>
      <c r="I1051" t="s">
        <v>139</v>
      </c>
      <c r="J1051" t="s">
        <v>627</v>
      </c>
      <c r="K1051" t="s">
        <v>1533</v>
      </c>
      <c r="M1051" t="s">
        <v>138</v>
      </c>
    </row>
    <row r="1052" spans="1:13" x14ac:dyDescent="0.25">
      <c r="A1052" t="s">
        <v>1436</v>
      </c>
      <c r="B1052" t="s">
        <v>0</v>
      </c>
      <c r="C1052" t="s">
        <v>609</v>
      </c>
      <c r="D1052" t="s">
        <v>17</v>
      </c>
      <c r="E1052" t="s">
        <v>48</v>
      </c>
      <c r="F1052" s="5">
        <v>43406</v>
      </c>
      <c r="G1052" s="5">
        <v>43553</v>
      </c>
      <c r="H1052" s="6">
        <v>0.76041666666666663</v>
      </c>
      <c r="I1052" t="s">
        <v>141</v>
      </c>
      <c r="J1052" t="s">
        <v>631</v>
      </c>
      <c r="K1052" t="s">
        <v>1533</v>
      </c>
      <c r="M1052" t="s">
        <v>138</v>
      </c>
    </row>
    <row r="1053" spans="1:13" x14ac:dyDescent="0.25">
      <c r="A1053" t="s">
        <v>1436</v>
      </c>
      <c r="B1053" t="s">
        <v>0</v>
      </c>
      <c r="C1053" t="s">
        <v>609</v>
      </c>
      <c r="D1053" t="s">
        <v>17</v>
      </c>
      <c r="E1053" t="s">
        <v>59</v>
      </c>
      <c r="F1053" s="5">
        <v>43479</v>
      </c>
      <c r="G1053" s="5">
        <v>43521</v>
      </c>
      <c r="H1053" s="6">
        <v>0.76041666666666663</v>
      </c>
      <c r="I1053" t="s">
        <v>139</v>
      </c>
      <c r="J1053" t="s">
        <v>627</v>
      </c>
      <c r="K1053" t="s">
        <v>1533</v>
      </c>
      <c r="M1053" t="s">
        <v>138</v>
      </c>
    </row>
    <row r="1054" spans="1:13" x14ac:dyDescent="0.25">
      <c r="A1054" t="s">
        <v>1436</v>
      </c>
      <c r="B1054" t="s">
        <v>0</v>
      </c>
      <c r="C1054" t="s">
        <v>609</v>
      </c>
      <c r="D1054" t="s">
        <v>17</v>
      </c>
      <c r="E1054" t="s">
        <v>151</v>
      </c>
      <c r="F1054" s="5">
        <v>43401</v>
      </c>
      <c r="G1054" s="5">
        <v>43553</v>
      </c>
      <c r="H1054" s="6">
        <v>0.77430555555555547</v>
      </c>
      <c r="I1054" t="s">
        <v>139</v>
      </c>
      <c r="J1054" t="s">
        <v>632</v>
      </c>
      <c r="K1054" t="s">
        <v>1533</v>
      </c>
      <c r="M1054" t="s">
        <v>138</v>
      </c>
    </row>
    <row r="1055" spans="1:13" x14ac:dyDescent="0.25">
      <c r="A1055" t="s">
        <v>1436</v>
      </c>
      <c r="B1055" t="s">
        <v>0</v>
      </c>
      <c r="C1055" t="s">
        <v>609</v>
      </c>
      <c r="D1055" t="s">
        <v>17</v>
      </c>
      <c r="E1055" t="s">
        <v>22</v>
      </c>
      <c r="F1055" s="5">
        <v>43407</v>
      </c>
      <c r="G1055" s="5">
        <v>43554</v>
      </c>
      <c r="H1055" s="6">
        <v>0.77777777777777779</v>
      </c>
      <c r="I1055" t="s">
        <v>139</v>
      </c>
      <c r="J1055" t="s">
        <v>632</v>
      </c>
      <c r="K1055" t="s">
        <v>1533</v>
      </c>
      <c r="M1055" t="s">
        <v>138</v>
      </c>
    </row>
    <row r="1056" spans="1:13" x14ac:dyDescent="0.25">
      <c r="A1056" t="s">
        <v>1436</v>
      </c>
      <c r="B1056" t="s">
        <v>0</v>
      </c>
      <c r="C1056" t="s">
        <v>609</v>
      </c>
      <c r="D1056" t="s">
        <v>17</v>
      </c>
      <c r="E1056" t="s">
        <v>13</v>
      </c>
      <c r="F1056" s="5">
        <v>43475</v>
      </c>
      <c r="G1056" s="5">
        <v>43552</v>
      </c>
      <c r="H1056" s="6">
        <v>0.79166666666666663</v>
      </c>
      <c r="I1056" t="s">
        <v>139</v>
      </c>
      <c r="J1056" t="s">
        <v>628</v>
      </c>
      <c r="K1056" t="s">
        <v>1533</v>
      </c>
      <c r="M1056" t="s">
        <v>138</v>
      </c>
    </row>
    <row r="1057" spans="1:13" x14ac:dyDescent="0.25">
      <c r="A1057" t="s">
        <v>1436</v>
      </c>
      <c r="B1057" t="s">
        <v>0</v>
      </c>
      <c r="C1057" t="s">
        <v>609</v>
      </c>
      <c r="D1057" t="s">
        <v>17</v>
      </c>
      <c r="E1057" t="s">
        <v>48</v>
      </c>
      <c r="F1057" s="5">
        <v>43448</v>
      </c>
      <c r="G1057" s="5">
        <v>43518</v>
      </c>
      <c r="H1057" s="6">
        <v>0.79861111111111116</v>
      </c>
      <c r="I1057" t="s">
        <v>139</v>
      </c>
      <c r="J1057" t="s">
        <v>629</v>
      </c>
      <c r="K1057" t="s">
        <v>1533</v>
      </c>
      <c r="M1057" t="s">
        <v>138</v>
      </c>
    </row>
    <row r="1058" spans="1:13" x14ac:dyDescent="0.25">
      <c r="A1058" t="s">
        <v>1436</v>
      </c>
      <c r="B1058" t="s">
        <v>0</v>
      </c>
      <c r="C1058" t="s">
        <v>609</v>
      </c>
      <c r="D1058" t="s">
        <v>17</v>
      </c>
      <c r="E1058" t="s">
        <v>48</v>
      </c>
      <c r="F1058" s="5">
        <v>43406</v>
      </c>
      <c r="G1058" s="5">
        <v>43553</v>
      </c>
      <c r="H1058" s="6">
        <v>0.8125</v>
      </c>
      <c r="I1058" t="s">
        <v>139</v>
      </c>
      <c r="J1058" t="s">
        <v>633</v>
      </c>
      <c r="K1058" t="s">
        <v>1533</v>
      </c>
      <c r="M1058" t="s">
        <v>138</v>
      </c>
    </row>
    <row r="1059" spans="1:13" x14ac:dyDescent="0.25">
      <c r="A1059" t="s">
        <v>1436</v>
      </c>
      <c r="B1059" t="s">
        <v>0</v>
      </c>
      <c r="C1059" t="s">
        <v>609</v>
      </c>
      <c r="D1059" t="s">
        <v>17</v>
      </c>
      <c r="E1059" t="s">
        <v>13</v>
      </c>
      <c r="F1059" s="5">
        <v>43447</v>
      </c>
      <c r="G1059" s="5">
        <v>43552</v>
      </c>
      <c r="H1059" s="6">
        <v>0.8125</v>
      </c>
      <c r="I1059" t="s">
        <v>139</v>
      </c>
      <c r="J1059" t="s">
        <v>633</v>
      </c>
      <c r="K1059" t="s">
        <v>1533</v>
      </c>
      <c r="M1059" t="s">
        <v>138</v>
      </c>
    </row>
    <row r="1060" spans="1:13" x14ac:dyDescent="0.25">
      <c r="A1060" t="s">
        <v>1436</v>
      </c>
      <c r="B1060" t="s">
        <v>0</v>
      </c>
      <c r="C1060" t="s">
        <v>609</v>
      </c>
      <c r="D1060" t="s">
        <v>17</v>
      </c>
      <c r="E1060" t="s">
        <v>18</v>
      </c>
      <c r="F1060" s="5">
        <v>43471</v>
      </c>
      <c r="G1060" s="5">
        <v>43548</v>
      </c>
      <c r="H1060" s="6">
        <v>0.8125</v>
      </c>
      <c r="I1060" t="s">
        <v>139</v>
      </c>
      <c r="J1060" t="s">
        <v>633</v>
      </c>
      <c r="K1060" t="s">
        <v>1533</v>
      </c>
      <c r="M1060" t="s">
        <v>138</v>
      </c>
    </row>
    <row r="1061" spans="1:13" x14ac:dyDescent="0.25">
      <c r="A1061" t="s">
        <v>1436</v>
      </c>
      <c r="B1061" t="s">
        <v>0</v>
      </c>
      <c r="C1061" t="s">
        <v>609</v>
      </c>
      <c r="D1061" t="s">
        <v>17</v>
      </c>
      <c r="E1061" t="s">
        <v>20</v>
      </c>
      <c r="F1061" s="5">
        <v>43474</v>
      </c>
      <c r="G1061" s="5">
        <v>43523</v>
      </c>
      <c r="H1061" s="6">
        <v>0.8125</v>
      </c>
      <c r="I1061" t="s">
        <v>139</v>
      </c>
      <c r="J1061" t="s">
        <v>633</v>
      </c>
      <c r="K1061" t="s">
        <v>1533</v>
      </c>
      <c r="M1061" t="s">
        <v>138</v>
      </c>
    </row>
    <row r="1062" spans="1:13" x14ac:dyDescent="0.25">
      <c r="A1062" t="s">
        <v>1436</v>
      </c>
      <c r="B1062" t="s">
        <v>0</v>
      </c>
      <c r="C1062" t="s">
        <v>609</v>
      </c>
      <c r="D1062" t="s">
        <v>17</v>
      </c>
      <c r="E1062" t="s">
        <v>59</v>
      </c>
      <c r="F1062" s="5">
        <v>43486</v>
      </c>
      <c r="G1062" s="5">
        <v>43549</v>
      </c>
      <c r="H1062" s="6">
        <v>0.8125</v>
      </c>
      <c r="I1062" t="s">
        <v>139</v>
      </c>
      <c r="J1062" t="s">
        <v>633</v>
      </c>
      <c r="K1062" t="s">
        <v>1533</v>
      </c>
      <c r="M1062" t="s">
        <v>138</v>
      </c>
    </row>
    <row r="1063" spans="1:13" x14ac:dyDescent="0.25">
      <c r="A1063" t="s">
        <v>1436</v>
      </c>
      <c r="B1063" t="s">
        <v>0</v>
      </c>
      <c r="C1063" t="s">
        <v>609</v>
      </c>
      <c r="D1063" t="s">
        <v>17</v>
      </c>
      <c r="E1063" t="s">
        <v>19</v>
      </c>
      <c r="F1063" s="5">
        <v>43501</v>
      </c>
      <c r="G1063" s="5">
        <v>43522</v>
      </c>
      <c r="H1063" s="6">
        <v>0.8125</v>
      </c>
      <c r="I1063" t="s">
        <v>139</v>
      </c>
      <c r="J1063" t="s">
        <v>633</v>
      </c>
      <c r="K1063" t="s">
        <v>1533</v>
      </c>
      <c r="M1063" t="s">
        <v>138</v>
      </c>
    </row>
    <row r="1064" spans="1:13" x14ac:dyDescent="0.25">
      <c r="A1064" t="s">
        <v>1436</v>
      </c>
      <c r="B1064" t="s">
        <v>0</v>
      </c>
      <c r="C1064" t="s">
        <v>609</v>
      </c>
      <c r="D1064" t="s">
        <v>17</v>
      </c>
      <c r="E1064" t="s">
        <v>1846</v>
      </c>
      <c r="F1064" s="5">
        <v>43401</v>
      </c>
      <c r="G1064" s="5">
        <v>43554</v>
      </c>
      <c r="H1064" s="6">
        <v>0.81944444444444453</v>
      </c>
      <c r="I1064" t="s">
        <v>139</v>
      </c>
      <c r="J1064" t="s">
        <v>634</v>
      </c>
      <c r="K1064" t="s">
        <v>1533</v>
      </c>
      <c r="M1064" t="s">
        <v>138</v>
      </c>
    </row>
    <row r="1065" spans="1:13" x14ac:dyDescent="0.25">
      <c r="A1065" t="s">
        <v>1436</v>
      </c>
      <c r="B1065" t="s">
        <v>0</v>
      </c>
      <c r="C1065" t="s">
        <v>609</v>
      </c>
      <c r="D1065" t="s">
        <v>17</v>
      </c>
      <c r="E1065" t="s">
        <v>298</v>
      </c>
      <c r="F1065" s="5">
        <v>43472</v>
      </c>
      <c r="G1065" s="5">
        <v>43551</v>
      </c>
      <c r="H1065" s="6">
        <v>0.81944444444444453</v>
      </c>
      <c r="I1065" t="s">
        <v>139</v>
      </c>
      <c r="J1065" t="s">
        <v>634</v>
      </c>
      <c r="K1065" t="s">
        <v>1533</v>
      </c>
      <c r="M1065" t="s">
        <v>138</v>
      </c>
    </row>
    <row r="1066" spans="1:13" x14ac:dyDescent="0.25">
      <c r="A1066" t="s">
        <v>1436</v>
      </c>
      <c r="B1066" t="s">
        <v>0</v>
      </c>
      <c r="C1066" t="s">
        <v>609</v>
      </c>
      <c r="D1066" t="s">
        <v>17</v>
      </c>
      <c r="E1066" t="s">
        <v>22</v>
      </c>
      <c r="F1066" s="5">
        <v>43498</v>
      </c>
      <c r="G1066" s="5">
        <v>43519</v>
      </c>
      <c r="H1066" s="6">
        <v>0.82638888888888884</v>
      </c>
      <c r="I1066" t="s">
        <v>139</v>
      </c>
      <c r="J1066" t="s">
        <v>633</v>
      </c>
      <c r="K1066" t="s">
        <v>1533</v>
      </c>
      <c r="M1066" t="s">
        <v>138</v>
      </c>
    </row>
    <row r="1067" spans="1:13" x14ac:dyDescent="0.25">
      <c r="A1067" t="s">
        <v>1436</v>
      </c>
      <c r="B1067" t="s">
        <v>0</v>
      </c>
      <c r="C1067" t="s">
        <v>609</v>
      </c>
      <c r="D1067" t="s">
        <v>17</v>
      </c>
      <c r="E1067" t="s">
        <v>18</v>
      </c>
      <c r="F1067" s="5">
        <v>43478</v>
      </c>
      <c r="G1067" s="5">
        <v>43520</v>
      </c>
      <c r="H1067" s="6">
        <v>0.84027777777777779</v>
      </c>
      <c r="I1067" t="s">
        <v>139</v>
      </c>
      <c r="J1067" t="s">
        <v>627</v>
      </c>
      <c r="K1067" t="s">
        <v>1533</v>
      </c>
      <c r="M1067" t="s">
        <v>138</v>
      </c>
    </row>
    <row r="1068" spans="1:13" x14ac:dyDescent="0.25">
      <c r="A1068" t="s">
        <v>1436</v>
      </c>
      <c r="B1068" t="s">
        <v>0</v>
      </c>
      <c r="C1068" t="s">
        <v>609</v>
      </c>
      <c r="D1068" t="s">
        <v>17</v>
      </c>
      <c r="E1068" t="s">
        <v>18</v>
      </c>
      <c r="F1068" s="5">
        <v>43478</v>
      </c>
      <c r="G1068" s="5">
        <v>43548</v>
      </c>
      <c r="H1068" s="6">
        <v>0.85416666666666663</v>
      </c>
      <c r="I1068" t="s">
        <v>141</v>
      </c>
      <c r="J1068" t="s">
        <v>635</v>
      </c>
      <c r="K1068" t="s">
        <v>1533</v>
      </c>
      <c r="M1068" t="s">
        <v>138</v>
      </c>
    </row>
    <row r="1069" spans="1:13" x14ac:dyDescent="0.25">
      <c r="A1069" t="s">
        <v>1436</v>
      </c>
      <c r="B1069" t="s">
        <v>0</v>
      </c>
      <c r="C1069" t="s">
        <v>609</v>
      </c>
      <c r="D1069" t="s">
        <v>17</v>
      </c>
      <c r="E1069" t="s">
        <v>54</v>
      </c>
      <c r="F1069" s="5">
        <v>43403</v>
      </c>
      <c r="G1069" s="5">
        <v>43551</v>
      </c>
      <c r="H1069" s="6">
        <v>0.86458333333333337</v>
      </c>
      <c r="I1069" t="s">
        <v>139</v>
      </c>
      <c r="J1069" t="s">
        <v>635</v>
      </c>
      <c r="K1069" t="s">
        <v>1533</v>
      </c>
      <c r="M1069" t="s">
        <v>138</v>
      </c>
    </row>
    <row r="1070" spans="1:13" x14ac:dyDescent="0.25">
      <c r="A1070" t="s">
        <v>1436</v>
      </c>
      <c r="B1070" t="s">
        <v>0</v>
      </c>
      <c r="C1070" t="s">
        <v>609</v>
      </c>
      <c r="D1070" t="s">
        <v>17</v>
      </c>
      <c r="E1070" t="s">
        <v>59</v>
      </c>
      <c r="F1070" s="5">
        <v>43479</v>
      </c>
      <c r="G1070" s="5">
        <v>43549</v>
      </c>
      <c r="H1070" s="6">
        <v>0.86458333333333337</v>
      </c>
      <c r="I1070" t="s">
        <v>139</v>
      </c>
      <c r="J1070" t="s">
        <v>635</v>
      </c>
      <c r="K1070" t="s">
        <v>1533</v>
      </c>
      <c r="M1070" t="s">
        <v>138</v>
      </c>
    </row>
    <row r="1071" spans="1:13" x14ac:dyDescent="0.25">
      <c r="A1071" t="s">
        <v>1436</v>
      </c>
      <c r="B1071" t="s">
        <v>0</v>
      </c>
      <c r="C1071" t="s">
        <v>609</v>
      </c>
      <c r="D1071" t="s">
        <v>17</v>
      </c>
      <c r="E1071" t="s">
        <v>151</v>
      </c>
      <c r="F1071" s="5">
        <v>43401</v>
      </c>
      <c r="G1071" s="5">
        <v>43553</v>
      </c>
      <c r="H1071" s="6">
        <v>0.87152777777777779</v>
      </c>
      <c r="I1071" t="s">
        <v>139</v>
      </c>
      <c r="J1071" t="s">
        <v>636</v>
      </c>
      <c r="K1071" t="s">
        <v>1533</v>
      </c>
      <c r="M1071" t="s">
        <v>138</v>
      </c>
    </row>
    <row r="1072" spans="1:13" x14ac:dyDescent="0.25">
      <c r="A1072" t="s">
        <v>1436</v>
      </c>
      <c r="B1072" t="s">
        <v>0</v>
      </c>
      <c r="C1072" t="s">
        <v>609</v>
      </c>
      <c r="D1072" t="s">
        <v>17</v>
      </c>
      <c r="E1072" t="s">
        <v>673</v>
      </c>
      <c r="F1072" s="5">
        <v>43405</v>
      </c>
      <c r="G1072" s="5">
        <v>43553</v>
      </c>
      <c r="H1072" s="6">
        <v>0.875</v>
      </c>
      <c r="I1072" t="s">
        <v>139</v>
      </c>
      <c r="J1072" t="s">
        <v>635</v>
      </c>
      <c r="K1072" t="s">
        <v>1533</v>
      </c>
      <c r="M1072" t="s">
        <v>138</v>
      </c>
    </row>
    <row r="1073" spans="1:13" x14ac:dyDescent="0.25">
      <c r="A1073" t="s">
        <v>1436</v>
      </c>
      <c r="B1073" t="s">
        <v>0</v>
      </c>
      <c r="C1073" t="s">
        <v>609</v>
      </c>
      <c r="D1073" t="s">
        <v>17</v>
      </c>
      <c r="E1073" t="s">
        <v>22</v>
      </c>
      <c r="F1073" s="5">
        <v>43407</v>
      </c>
      <c r="G1073" s="5">
        <v>43554</v>
      </c>
      <c r="H1073" s="6">
        <v>0.875</v>
      </c>
      <c r="I1073" t="s">
        <v>139</v>
      </c>
      <c r="J1073" t="s">
        <v>636</v>
      </c>
      <c r="K1073" t="s">
        <v>1533</v>
      </c>
      <c r="M1073" t="s">
        <v>138</v>
      </c>
    </row>
    <row r="1074" spans="1:13" x14ac:dyDescent="0.25">
      <c r="A1074" t="s">
        <v>1436</v>
      </c>
      <c r="B1074" t="s">
        <v>0</v>
      </c>
      <c r="C1074" t="s">
        <v>609</v>
      </c>
      <c r="D1074" t="s">
        <v>17</v>
      </c>
      <c r="E1074" t="s">
        <v>18</v>
      </c>
      <c r="F1074" s="5">
        <v>43401</v>
      </c>
      <c r="G1074" s="5">
        <v>43548</v>
      </c>
      <c r="H1074" s="6">
        <v>0.91666666666666663</v>
      </c>
      <c r="I1074" t="s">
        <v>139</v>
      </c>
      <c r="J1074" t="s">
        <v>637</v>
      </c>
      <c r="K1074" t="s">
        <v>1533</v>
      </c>
      <c r="M1074" t="s">
        <v>138</v>
      </c>
    </row>
    <row r="1075" spans="1:13" x14ac:dyDescent="0.25">
      <c r="A1075" t="s">
        <v>1436</v>
      </c>
      <c r="B1075" t="s">
        <v>0</v>
      </c>
      <c r="C1075" t="s">
        <v>187</v>
      </c>
      <c r="D1075" t="s">
        <v>188</v>
      </c>
      <c r="E1075" t="s">
        <v>18</v>
      </c>
      <c r="F1075" s="5">
        <v>43415</v>
      </c>
      <c r="G1075" s="5">
        <v>43548</v>
      </c>
      <c r="H1075" s="6">
        <v>0.47916666666666669</v>
      </c>
      <c r="I1075" t="s">
        <v>14</v>
      </c>
      <c r="J1075" t="s">
        <v>638</v>
      </c>
      <c r="K1075" t="s">
        <v>38</v>
      </c>
      <c r="M1075" t="s">
        <v>138</v>
      </c>
    </row>
    <row r="1076" spans="1:13" x14ac:dyDescent="0.25">
      <c r="A1076" t="s">
        <v>1436</v>
      </c>
      <c r="B1076" t="s">
        <v>0</v>
      </c>
      <c r="C1076" t="s">
        <v>187</v>
      </c>
      <c r="D1076" t="s">
        <v>188</v>
      </c>
      <c r="E1076" t="s">
        <v>13</v>
      </c>
      <c r="F1076" s="5">
        <v>43496</v>
      </c>
      <c r="G1076" s="5">
        <v>43552</v>
      </c>
      <c r="H1076" s="6">
        <v>0.47916666666666669</v>
      </c>
      <c r="I1076" t="s">
        <v>14</v>
      </c>
      <c r="J1076" t="s">
        <v>638</v>
      </c>
      <c r="K1076" t="s">
        <v>38</v>
      </c>
      <c r="M1076" t="s">
        <v>138</v>
      </c>
    </row>
    <row r="1077" spans="1:13" x14ac:dyDescent="0.25">
      <c r="A1077" t="s">
        <v>1436</v>
      </c>
      <c r="B1077" t="s">
        <v>0</v>
      </c>
      <c r="C1077" t="s">
        <v>187</v>
      </c>
      <c r="D1077" t="s">
        <v>188</v>
      </c>
      <c r="E1077" t="s">
        <v>13</v>
      </c>
      <c r="F1077" s="5">
        <v>43475</v>
      </c>
      <c r="G1077" s="5">
        <v>43552</v>
      </c>
      <c r="H1077" s="6">
        <v>0.60763888888888895</v>
      </c>
      <c r="I1077" t="s">
        <v>14</v>
      </c>
      <c r="J1077" t="s">
        <v>639</v>
      </c>
      <c r="K1077" t="s">
        <v>38</v>
      </c>
      <c r="M1077" t="s">
        <v>138</v>
      </c>
    </row>
    <row r="1078" spans="1:13" x14ac:dyDescent="0.25">
      <c r="A1078" t="s">
        <v>1436</v>
      </c>
      <c r="B1078" t="s">
        <v>0</v>
      </c>
      <c r="C1078" t="s">
        <v>187</v>
      </c>
      <c r="D1078" t="s">
        <v>188</v>
      </c>
      <c r="E1078" t="s">
        <v>22</v>
      </c>
      <c r="F1078" s="5">
        <v>43512</v>
      </c>
      <c r="G1078" s="5">
        <v>43554</v>
      </c>
      <c r="H1078" s="6">
        <v>0.61458333333333337</v>
      </c>
      <c r="I1078" t="s">
        <v>207</v>
      </c>
      <c r="J1078" t="s">
        <v>639</v>
      </c>
      <c r="K1078" t="s">
        <v>38</v>
      </c>
      <c r="M1078" t="s">
        <v>138</v>
      </c>
    </row>
    <row r="1079" spans="1:13" x14ac:dyDescent="0.25">
      <c r="A1079" t="s">
        <v>1436</v>
      </c>
      <c r="B1079" t="s">
        <v>0</v>
      </c>
      <c r="C1079" t="s">
        <v>187</v>
      </c>
      <c r="D1079" t="s">
        <v>188</v>
      </c>
      <c r="E1079" t="s">
        <v>18</v>
      </c>
      <c r="F1079" s="5">
        <v>43513</v>
      </c>
      <c r="G1079" s="5">
        <v>43548</v>
      </c>
      <c r="H1079" s="6">
        <v>0.63541666666666663</v>
      </c>
      <c r="I1079" t="s">
        <v>14</v>
      </c>
      <c r="J1079" t="s">
        <v>639</v>
      </c>
      <c r="K1079" t="s">
        <v>38</v>
      </c>
      <c r="M1079" t="s">
        <v>138</v>
      </c>
    </row>
    <row r="1080" spans="1:13" x14ac:dyDescent="0.25">
      <c r="A1080" t="s">
        <v>1436</v>
      </c>
      <c r="B1080" t="s">
        <v>0</v>
      </c>
      <c r="C1080" t="s">
        <v>192</v>
      </c>
      <c r="D1080" t="s">
        <v>193</v>
      </c>
      <c r="E1080" t="s">
        <v>18</v>
      </c>
      <c r="F1080" s="5">
        <v>43485</v>
      </c>
      <c r="G1080" s="5">
        <v>43548</v>
      </c>
      <c r="H1080" s="6">
        <v>0.55208333333333337</v>
      </c>
      <c r="I1080">
        <v>321</v>
      </c>
      <c r="J1080" t="s">
        <v>1898</v>
      </c>
      <c r="K1080" t="s">
        <v>45</v>
      </c>
      <c r="M1080" t="s">
        <v>138</v>
      </c>
    </row>
    <row r="1081" spans="1:13" x14ac:dyDescent="0.25">
      <c r="A1081" t="s">
        <v>1436</v>
      </c>
      <c r="B1081" t="s">
        <v>0</v>
      </c>
      <c r="C1081" t="s">
        <v>192</v>
      </c>
      <c r="D1081" t="s">
        <v>193</v>
      </c>
      <c r="E1081" t="s">
        <v>18</v>
      </c>
      <c r="F1081" s="5">
        <v>43415</v>
      </c>
      <c r="G1081" s="5">
        <v>43548</v>
      </c>
      <c r="H1081" s="6">
        <v>0.61805555555555558</v>
      </c>
      <c r="I1081" t="s">
        <v>39</v>
      </c>
      <c r="J1081" t="s">
        <v>640</v>
      </c>
      <c r="K1081" t="s">
        <v>45</v>
      </c>
      <c r="M1081" t="s">
        <v>138</v>
      </c>
    </row>
    <row r="1082" spans="1:13" x14ac:dyDescent="0.25">
      <c r="A1082" t="s">
        <v>1436</v>
      </c>
      <c r="B1082" t="s">
        <v>0</v>
      </c>
      <c r="C1082" t="s">
        <v>192</v>
      </c>
      <c r="D1082" t="s">
        <v>193</v>
      </c>
      <c r="E1082" t="s">
        <v>22</v>
      </c>
      <c r="F1082" s="5">
        <v>43414</v>
      </c>
      <c r="G1082" s="5">
        <v>43554</v>
      </c>
      <c r="H1082" s="6">
        <v>0.65972222222222221</v>
      </c>
      <c r="I1082" t="s">
        <v>39</v>
      </c>
      <c r="J1082" t="s">
        <v>640</v>
      </c>
      <c r="K1082" t="s">
        <v>45</v>
      </c>
      <c r="M1082" t="s">
        <v>138</v>
      </c>
    </row>
    <row r="1083" spans="1:13" x14ac:dyDescent="0.25">
      <c r="A1083" t="s">
        <v>1436</v>
      </c>
      <c r="B1083" t="s">
        <v>0</v>
      </c>
      <c r="C1083" t="s">
        <v>192</v>
      </c>
      <c r="D1083" t="s">
        <v>193</v>
      </c>
      <c r="E1083" t="s">
        <v>20</v>
      </c>
      <c r="F1083" s="5">
        <v>43418</v>
      </c>
      <c r="G1083" s="5">
        <v>43551</v>
      </c>
      <c r="H1083" s="6">
        <v>0.70833333333333337</v>
      </c>
      <c r="I1083" t="s">
        <v>39</v>
      </c>
      <c r="J1083" t="s">
        <v>640</v>
      </c>
      <c r="K1083" t="s">
        <v>45</v>
      </c>
      <c r="M1083" t="s">
        <v>138</v>
      </c>
    </row>
    <row r="1084" spans="1:13" x14ac:dyDescent="0.25">
      <c r="A1084" t="s">
        <v>1436</v>
      </c>
      <c r="B1084" t="s">
        <v>0</v>
      </c>
      <c r="C1084" t="s">
        <v>641</v>
      </c>
      <c r="D1084" t="s">
        <v>642</v>
      </c>
      <c r="E1084" t="s">
        <v>19</v>
      </c>
      <c r="F1084" s="5">
        <v>43445</v>
      </c>
      <c r="G1084" s="5">
        <v>43550</v>
      </c>
      <c r="H1084" s="6">
        <v>0.58333333333333337</v>
      </c>
      <c r="I1084" t="s">
        <v>81</v>
      </c>
      <c r="J1084" t="s">
        <v>1585</v>
      </c>
      <c r="K1084" t="s">
        <v>79</v>
      </c>
      <c r="M1084" t="s">
        <v>138</v>
      </c>
    </row>
    <row r="1085" spans="1:13" x14ac:dyDescent="0.25">
      <c r="A1085" t="s">
        <v>1436</v>
      </c>
      <c r="B1085" t="s">
        <v>0</v>
      </c>
      <c r="C1085" t="s">
        <v>641</v>
      </c>
      <c r="D1085" t="s">
        <v>642</v>
      </c>
      <c r="E1085" t="s">
        <v>18</v>
      </c>
      <c r="F1085" s="5">
        <v>43443</v>
      </c>
      <c r="G1085" s="5">
        <v>43548</v>
      </c>
      <c r="H1085" s="6">
        <v>0.63888888888888895</v>
      </c>
      <c r="I1085" t="s">
        <v>81</v>
      </c>
      <c r="J1085" t="s">
        <v>1585</v>
      </c>
      <c r="K1085" t="s">
        <v>79</v>
      </c>
      <c r="M1085" t="s">
        <v>138</v>
      </c>
    </row>
    <row r="1086" spans="1:13" x14ac:dyDescent="0.25">
      <c r="A1086" t="s">
        <v>1436</v>
      </c>
      <c r="B1086" t="s">
        <v>0</v>
      </c>
      <c r="C1086" t="s">
        <v>643</v>
      </c>
      <c r="D1086" t="s">
        <v>644</v>
      </c>
      <c r="E1086" t="s">
        <v>111</v>
      </c>
      <c r="F1086" s="5">
        <v>43405</v>
      </c>
      <c r="G1086" s="5">
        <v>43552</v>
      </c>
      <c r="H1086" s="6">
        <v>0.45833333333333331</v>
      </c>
      <c r="I1086" t="s">
        <v>141</v>
      </c>
      <c r="J1086" t="s">
        <v>645</v>
      </c>
      <c r="K1086" t="s">
        <v>582</v>
      </c>
      <c r="L1086" t="s">
        <v>293</v>
      </c>
      <c r="M1086" t="s">
        <v>138</v>
      </c>
    </row>
    <row r="1087" spans="1:13" x14ac:dyDescent="0.25">
      <c r="A1087" t="s">
        <v>1436</v>
      </c>
      <c r="B1087" t="s">
        <v>0</v>
      </c>
      <c r="C1087" t="s">
        <v>643</v>
      </c>
      <c r="D1087" t="s">
        <v>644</v>
      </c>
      <c r="E1087" t="s">
        <v>18</v>
      </c>
      <c r="F1087" s="5">
        <v>43478</v>
      </c>
      <c r="G1087" s="5">
        <v>43527</v>
      </c>
      <c r="H1087" s="6">
        <v>0.53125</v>
      </c>
      <c r="I1087">
        <v>319</v>
      </c>
      <c r="J1087" t="s">
        <v>1586</v>
      </c>
      <c r="K1087" t="s">
        <v>582</v>
      </c>
      <c r="M1087" t="s">
        <v>138</v>
      </c>
    </row>
    <row r="1088" spans="1:13" x14ac:dyDescent="0.25">
      <c r="A1088" t="s">
        <v>1436</v>
      </c>
      <c r="B1088" t="s">
        <v>0</v>
      </c>
      <c r="C1088" t="s">
        <v>643</v>
      </c>
      <c r="D1088" t="s">
        <v>644</v>
      </c>
      <c r="E1088" t="s">
        <v>13</v>
      </c>
      <c r="F1088" s="5">
        <v>43496</v>
      </c>
      <c r="G1088" s="5">
        <v>43531</v>
      </c>
      <c r="H1088" s="6">
        <v>0.53125</v>
      </c>
      <c r="I1088">
        <v>319</v>
      </c>
      <c r="J1088" t="s">
        <v>1586</v>
      </c>
      <c r="K1088" t="s">
        <v>582</v>
      </c>
      <c r="M1088" t="s">
        <v>138</v>
      </c>
    </row>
    <row r="1089" spans="1:13" x14ac:dyDescent="0.25">
      <c r="A1089" t="s">
        <v>1436</v>
      </c>
      <c r="B1089" t="s">
        <v>0</v>
      </c>
      <c r="C1089" t="s">
        <v>643</v>
      </c>
      <c r="D1089" t="s">
        <v>644</v>
      </c>
      <c r="E1089" t="s">
        <v>59</v>
      </c>
      <c r="F1089" s="5">
        <v>43479</v>
      </c>
      <c r="G1089" s="5">
        <v>43549</v>
      </c>
      <c r="H1089" s="6">
        <v>0.53472222222222221</v>
      </c>
      <c r="I1089">
        <v>319</v>
      </c>
      <c r="J1089" t="s">
        <v>1586</v>
      </c>
      <c r="K1089" t="s">
        <v>582</v>
      </c>
      <c r="M1089" t="s">
        <v>138</v>
      </c>
    </row>
    <row r="1090" spans="1:13" x14ac:dyDescent="0.25">
      <c r="A1090" t="s">
        <v>1436</v>
      </c>
      <c r="B1090" t="s">
        <v>0</v>
      </c>
      <c r="C1090" t="s">
        <v>643</v>
      </c>
      <c r="D1090" t="s">
        <v>644</v>
      </c>
      <c r="E1090" t="s">
        <v>19</v>
      </c>
      <c r="F1090" s="5">
        <v>43508</v>
      </c>
      <c r="G1090" s="5">
        <v>43529</v>
      </c>
      <c r="H1090" s="6">
        <v>0.53472222222222221</v>
      </c>
      <c r="I1090">
        <v>319</v>
      </c>
      <c r="J1090" t="s">
        <v>1586</v>
      </c>
      <c r="K1090" t="s">
        <v>582</v>
      </c>
      <c r="M1090" t="s">
        <v>138</v>
      </c>
    </row>
    <row r="1091" spans="1:13" x14ac:dyDescent="0.25">
      <c r="A1091" t="s">
        <v>1436</v>
      </c>
      <c r="B1091" t="s">
        <v>0</v>
      </c>
      <c r="C1091" t="s">
        <v>643</v>
      </c>
      <c r="D1091" t="s">
        <v>644</v>
      </c>
      <c r="E1091" t="s">
        <v>48</v>
      </c>
      <c r="F1091" s="5">
        <v>43476</v>
      </c>
      <c r="G1091" s="5">
        <v>43525</v>
      </c>
      <c r="H1091" s="6">
        <v>0.59375</v>
      </c>
      <c r="I1091" t="s">
        <v>1899</v>
      </c>
      <c r="J1091" t="s">
        <v>1586</v>
      </c>
      <c r="K1091" t="s">
        <v>582</v>
      </c>
      <c r="M1091" t="s">
        <v>138</v>
      </c>
    </row>
    <row r="1092" spans="1:13" x14ac:dyDescent="0.25">
      <c r="A1092" t="s">
        <v>1436</v>
      </c>
      <c r="B1092" t="s">
        <v>0</v>
      </c>
      <c r="C1092" t="s">
        <v>643</v>
      </c>
      <c r="D1092" t="s">
        <v>644</v>
      </c>
      <c r="E1092" t="s">
        <v>22</v>
      </c>
      <c r="F1092" s="5">
        <v>43512</v>
      </c>
      <c r="G1092" s="5">
        <v>43526</v>
      </c>
      <c r="H1092" s="6">
        <v>0.59375</v>
      </c>
      <c r="I1092" t="s">
        <v>1899</v>
      </c>
      <c r="J1092" t="s">
        <v>1586</v>
      </c>
      <c r="K1092" t="s">
        <v>582</v>
      </c>
      <c r="M1092" t="s">
        <v>138</v>
      </c>
    </row>
    <row r="1093" spans="1:13" x14ac:dyDescent="0.25">
      <c r="A1093" t="s">
        <v>1436</v>
      </c>
      <c r="B1093" t="s">
        <v>0</v>
      </c>
      <c r="C1093" t="s">
        <v>646</v>
      </c>
      <c r="D1093" t="s">
        <v>647</v>
      </c>
      <c r="E1093" t="s">
        <v>22</v>
      </c>
      <c r="F1093" s="5">
        <v>43407</v>
      </c>
      <c r="G1093" s="5">
        <v>43554</v>
      </c>
      <c r="H1093" s="6">
        <v>0.65277777777777779</v>
      </c>
      <c r="I1093" t="s">
        <v>352</v>
      </c>
      <c r="J1093" t="s">
        <v>648</v>
      </c>
      <c r="K1093" t="s">
        <v>38</v>
      </c>
      <c r="M1093" t="s">
        <v>138</v>
      </c>
    </row>
    <row r="1094" spans="1:13" x14ac:dyDescent="0.25">
      <c r="A1094" t="s">
        <v>1436</v>
      </c>
      <c r="B1094" t="s">
        <v>0</v>
      </c>
      <c r="C1094" t="s">
        <v>646</v>
      </c>
      <c r="D1094" t="s">
        <v>647</v>
      </c>
      <c r="E1094" t="s">
        <v>18</v>
      </c>
      <c r="F1094" s="5">
        <v>43401</v>
      </c>
      <c r="G1094" s="5">
        <v>43548</v>
      </c>
      <c r="H1094" s="6">
        <v>0.73263888888888884</v>
      </c>
      <c r="I1094">
        <v>320</v>
      </c>
      <c r="J1094" t="s">
        <v>648</v>
      </c>
      <c r="K1094" t="s">
        <v>38</v>
      </c>
      <c r="M1094" t="s">
        <v>138</v>
      </c>
    </row>
    <row r="1095" spans="1:13" x14ac:dyDescent="0.25">
      <c r="A1095" t="s">
        <v>1436</v>
      </c>
      <c r="B1095" t="s">
        <v>0</v>
      </c>
      <c r="C1095" t="s">
        <v>202</v>
      </c>
      <c r="D1095" t="s">
        <v>203</v>
      </c>
      <c r="E1095" t="s">
        <v>235</v>
      </c>
      <c r="F1095" s="5">
        <v>43402</v>
      </c>
      <c r="G1095" s="5">
        <v>43552</v>
      </c>
      <c r="H1095" s="6">
        <v>0.50694444444444442</v>
      </c>
      <c r="I1095" t="s">
        <v>14</v>
      </c>
      <c r="J1095" t="s">
        <v>649</v>
      </c>
      <c r="K1095" t="s">
        <v>38</v>
      </c>
      <c r="M1095" t="s">
        <v>138</v>
      </c>
    </row>
    <row r="1096" spans="1:13" x14ac:dyDescent="0.25">
      <c r="A1096" t="s">
        <v>1436</v>
      </c>
      <c r="B1096" t="s">
        <v>0</v>
      </c>
      <c r="C1096" t="s">
        <v>202</v>
      </c>
      <c r="D1096" t="s">
        <v>203</v>
      </c>
      <c r="E1096" t="s">
        <v>19</v>
      </c>
      <c r="F1096" s="5">
        <v>43466</v>
      </c>
      <c r="G1096" s="5">
        <v>43550</v>
      </c>
      <c r="H1096" s="6">
        <v>0.50694444444444442</v>
      </c>
      <c r="I1096" t="s">
        <v>14</v>
      </c>
      <c r="J1096" t="s">
        <v>649</v>
      </c>
      <c r="K1096" t="s">
        <v>38</v>
      </c>
      <c r="M1096" t="s">
        <v>138</v>
      </c>
    </row>
    <row r="1097" spans="1:13" x14ac:dyDescent="0.25">
      <c r="A1097" t="s">
        <v>1436</v>
      </c>
      <c r="B1097" t="s">
        <v>0</v>
      </c>
      <c r="C1097" t="s">
        <v>202</v>
      </c>
      <c r="D1097" t="s">
        <v>203</v>
      </c>
      <c r="E1097" t="s">
        <v>22</v>
      </c>
      <c r="F1097" s="5">
        <v>43477</v>
      </c>
      <c r="G1097" s="5">
        <v>43554</v>
      </c>
      <c r="H1097" s="6">
        <v>0.50694444444444442</v>
      </c>
      <c r="I1097" t="s">
        <v>14</v>
      </c>
      <c r="J1097" t="s">
        <v>649</v>
      </c>
      <c r="K1097" t="s">
        <v>38</v>
      </c>
      <c r="M1097" t="s">
        <v>138</v>
      </c>
    </row>
    <row r="1098" spans="1:13" x14ac:dyDescent="0.25">
      <c r="A1098" t="s">
        <v>1436</v>
      </c>
      <c r="B1098" t="s">
        <v>0</v>
      </c>
      <c r="C1098" t="s">
        <v>202</v>
      </c>
      <c r="D1098" t="s">
        <v>203</v>
      </c>
      <c r="E1098" t="s">
        <v>18</v>
      </c>
      <c r="F1098" s="5">
        <v>43443</v>
      </c>
      <c r="G1098" s="5">
        <v>43520</v>
      </c>
      <c r="H1098" s="6">
        <v>0.57291666666666663</v>
      </c>
      <c r="I1098" t="s">
        <v>14</v>
      </c>
      <c r="J1098" t="s">
        <v>649</v>
      </c>
      <c r="K1098" t="s">
        <v>38</v>
      </c>
      <c r="M1098" t="s">
        <v>138</v>
      </c>
    </row>
    <row r="1099" spans="1:13" x14ac:dyDescent="0.25">
      <c r="A1099" t="s">
        <v>1436</v>
      </c>
      <c r="B1099" t="s">
        <v>0</v>
      </c>
      <c r="C1099" t="s">
        <v>202</v>
      </c>
      <c r="D1099" t="s">
        <v>203</v>
      </c>
      <c r="E1099" t="s">
        <v>22</v>
      </c>
      <c r="F1099" s="5">
        <v>43407</v>
      </c>
      <c r="G1099" s="5">
        <v>43554</v>
      </c>
      <c r="H1099" s="6">
        <v>0.64236111111111105</v>
      </c>
      <c r="I1099" t="s">
        <v>14</v>
      </c>
      <c r="J1099" t="s">
        <v>651</v>
      </c>
      <c r="K1099" t="s">
        <v>38</v>
      </c>
      <c r="M1099" t="s">
        <v>138</v>
      </c>
    </row>
    <row r="1100" spans="1:13" x14ac:dyDescent="0.25">
      <c r="A1100" t="s">
        <v>1436</v>
      </c>
      <c r="B1100" t="s">
        <v>0</v>
      </c>
      <c r="C1100" t="s">
        <v>202</v>
      </c>
      <c r="D1100" t="s">
        <v>203</v>
      </c>
      <c r="E1100" t="s">
        <v>111</v>
      </c>
      <c r="F1100" s="5">
        <v>43401</v>
      </c>
      <c r="G1100" s="5">
        <v>43552</v>
      </c>
      <c r="H1100" s="6">
        <v>0.65972222222222221</v>
      </c>
      <c r="I1100" t="s">
        <v>14</v>
      </c>
      <c r="J1100" t="s">
        <v>651</v>
      </c>
      <c r="K1100" t="s">
        <v>38</v>
      </c>
      <c r="M1100" t="s">
        <v>138</v>
      </c>
    </row>
    <row r="1101" spans="1:13" x14ac:dyDescent="0.25">
      <c r="A1101" t="s">
        <v>1436</v>
      </c>
      <c r="B1101" t="s">
        <v>0</v>
      </c>
      <c r="C1101" t="s">
        <v>202</v>
      </c>
      <c r="D1101" t="s">
        <v>203</v>
      </c>
      <c r="E1101" t="s">
        <v>19</v>
      </c>
      <c r="F1101" s="5">
        <v>43508</v>
      </c>
      <c r="G1101" s="5">
        <v>43550</v>
      </c>
      <c r="H1101" s="6">
        <v>0.65972222222222221</v>
      </c>
      <c r="I1101" t="s">
        <v>14</v>
      </c>
      <c r="J1101" t="s">
        <v>651</v>
      </c>
      <c r="K1101" t="s">
        <v>38</v>
      </c>
      <c r="M1101" t="s">
        <v>138</v>
      </c>
    </row>
    <row r="1102" spans="1:13" x14ac:dyDescent="0.25">
      <c r="A1102" t="s">
        <v>1436</v>
      </c>
      <c r="B1102" t="s">
        <v>0</v>
      </c>
      <c r="C1102" t="s">
        <v>202</v>
      </c>
      <c r="D1102" t="s">
        <v>203</v>
      </c>
      <c r="E1102" t="s">
        <v>48</v>
      </c>
      <c r="F1102" s="5">
        <v>43455</v>
      </c>
      <c r="G1102" s="5">
        <v>43553</v>
      </c>
      <c r="H1102" s="6">
        <v>0.80902777777777779</v>
      </c>
      <c r="I1102" t="s">
        <v>14</v>
      </c>
      <c r="J1102" t="s">
        <v>649</v>
      </c>
      <c r="K1102" t="s">
        <v>38</v>
      </c>
      <c r="M1102" t="s">
        <v>138</v>
      </c>
    </row>
    <row r="1103" spans="1:13" x14ac:dyDescent="0.25">
      <c r="A1103" t="s">
        <v>1436</v>
      </c>
      <c r="B1103" t="s">
        <v>0</v>
      </c>
      <c r="C1103" t="s">
        <v>208</v>
      </c>
      <c r="D1103" t="s">
        <v>209</v>
      </c>
      <c r="E1103" t="s">
        <v>897</v>
      </c>
      <c r="F1103" s="5">
        <v>43402</v>
      </c>
      <c r="G1103" s="5">
        <v>43553</v>
      </c>
      <c r="H1103" s="6">
        <v>0.52430555555555558</v>
      </c>
      <c r="I1103">
        <v>320</v>
      </c>
      <c r="J1103" t="s">
        <v>653</v>
      </c>
      <c r="K1103" t="s">
        <v>38</v>
      </c>
      <c r="M1103" t="s">
        <v>138</v>
      </c>
    </row>
    <row r="1104" spans="1:13" x14ac:dyDescent="0.25">
      <c r="A1104" t="s">
        <v>1436</v>
      </c>
      <c r="B1104" t="s">
        <v>0</v>
      </c>
      <c r="C1104" t="s">
        <v>208</v>
      </c>
      <c r="D1104" t="s">
        <v>209</v>
      </c>
      <c r="E1104" t="s">
        <v>22</v>
      </c>
      <c r="F1104" s="5">
        <v>43484</v>
      </c>
      <c r="G1104" s="5">
        <v>43554</v>
      </c>
      <c r="H1104" s="6">
        <v>0.52430555555555558</v>
      </c>
      <c r="I1104">
        <v>320</v>
      </c>
      <c r="J1104" t="s">
        <v>653</v>
      </c>
      <c r="K1104" t="s">
        <v>38</v>
      </c>
      <c r="M1104" t="s">
        <v>138</v>
      </c>
    </row>
    <row r="1105" spans="1:13" x14ac:dyDescent="0.25">
      <c r="A1105" t="s">
        <v>1436</v>
      </c>
      <c r="B1105" t="s">
        <v>0</v>
      </c>
      <c r="C1105" t="s">
        <v>208</v>
      </c>
      <c r="D1105" t="s">
        <v>209</v>
      </c>
      <c r="E1105" t="s">
        <v>19</v>
      </c>
      <c r="F1105" s="5">
        <v>43508</v>
      </c>
      <c r="G1105" s="5">
        <v>43550</v>
      </c>
      <c r="H1105" s="6">
        <v>0.52430555555555558</v>
      </c>
      <c r="I1105">
        <v>320</v>
      </c>
      <c r="J1105" t="s">
        <v>653</v>
      </c>
      <c r="K1105" t="s">
        <v>38</v>
      </c>
      <c r="M1105" t="s">
        <v>138</v>
      </c>
    </row>
    <row r="1106" spans="1:13" x14ac:dyDescent="0.25">
      <c r="A1106" t="s">
        <v>1436</v>
      </c>
      <c r="B1106" t="s">
        <v>0</v>
      </c>
      <c r="C1106" t="s">
        <v>208</v>
      </c>
      <c r="D1106" t="s">
        <v>209</v>
      </c>
      <c r="E1106" t="s">
        <v>20</v>
      </c>
      <c r="F1106" s="5">
        <v>43404</v>
      </c>
      <c r="G1106" s="5">
        <v>43551</v>
      </c>
      <c r="H1106" s="6">
        <v>0.52777777777777779</v>
      </c>
      <c r="I1106" t="s">
        <v>14</v>
      </c>
      <c r="J1106" t="s">
        <v>1587</v>
      </c>
      <c r="K1106" t="s">
        <v>38</v>
      </c>
      <c r="M1106" t="s">
        <v>138</v>
      </c>
    </row>
    <row r="1107" spans="1:13" x14ac:dyDescent="0.25">
      <c r="A1107" t="s">
        <v>1436</v>
      </c>
      <c r="B1107" t="s">
        <v>0</v>
      </c>
      <c r="C1107" t="s">
        <v>208</v>
      </c>
      <c r="D1107" t="s">
        <v>209</v>
      </c>
      <c r="E1107" t="s">
        <v>59</v>
      </c>
      <c r="F1107" s="5">
        <v>43402</v>
      </c>
      <c r="G1107" s="5">
        <v>43549</v>
      </c>
      <c r="H1107" s="6">
        <v>0.60069444444444442</v>
      </c>
      <c r="I1107" t="s">
        <v>39</v>
      </c>
      <c r="J1107" t="s">
        <v>654</v>
      </c>
      <c r="K1107" t="s">
        <v>38</v>
      </c>
      <c r="M1107" t="s">
        <v>138</v>
      </c>
    </row>
    <row r="1108" spans="1:13" x14ac:dyDescent="0.25">
      <c r="A1108" t="s">
        <v>1436</v>
      </c>
      <c r="B1108" t="s">
        <v>0</v>
      </c>
      <c r="C1108" t="s">
        <v>208</v>
      </c>
      <c r="D1108" t="s">
        <v>209</v>
      </c>
      <c r="E1108" t="s">
        <v>18</v>
      </c>
      <c r="F1108" s="5">
        <v>43401</v>
      </c>
      <c r="G1108" s="5">
        <v>43548</v>
      </c>
      <c r="H1108" s="6">
        <v>0.80208333333333337</v>
      </c>
      <c r="I1108">
        <v>320</v>
      </c>
      <c r="J1108" t="s">
        <v>1588</v>
      </c>
      <c r="K1108" t="s">
        <v>38</v>
      </c>
      <c r="M1108" t="s">
        <v>138</v>
      </c>
    </row>
    <row r="1109" spans="1:13" x14ac:dyDescent="0.25">
      <c r="A1109" t="s">
        <v>1436</v>
      </c>
      <c r="B1109" t="s">
        <v>0</v>
      </c>
      <c r="C1109" t="s">
        <v>208</v>
      </c>
      <c r="D1109" t="s">
        <v>209</v>
      </c>
      <c r="E1109" t="s">
        <v>22</v>
      </c>
      <c r="F1109" s="5">
        <v>43407</v>
      </c>
      <c r="G1109" s="5">
        <v>43554</v>
      </c>
      <c r="H1109" s="6">
        <v>0.80208333333333337</v>
      </c>
      <c r="I1109" t="s">
        <v>14</v>
      </c>
      <c r="J1109" t="s">
        <v>652</v>
      </c>
      <c r="K1109" t="s">
        <v>38</v>
      </c>
      <c r="M1109" t="s">
        <v>138</v>
      </c>
    </row>
    <row r="1110" spans="1:13" x14ac:dyDescent="0.25">
      <c r="A1110" t="s">
        <v>1436</v>
      </c>
      <c r="B1110" t="s">
        <v>0</v>
      </c>
      <c r="C1110" t="s">
        <v>208</v>
      </c>
      <c r="D1110" t="s">
        <v>209</v>
      </c>
      <c r="E1110" t="s">
        <v>22</v>
      </c>
      <c r="F1110" s="5">
        <v>43505</v>
      </c>
      <c r="G1110" s="5">
        <v>43554</v>
      </c>
      <c r="H1110" s="6">
        <v>0.80208333333333337</v>
      </c>
      <c r="I1110">
        <v>320</v>
      </c>
      <c r="J1110" t="s">
        <v>1588</v>
      </c>
      <c r="K1110" t="s">
        <v>38</v>
      </c>
      <c r="M1110" t="s">
        <v>138</v>
      </c>
    </row>
    <row r="1111" spans="1:13" x14ac:dyDescent="0.25">
      <c r="A1111" t="s">
        <v>1436</v>
      </c>
      <c r="B1111" t="s">
        <v>0</v>
      </c>
      <c r="C1111" t="s">
        <v>216</v>
      </c>
      <c r="D1111" t="s">
        <v>217</v>
      </c>
      <c r="E1111" t="s">
        <v>18</v>
      </c>
      <c r="F1111" s="5">
        <v>43457</v>
      </c>
      <c r="G1111" s="5">
        <v>43548</v>
      </c>
      <c r="H1111" s="6">
        <v>0.43402777777777773</v>
      </c>
      <c r="I1111" t="s">
        <v>14</v>
      </c>
      <c r="J1111" t="s">
        <v>655</v>
      </c>
      <c r="K1111" t="s">
        <v>216</v>
      </c>
      <c r="M1111" t="s">
        <v>138</v>
      </c>
    </row>
    <row r="1112" spans="1:13" x14ac:dyDescent="0.25">
      <c r="A1112" t="s">
        <v>1436</v>
      </c>
      <c r="B1112" t="s">
        <v>0</v>
      </c>
      <c r="C1112" t="s">
        <v>216</v>
      </c>
      <c r="D1112" t="s">
        <v>217</v>
      </c>
      <c r="E1112" t="s">
        <v>20</v>
      </c>
      <c r="F1112" s="5">
        <v>43509</v>
      </c>
      <c r="G1112" s="5">
        <v>43516</v>
      </c>
      <c r="H1112" s="6">
        <v>0.53472222222222221</v>
      </c>
      <c r="I1112" t="s">
        <v>14</v>
      </c>
      <c r="J1112" t="s">
        <v>1845</v>
      </c>
      <c r="K1112" t="s">
        <v>216</v>
      </c>
      <c r="M1112" t="s">
        <v>138</v>
      </c>
    </row>
    <row r="1113" spans="1:13" x14ac:dyDescent="0.25">
      <c r="A1113" t="s">
        <v>1436</v>
      </c>
      <c r="B1113" t="s">
        <v>0</v>
      </c>
      <c r="C1113" t="s">
        <v>216</v>
      </c>
      <c r="D1113" t="s">
        <v>217</v>
      </c>
      <c r="E1113" t="s">
        <v>59</v>
      </c>
      <c r="F1113" s="5">
        <v>43500</v>
      </c>
      <c r="G1113" s="5">
        <v>43507</v>
      </c>
      <c r="H1113" s="6">
        <v>0.71875</v>
      </c>
      <c r="I1113" t="s">
        <v>14</v>
      </c>
      <c r="J1113" t="s">
        <v>1845</v>
      </c>
      <c r="K1113" t="s">
        <v>216</v>
      </c>
      <c r="M1113" t="s">
        <v>138</v>
      </c>
    </row>
    <row r="1114" spans="1:13" x14ac:dyDescent="0.25">
      <c r="A1114" t="s">
        <v>1436</v>
      </c>
      <c r="B1114" t="s">
        <v>0</v>
      </c>
      <c r="C1114" t="s">
        <v>216</v>
      </c>
      <c r="D1114" t="s">
        <v>217</v>
      </c>
      <c r="E1114" t="s">
        <v>59</v>
      </c>
      <c r="F1114" s="5">
        <v>43514</v>
      </c>
      <c r="G1114" s="5">
        <v>43514</v>
      </c>
      <c r="H1114" s="6">
        <v>0.71875</v>
      </c>
      <c r="I1114" t="s">
        <v>14</v>
      </c>
      <c r="J1114" t="s">
        <v>656</v>
      </c>
      <c r="K1114" t="s">
        <v>216</v>
      </c>
      <c r="M1114" t="s">
        <v>138</v>
      </c>
    </row>
    <row r="1115" spans="1:13" x14ac:dyDescent="0.25">
      <c r="A1115" t="s">
        <v>1436</v>
      </c>
      <c r="B1115" t="s">
        <v>0</v>
      </c>
      <c r="C1115" t="s">
        <v>219</v>
      </c>
      <c r="D1115" t="s">
        <v>220</v>
      </c>
      <c r="E1115" t="s">
        <v>22</v>
      </c>
      <c r="F1115" s="5">
        <v>43407</v>
      </c>
      <c r="G1115" s="5">
        <v>43554</v>
      </c>
      <c r="H1115" s="6">
        <v>0.63888888888888895</v>
      </c>
      <c r="I1115">
        <v>320</v>
      </c>
      <c r="J1115" t="s">
        <v>657</v>
      </c>
      <c r="K1115" t="s">
        <v>221</v>
      </c>
      <c r="M1115" t="s">
        <v>138</v>
      </c>
    </row>
    <row r="1116" spans="1:13" x14ac:dyDescent="0.25">
      <c r="A1116" t="s">
        <v>1436</v>
      </c>
      <c r="B1116" t="s">
        <v>0</v>
      </c>
      <c r="C1116" t="s">
        <v>1589</v>
      </c>
      <c r="D1116" t="s">
        <v>223</v>
      </c>
      <c r="E1116" t="s">
        <v>18</v>
      </c>
      <c r="F1116" s="5">
        <v>43415</v>
      </c>
      <c r="G1116" s="5">
        <v>43548</v>
      </c>
      <c r="H1116" s="6">
        <v>0.25</v>
      </c>
      <c r="I1116" t="s">
        <v>14</v>
      </c>
      <c r="J1116" t="s">
        <v>668</v>
      </c>
      <c r="K1116" t="s">
        <v>1533</v>
      </c>
      <c r="M1116" t="s">
        <v>138</v>
      </c>
    </row>
    <row r="1117" spans="1:13" x14ac:dyDescent="0.25">
      <c r="A1117" t="s">
        <v>1436</v>
      </c>
      <c r="B1117" t="s">
        <v>0</v>
      </c>
      <c r="C1117" t="s">
        <v>1589</v>
      </c>
      <c r="D1117" t="s">
        <v>223</v>
      </c>
      <c r="E1117" t="s">
        <v>19</v>
      </c>
      <c r="F1117" s="5">
        <v>43473</v>
      </c>
      <c r="G1117" s="5">
        <v>43550</v>
      </c>
      <c r="H1117" s="6">
        <v>0.25</v>
      </c>
      <c r="I1117" t="s">
        <v>14</v>
      </c>
      <c r="J1117" t="s">
        <v>668</v>
      </c>
      <c r="K1117" t="s">
        <v>1533</v>
      </c>
      <c r="M1117" t="s">
        <v>138</v>
      </c>
    </row>
    <row r="1118" spans="1:13" x14ac:dyDescent="0.25">
      <c r="A1118" t="s">
        <v>1436</v>
      </c>
      <c r="B1118" t="s">
        <v>0</v>
      </c>
      <c r="C1118" t="s">
        <v>1589</v>
      </c>
      <c r="D1118" t="s">
        <v>223</v>
      </c>
      <c r="E1118" t="s">
        <v>48</v>
      </c>
      <c r="F1118" s="5">
        <v>43497</v>
      </c>
      <c r="G1118" s="5">
        <v>43511</v>
      </c>
      <c r="H1118" s="6">
        <v>0.25</v>
      </c>
      <c r="I1118" t="s">
        <v>14</v>
      </c>
      <c r="J1118" t="s">
        <v>668</v>
      </c>
      <c r="K1118" t="s">
        <v>1533</v>
      </c>
      <c r="M1118" t="s">
        <v>138</v>
      </c>
    </row>
    <row r="1119" spans="1:13" x14ac:dyDescent="0.25">
      <c r="A1119" t="s">
        <v>1436</v>
      </c>
      <c r="B1119" t="s">
        <v>0</v>
      </c>
      <c r="C1119" t="s">
        <v>1589</v>
      </c>
      <c r="D1119" t="s">
        <v>223</v>
      </c>
      <c r="E1119" t="s">
        <v>22</v>
      </c>
      <c r="F1119" s="5">
        <v>43498</v>
      </c>
      <c r="G1119" s="5">
        <v>43554</v>
      </c>
      <c r="H1119" s="6">
        <v>0.25</v>
      </c>
      <c r="I1119" t="s">
        <v>14</v>
      </c>
      <c r="J1119" t="s">
        <v>668</v>
      </c>
      <c r="K1119" t="s">
        <v>1533</v>
      </c>
      <c r="M1119" t="s">
        <v>138</v>
      </c>
    </row>
    <row r="1120" spans="1:13" x14ac:dyDescent="0.25">
      <c r="A1120" t="s">
        <v>1436</v>
      </c>
      <c r="B1120" t="s">
        <v>0</v>
      </c>
      <c r="C1120" t="s">
        <v>1589</v>
      </c>
      <c r="D1120" t="s">
        <v>223</v>
      </c>
      <c r="E1120" t="s">
        <v>841</v>
      </c>
      <c r="F1120" s="5">
        <v>43402</v>
      </c>
      <c r="G1120" s="5">
        <v>43554</v>
      </c>
      <c r="H1120" s="6">
        <v>0.27430555555555552</v>
      </c>
      <c r="I1120">
        <v>321</v>
      </c>
      <c r="J1120" t="s">
        <v>658</v>
      </c>
      <c r="K1120" t="s">
        <v>1533</v>
      </c>
      <c r="M1120" t="s">
        <v>138</v>
      </c>
    </row>
    <row r="1121" spans="1:13" x14ac:dyDescent="0.25">
      <c r="A1121" t="s">
        <v>1436</v>
      </c>
      <c r="B1121" t="s">
        <v>0</v>
      </c>
      <c r="C1121" t="s">
        <v>1589</v>
      </c>
      <c r="D1121" t="s">
        <v>223</v>
      </c>
      <c r="E1121" t="s">
        <v>20</v>
      </c>
      <c r="F1121" s="5">
        <v>43411</v>
      </c>
      <c r="G1121" s="5">
        <v>43551</v>
      </c>
      <c r="H1121" s="6">
        <v>0.27430555555555552</v>
      </c>
      <c r="I1121">
        <v>321</v>
      </c>
      <c r="J1121" t="s">
        <v>658</v>
      </c>
      <c r="K1121" t="s">
        <v>1533</v>
      </c>
      <c r="M1121" t="s">
        <v>138</v>
      </c>
    </row>
    <row r="1122" spans="1:13" x14ac:dyDescent="0.25">
      <c r="A1122" t="s">
        <v>1436</v>
      </c>
      <c r="B1122" t="s">
        <v>0</v>
      </c>
      <c r="C1122" t="s">
        <v>1589</v>
      </c>
      <c r="D1122" t="s">
        <v>223</v>
      </c>
      <c r="E1122" t="s">
        <v>841</v>
      </c>
      <c r="F1122" s="5">
        <v>43401</v>
      </c>
      <c r="G1122" s="5">
        <v>43524</v>
      </c>
      <c r="H1122" s="6">
        <v>0.29166666666666669</v>
      </c>
      <c r="I1122" t="s">
        <v>14</v>
      </c>
      <c r="J1122" t="s">
        <v>660</v>
      </c>
      <c r="K1122" t="s">
        <v>1533</v>
      </c>
      <c r="M1122" t="s">
        <v>138</v>
      </c>
    </row>
    <row r="1123" spans="1:13" x14ac:dyDescent="0.25">
      <c r="A1123" t="s">
        <v>1436</v>
      </c>
      <c r="B1123" t="s">
        <v>0</v>
      </c>
      <c r="C1123" t="s">
        <v>1589</v>
      </c>
      <c r="D1123" t="s">
        <v>223</v>
      </c>
      <c r="E1123" t="s">
        <v>20</v>
      </c>
      <c r="F1123" s="5">
        <v>43404</v>
      </c>
      <c r="G1123" s="5">
        <v>43551</v>
      </c>
      <c r="H1123" s="6">
        <v>0.2986111111111111</v>
      </c>
      <c r="I1123" t="s">
        <v>14</v>
      </c>
      <c r="J1123" t="s">
        <v>660</v>
      </c>
      <c r="K1123" t="s">
        <v>1533</v>
      </c>
      <c r="M1123" t="s">
        <v>138</v>
      </c>
    </row>
    <row r="1124" spans="1:13" x14ac:dyDescent="0.25">
      <c r="A1124" t="s">
        <v>1436</v>
      </c>
      <c r="B1124" t="s">
        <v>0</v>
      </c>
      <c r="C1124" t="s">
        <v>1589</v>
      </c>
      <c r="D1124" t="s">
        <v>223</v>
      </c>
      <c r="E1124" t="s">
        <v>20</v>
      </c>
      <c r="F1124" s="5">
        <v>43404</v>
      </c>
      <c r="G1124" s="5">
        <v>43551</v>
      </c>
      <c r="H1124" s="6">
        <v>0.30555555555555552</v>
      </c>
      <c r="I1124">
        <v>320</v>
      </c>
      <c r="J1124" t="s">
        <v>1260</v>
      </c>
      <c r="K1124" t="s">
        <v>1533</v>
      </c>
      <c r="M1124" t="s">
        <v>138</v>
      </c>
    </row>
    <row r="1125" spans="1:13" x14ac:dyDescent="0.25">
      <c r="A1125" t="s">
        <v>1436</v>
      </c>
      <c r="B1125" t="s">
        <v>0</v>
      </c>
      <c r="C1125" t="s">
        <v>1589</v>
      </c>
      <c r="D1125" t="s">
        <v>223</v>
      </c>
      <c r="E1125" t="s">
        <v>19</v>
      </c>
      <c r="F1125" s="5">
        <v>43508</v>
      </c>
      <c r="G1125" s="5">
        <v>43550</v>
      </c>
      <c r="H1125" s="6">
        <v>0.30555555555555552</v>
      </c>
      <c r="I1125">
        <v>320</v>
      </c>
      <c r="J1125" t="s">
        <v>1260</v>
      </c>
      <c r="K1125" t="s">
        <v>1533</v>
      </c>
      <c r="M1125" t="s">
        <v>138</v>
      </c>
    </row>
    <row r="1126" spans="1:13" x14ac:dyDescent="0.25">
      <c r="A1126" t="s">
        <v>1436</v>
      </c>
      <c r="B1126" t="s">
        <v>0</v>
      </c>
      <c r="C1126" t="s">
        <v>1589</v>
      </c>
      <c r="D1126" t="s">
        <v>223</v>
      </c>
      <c r="E1126" t="s">
        <v>750</v>
      </c>
      <c r="F1126" s="5">
        <v>43402</v>
      </c>
      <c r="G1126" s="5">
        <v>43554</v>
      </c>
      <c r="H1126" s="6">
        <v>0.38541666666666669</v>
      </c>
      <c r="I1126" t="s">
        <v>14</v>
      </c>
      <c r="J1126" t="s">
        <v>661</v>
      </c>
      <c r="K1126" t="s">
        <v>1533</v>
      </c>
      <c r="M1126" t="s">
        <v>138</v>
      </c>
    </row>
    <row r="1127" spans="1:13" x14ac:dyDescent="0.25">
      <c r="A1127" t="s">
        <v>1436</v>
      </c>
      <c r="B1127" t="s">
        <v>0</v>
      </c>
      <c r="C1127" t="s">
        <v>1589</v>
      </c>
      <c r="D1127" t="s">
        <v>223</v>
      </c>
      <c r="E1127" t="s">
        <v>20</v>
      </c>
      <c r="F1127" s="5">
        <v>43467</v>
      </c>
      <c r="G1127" s="5">
        <v>43551</v>
      </c>
      <c r="H1127" s="6">
        <v>0.38541666666666669</v>
      </c>
      <c r="I1127" t="s">
        <v>14</v>
      </c>
      <c r="J1127" t="s">
        <v>661</v>
      </c>
      <c r="K1127" t="s">
        <v>1533</v>
      </c>
      <c r="M1127" t="s">
        <v>138</v>
      </c>
    </row>
    <row r="1128" spans="1:13" x14ac:dyDescent="0.25">
      <c r="A1128" t="s">
        <v>1436</v>
      </c>
      <c r="B1128" t="s">
        <v>0</v>
      </c>
      <c r="C1128" t="s">
        <v>1589</v>
      </c>
      <c r="D1128" t="s">
        <v>223</v>
      </c>
      <c r="E1128" t="s">
        <v>22</v>
      </c>
      <c r="F1128" s="5">
        <v>43407</v>
      </c>
      <c r="G1128" s="5">
        <v>43519</v>
      </c>
      <c r="H1128" s="6">
        <v>0.39930555555555558</v>
      </c>
      <c r="I1128" t="s">
        <v>14</v>
      </c>
      <c r="J1128" t="s">
        <v>1590</v>
      </c>
      <c r="K1128" t="s">
        <v>1533</v>
      </c>
      <c r="M1128" t="s">
        <v>138</v>
      </c>
    </row>
    <row r="1129" spans="1:13" x14ac:dyDescent="0.25">
      <c r="A1129" t="s">
        <v>1436</v>
      </c>
      <c r="B1129" t="s">
        <v>0</v>
      </c>
      <c r="C1129" t="s">
        <v>1589</v>
      </c>
      <c r="D1129" t="s">
        <v>223</v>
      </c>
      <c r="E1129" t="s">
        <v>59</v>
      </c>
      <c r="F1129" s="5">
        <v>43409</v>
      </c>
      <c r="G1129" s="5">
        <v>43549</v>
      </c>
      <c r="H1129" s="6">
        <v>0.41319444444444442</v>
      </c>
      <c r="I1129">
        <v>320</v>
      </c>
      <c r="J1129" t="s">
        <v>1591</v>
      </c>
      <c r="K1129" t="s">
        <v>1533</v>
      </c>
      <c r="M1129" t="s">
        <v>138</v>
      </c>
    </row>
    <row r="1130" spans="1:13" x14ac:dyDescent="0.25">
      <c r="A1130" t="s">
        <v>1436</v>
      </c>
      <c r="B1130" t="s">
        <v>0</v>
      </c>
      <c r="C1130" t="s">
        <v>1589</v>
      </c>
      <c r="D1130" t="s">
        <v>223</v>
      </c>
      <c r="E1130" t="s">
        <v>19</v>
      </c>
      <c r="F1130" s="5">
        <v>43424</v>
      </c>
      <c r="G1130" s="5">
        <v>43550</v>
      </c>
      <c r="H1130" s="6">
        <v>0.41666666666666669</v>
      </c>
      <c r="I1130" t="s">
        <v>14</v>
      </c>
      <c r="J1130" t="s">
        <v>662</v>
      </c>
      <c r="K1130" t="s">
        <v>1533</v>
      </c>
      <c r="M1130" t="s">
        <v>138</v>
      </c>
    </row>
    <row r="1131" spans="1:13" x14ac:dyDescent="0.25">
      <c r="A1131" t="s">
        <v>1436</v>
      </c>
      <c r="B1131" t="s">
        <v>0</v>
      </c>
      <c r="C1131" t="s">
        <v>1589</v>
      </c>
      <c r="D1131" t="s">
        <v>223</v>
      </c>
      <c r="E1131" t="s">
        <v>190</v>
      </c>
      <c r="F1131" s="5">
        <v>43469</v>
      </c>
      <c r="G1131" s="5">
        <v>43554</v>
      </c>
      <c r="H1131" s="6">
        <v>0.41666666666666669</v>
      </c>
      <c r="I1131" t="s">
        <v>14</v>
      </c>
      <c r="J1131" t="s">
        <v>662</v>
      </c>
      <c r="K1131" t="s">
        <v>1533</v>
      </c>
      <c r="M1131" t="s">
        <v>138</v>
      </c>
    </row>
    <row r="1132" spans="1:13" x14ac:dyDescent="0.25">
      <c r="A1132" t="s">
        <v>1436</v>
      </c>
      <c r="B1132" t="s">
        <v>0</v>
      </c>
      <c r="C1132" t="s">
        <v>1589</v>
      </c>
      <c r="D1132" t="s">
        <v>223</v>
      </c>
      <c r="E1132" t="s">
        <v>59</v>
      </c>
      <c r="F1132" s="5">
        <v>43479</v>
      </c>
      <c r="G1132" s="5">
        <v>43549</v>
      </c>
      <c r="H1132" s="6">
        <v>0.41666666666666669</v>
      </c>
      <c r="I1132" t="s">
        <v>14</v>
      </c>
      <c r="J1132" t="s">
        <v>662</v>
      </c>
      <c r="K1132" t="s">
        <v>1533</v>
      </c>
      <c r="M1132" t="s">
        <v>138</v>
      </c>
    </row>
    <row r="1133" spans="1:13" x14ac:dyDescent="0.25">
      <c r="A1133" t="s">
        <v>1436</v>
      </c>
      <c r="B1133" t="s">
        <v>0</v>
      </c>
      <c r="C1133" t="s">
        <v>1589</v>
      </c>
      <c r="D1133" t="s">
        <v>223</v>
      </c>
      <c r="E1133" t="s">
        <v>228</v>
      </c>
      <c r="F1133" s="5">
        <v>43495</v>
      </c>
      <c r="G1133" s="5">
        <v>43552</v>
      </c>
      <c r="H1133" s="6">
        <v>0.41666666666666669</v>
      </c>
      <c r="I1133" t="s">
        <v>14</v>
      </c>
      <c r="J1133" t="s">
        <v>662</v>
      </c>
      <c r="K1133" t="s">
        <v>1533</v>
      </c>
      <c r="M1133" t="s">
        <v>138</v>
      </c>
    </row>
    <row r="1134" spans="1:13" x14ac:dyDescent="0.25">
      <c r="A1134" t="s">
        <v>1436</v>
      </c>
      <c r="B1134" t="s">
        <v>0</v>
      </c>
      <c r="C1134" t="s">
        <v>1589</v>
      </c>
      <c r="D1134" t="s">
        <v>223</v>
      </c>
      <c r="E1134" t="s">
        <v>18</v>
      </c>
      <c r="F1134" s="5">
        <v>43513</v>
      </c>
      <c r="G1134" s="5">
        <v>43548</v>
      </c>
      <c r="H1134" s="6">
        <v>0.41666666666666669</v>
      </c>
      <c r="I1134" t="s">
        <v>14</v>
      </c>
      <c r="J1134" t="s">
        <v>662</v>
      </c>
      <c r="K1134" t="s">
        <v>1533</v>
      </c>
      <c r="M1134" t="s">
        <v>138</v>
      </c>
    </row>
    <row r="1135" spans="1:13" x14ac:dyDescent="0.25">
      <c r="A1135" t="s">
        <v>1436</v>
      </c>
      <c r="B1135" t="s">
        <v>0</v>
      </c>
      <c r="C1135" t="s">
        <v>1589</v>
      </c>
      <c r="D1135" t="s">
        <v>223</v>
      </c>
      <c r="E1135" t="s">
        <v>18</v>
      </c>
      <c r="F1135" s="5">
        <v>43401</v>
      </c>
      <c r="G1135" s="5">
        <v>43548</v>
      </c>
      <c r="H1135" s="6">
        <v>0.4548611111111111</v>
      </c>
      <c r="I1135" t="s">
        <v>14</v>
      </c>
      <c r="J1135" t="s">
        <v>1590</v>
      </c>
      <c r="K1135" t="s">
        <v>1533</v>
      </c>
      <c r="M1135" t="s">
        <v>138</v>
      </c>
    </row>
    <row r="1136" spans="1:13" x14ac:dyDescent="0.25">
      <c r="A1136" t="s">
        <v>1436</v>
      </c>
      <c r="B1136" t="s">
        <v>0</v>
      </c>
      <c r="C1136" t="s">
        <v>1589</v>
      </c>
      <c r="D1136" t="s">
        <v>223</v>
      </c>
      <c r="E1136" t="s">
        <v>144</v>
      </c>
      <c r="F1136" s="5">
        <v>43401</v>
      </c>
      <c r="G1136" s="5">
        <v>43554</v>
      </c>
      <c r="H1136" s="6">
        <v>0.46527777777777773</v>
      </c>
      <c r="I1136">
        <v>320</v>
      </c>
      <c r="J1136" t="s">
        <v>663</v>
      </c>
      <c r="K1136" t="s">
        <v>1533</v>
      </c>
      <c r="M1136" t="s">
        <v>138</v>
      </c>
    </row>
    <row r="1137" spans="1:13" x14ac:dyDescent="0.25">
      <c r="A1137" t="s">
        <v>1436</v>
      </c>
      <c r="B1137" t="s">
        <v>0</v>
      </c>
      <c r="C1137" t="s">
        <v>1589</v>
      </c>
      <c r="D1137" t="s">
        <v>223</v>
      </c>
      <c r="E1137" t="s">
        <v>37</v>
      </c>
      <c r="F1137" s="5">
        <v>43402</v>
      </c>
      <c r="G1137" s="5">
        <v>43553</v>
      </c>
      <c r="H1137" s="6">
        <v>0.46875</v>
      </c>
      <c r="I1137" t="s">
        <v>14</v>
      </c>
      <c r="J1137" t="s">
        <v>1590</v>
      </c>
      <c r="K1137" t="s">
        <v>1533</v>
      </c>
      <c r="M1137" t="s">
        <v>138</v>
      </c>
    </row>
    <row r="1138" spans="1:13" x14ac:dyDescent="0.25">
      <c r="A1138" t="s">
        <v>1436</v>
      </c>
      <c r="B1138" t="s">
        <v>0</v>
      </c>
      <c r="C1138" t="s">
        <v>1589</v>
      </c>
      <c r="D1138" t="s">
        <v>223</v>
      </c>
      <c r="E1138" t="s">
        <v>419</v>
      </c>
      <c r="F1138" s="5">
        <v>43401</v>
      </c>
      <c r="G1138" s="5">
        <v>43553</v>
      </c>
      <c r="H1138" s="6">
        <v>0.57986111111111105</v>
      </c>
      <c r="I1138">
        <v>320</v>
      </c>
      <c r="J1138" t="s">
        <v>664</v>
      </c>
      <c r="K1138" t="s">
        <v>1533</v>
      </c>
      <c r="M1138" t="s">
        <v>138</v>
      </c>
    </row>
    <row r="1139" spans="1:13" x14ac:dyDescent="0.25">
      <c r="A1139" t="s">
        <v>1436</v>
      </c>
      <c r="B1139" t="s">
        <v>0</v>
      </c>
      <c r="C1139" t="s">
        <v>1589</v>
      </c>
      <c r="D1139" t="s">
        <v>223</v>
      </c>
      <c r="E1139" t="s">
        <v>59</v>
      </c>
      <c r="F1139" s="5">
        <v>43402</v>
      </c>
      <c r="G1139" s="5">
        <v>43521</v>
      </c>
      <c r="H1139" s="6">
        <v>0.57986111111111105</v>
      </c>
      <c r="I1139">
        <v>320</v>
      </c>
      <c r="J1139" t="s">
        <v>664</v>
      </c>
      <c r="K1139" t="s">
        <v>1533</v>
      </c>
      <c r="M1139" t="s">
        <v>138</v>
      </c>
    </row>
    <row r="1140" spans="1:13" x14ac:dyDescent="0.25">
      <c r="A1140" t="s">
        <v>1436</v>
      </c>
      <c r="B1140" t="s">
        <v>0</v>
      </c>
      <c r="C1140" t="s">
        <v>1589</v>
      </c>
      <c r="D1140" t="s">
        <v>223</v>
      </c>
      <c r="E1140" t="s">
        <v>19</v>
      </c>
      <c r="F1140" s="5">
        <v>43403</v>
      </c>
      <c r="G1140" s="5">
        <v>43508</v>
      </c>
      <c r="H1140" s="6">
        <v>0.57986111111111105</v>
      </c>
      <c r="I1140">
        <v>320</v>
      </c>
      <c r="J1140" t="s">
        <v>664</v>
      </c>
      <c r="K1140" t="s">
        <v>1533</v>
      </c>
      <c r="M1140" t="s">
        <v>138</v>
      </c>
    </row>
    <row r="1141" spans="1:13" x14ac:dyDescent="0.25">
      <c r="A1141" t="s">
        <v>1436</v>
      </c>
      <c r="B1141" t="s">
        <v>0</v>
      </c>
      <c r="C1141" t="s">
        <v>1589</v>
      </c>
      <c r="D1141" t="s">
        <v>223</v>
      </c>
      <c r="E1141" t="s">
        <v>20</v>
      </c>
      <c r="F1141" s="5">
        <v>43502</v>
      </c>
      <c r="G1141" s="5">
        <v>43551</v>
      </c>
      <c r="H1141" s="6">
        <v>0.57986111111111105</v>
      </c>
      <c r="I1141">
        <v>320</v>
      </c>
      <c r="J1141" t="s">
        <v>664</v>
      </c>
      <c r="K1141" t="s">
        <v>1533</v>
      </c>
      <c r="M1141" t="s">
        <v>138</v>
      </c>
    </row>
    <row r="1142" spans="1:13" x14ac:dyDescent="0.25">
      <c r="A1142" t="s">
        <v>1436</v>
      </c>
      <c r="B1142" t="s">
        <v>0</v>
      </c>
      <c r="C1142" t="s">
        <v>1589</v>
      </c>
      <c r="D1142" t="s">
        <v>223</v>
      </c>
      <c r="E1142" t="s">
        <v>13</v>
      </c>
      <c r="F1142" s="5">
        <v>43510</v>
      </c>
      <c r="G1142" s="5">
        <v>43552</v>
      </c>
      <c r="H1142" s="6">
        <v>0.57986111111111105</v>
      </c>
      <c r="I1142">
        <v>320</v>
      </c>
      <c r="J1142" t="s">
        <v>664</v>
      </c>
      <c r="K1142" t="s">
        <v>1533</v>
      </c>
      <c r="M1142" t="s">
        <v>138</v>
      </c>
    </row>
    <row r="1143" spans="1:13" x14ac:dyDescent="0.25">
      <c r="A1143" t="s">
        <v>1436</v>
      </c>
      <c r="B1143" t="s">
        <v>0</v>
      </c>
      <c r="C1143" t="s">
        <v>1589</v>
      </c>
      <c r="D1143" t="s">
        <v>223</v>
      </c>
      <c r="E1143" t="s">
        <v>841</v>
      </c>
      <c r="F1143" s="5">
        <v>43401</v>
      </c>
      <c r="G1143" s="5">
        <v>43554</v>
      </c>
      <c r="H1143" s="6">
        <v>0.62847222222222221</v>
      </c>
      <c r="I1143">
        <v>321</v>
      </c>
      <c r="J1143" t="s">
        <v>665</v>
      </c>
      <c r="K1143" t="s">
        <v>1533</v>
      </c>
      <c r="M1143" t="s">
        <v>138</v>
      </c>
    </row>
    <row r="1144" spans="1:13" x14ac:dyDescent="0.25">
      <c r="A1144" t="s">
        <v>1436</v>
      </c>
      <c r="B1144" t="s">
        <v>0</v>
      </c>
      <c r="C1144" t="s">
        <v>1589</v>
      </c>
      <c r="D1144" t="s">
        <v>223</v>
      </c>
      <c r="E1144" t="s">
        <v>20</v>
      </c>
      <c r="F1144" s="5">
        <v>43404</v>
      </c>
      <c r="G1144" s="5">
        <v>43530</v>
      </c>
      <c r="H1144" s="6">
        <v>0.62847222222222221</v>
      </c>
      <c r="I1144">
        <v>321</v>
      </c>
      <c r="J1144" t="s">
        <v>665</v>
      </c>
      <c r="K1144" t="s">
        <v>1533</v>
      </c>
      <c r="M1144" t="s">
        <v>138</v>
      </c>
    </row>
    <row r="1145" spans="1:13" x14ac:dyDescent="0.25">
      <c r="A1145" t="s">
        <v>1436</v>
      </c>
      <c r="B1145" t="s">
        <v>0</v>
      </c>
      <c r="C1145" t="s">
        <v>1589</v>
      </c>
      <c r="D1145" t="s">
        <v>223</v>
      </c>
      <c r="E1145" t="s">
        <v>18</v>
      </c>
      <c r="F1145" s="5">
        <v>43401</v>
      </c>
      <c r="G1145" s="5">
        <v>43548</v>
      </c>
      <c r="H1145" s="6">
        <v>0.68402777777777779</v>
      </c>
      <c r="I1145" t="s">
        <v>14</v>
      </c>
      <c r="J1145" t="s">
        <v>661</v>
      </c>
      <c r="K1145" t="s">
        <v>1533</v>
      </c>
      <c r="M1145" t="s">
        <v>138</v>
      </c>
    </row>
    <row r="1146" spans="1:13" x14ac:dyDescent="0.25">
      <c r="A1146" t="s">
        <v>1436</v>
      </c>
      <c r="B1146" t="s">
        <v>0</v>
      </c>
      <c r="C1146" t="s">
        <v>1589</v>
      </c>
      <c r="D1146" t="s">
        <v>223</v>
      </c>
      <c r="E1146" t="s">
        <v>59</v>
      </c>
      <c r="F1146" s="5">
        <v>43472</v>
      </c>
      <c r="G1146" s="5">
        <v>43549</v>
      </c>
      <c r="H1146" s="6">
        <v>0.69444444444444453</v>
      </c>
      <c r="I1146" t="s">
        <v>14</v>
      </c>
      <c r="J1146" t="s">
        <v>668</v>
      </c>
      <c r="K1146" t="s">
        <v>1533</v>
      </c>
      <c r="M1146" t="s">
        <v>138</v>
      </c>
    </row>
    <row r="1147" spans="1:13" x14ac:dyDescent="0.25">
      <c r="A1147" t="s">
        <v>1436</v>
      </c>
      <c r="B1147" t="s">
        <v>0</v>
      </c>
      <c r="C1147" t="s">
        <v>1589</v>
      </c>
      <c r="D1147" t="s">
        <v>223</v>
      </c>
      <c r="E1147" t="s">
        <v>13</v>
      </c>
      <c r="F1147" s="5">
        <v>43482</v>
      </c>
      <c r="G1147" s="5">
        <v>43552</v>
      </c>
      <c r="H1147" s="6">
        <v>0.69444444444444453</v>
      </c>
      <c r="I1147" t="s">
        <v>14</v>
      </c>
      <c r="J1147" t="s">
        <v>668</v>
      </c>
      <c r="K1147" t="s">
        <v>1533</v>
      </c>
      <c r="M1147" t="s">
        <v>138</v>
      </c>
    </row>
    <row r="1148" spans="1:13" x14ac:dyDescent="0.25">
      <c r="A1148" t="s">
        <v>1436</v>
      </c>
      <c r="B1148" t="s">
        <v>0</v>
      </c>
      <c r="C1148" t="s">
        <v>1589</v>
      </c>
      <c r="D1148" t="s">
        <v>223</v>
      </c>
      <c r="E1148" t="s">
        <v>20</v>
      </c>
      <c r="F1148" s="5">
        <v>43509</v>
      </c>
      <c r="G1148" s="5">
        <v>43509</v>
      </c>
      <c r="H1148" s="6">
        <v>0.69444444444444453</v>
      </c>
      <c r="I1148" t="s">
        <v>14</v>
      </c>
      <c r="J1148" t="s">
        <v>668</v>
      </c>
      <c r="K1148" t="s">
        <v>1533</v>
      </c>
      <c r="M1148" t="s">
        <v>138</v>
      </c>
    </row>
    <row r="1149" spans="1:13" x14ac:dyDescent="0.25">
      <c r="A1149" t="s">
        <v>1436</v>
      </c>
      <c r="B1149" t="s">
        <v>0</v>
      </c>
      <c r="C1149" t="s">
        <v>1589</v>
      </c>
      <c r="D1149" t="s">
        <v>223</v>
      </c>
      <c r="E1149" t="s">
        <v>18</v>
      </c>
      <c r="F1149" s="5">
        <v>43401</v>
      </c>
      <c r="G1149" s="5">
        <v>43520</v>
      </c>
      <c r="H1149" s="6">
        <v>0.72916666666666663</v>
      </c>
      <c r="I1149">
        <v>320</v>
      </c>
      <c r="J1149" t="s">
        <v>666</v>
      </c>
      <c r="K1149" t="s">
        <v>1533</v>
      </c>
      <c r="M1149" t="s">
        <v>138</v>
      </c>
    </row>
    <row r="1150" spans="1:13" x14ac:dyDescent="0.25">
      <c r="A1150" t="s">
        <v>1436</v>
      </c>
      <c r="B1150" t="s">
        <v>0</v>
      </c>
      <c r="C1150" t="s">
        <v>1589</v>
      </c>
      <c r="D1150" t="s">
        <v>223</v>
      </c>
      <c r="E1150" t="s">
        <v>37</v>
      </c>
      <c r="F1150" s="5">
        <v>43402</v>
      </c>
      <c r="G1150" s="5">
        <v>43553</v>
      </c>
      <c r="H1150" s="6">
        <v>0.72916666666666663</v>
      </c>
      <c r="I1150">
        <v>320</v>
      </c>
      <c r="J1150" t="s">
        <v>666</v>
      </c>
      <c r="K1150" t="s">
        <v>1533</v>
      </c>
      <c r="M1150" t="s">
        <v>138</v>
      </c>
    </row>
    <row r="1151" spans="1:13" x14ac:dyDescent="0.25">
      <c r="A1151" t="s">
        <v>1436</v>
      </c>
      <c r="B1151" t="s">
        <v>0</v>
      </c>
      <c r="C1151" t="s">
        <v>1589</v>
      </c>
      <c r="D1151" t="s">
        <v>223</v>
      </c>
      <c r="E1151" t="s">
        <v>20</v>
      </c>
      <c r="F1151" s="5">
        <v>43495</v>
      </c>
      <c r="G1151" s="5">
        <v>43551</v>
      </c>
      <c r="H1151" s="6">
        <v>0.72916666666666663</v>
      </c>
      <c r="I1151">
        <v>320</v>
      </c>
      <c r="J1151" t="s">
        <v>666</v>
      </c>
      <c r="K1151" t="s">
        <v>1533</v>
      </c>
      <c r="M1151" t="s">
        <v>138</v>
      </c>
    </row>
    <row r="1152" spans="1:13" x14ac:dyDescent="0.25">
      <c r="A1152" t="s">
        <v>1436</v>
      </c>
      <c r="B1152" t="s">
        <v>0</v>
      </c>
      <c r="C1152" t="s">
        <v>1589</v>
      </c>
      <c r="D1152" t="s">
        <v>223</v>
      </c>
      <c r="E1152" t="s">
        <v>22</v>
      </c>
      <c r="F1152" s="5">
        <v>43498</v>
      </c>
      <c r="G1152" s="5">
        <v>43526</v>
      </c>
      <c r="H1152" s="6">
        <v>0.73611111111111116</v>
      </c>
      <c r="I1152">
        <v>320</v>
      </c>
      <c r="J1152" t="s">
        <v>666</v>
      </c>
      <c r="K1152" t="s">
        <v>1533</v>
      </c>
      <c r="M1152" t="s">
        <v>138</v>
      </c>
    </row>
    <row r="1153" spans="1:13" x14ac:dyDescent="0.25">
      <c r="A1153" t="s">
        <v>1436</v>
      </c>
      <c r="B1153" t="s">
        <v>0</v>
      </c>
      <c r="C1153" t="s">
        <v>1589</v>
      </c>
      <c r="D1153" t="s">
        <v>223</v>
      </c>
      <c r="E1153" t="s">
        <v>22</v>
      </c>
      <c r="F1153" s="5">
        <v>43491</v>
      </c>
      <c r="G1153" s="5">
        <v>43519</v>
      </c>
      <c r="H1153" s="6">
        <v>0.75347222222222221</v>
      </c>
      <c r="I1153">
        <v>789</v>
      </c>
      <c r="J1153" t="s">
        <v>669</v>
      </c>
      <c r="K1153" t="s">
        <v>1533</v>
      </c>
      <c r="M1153" t="s">
        <v>138</v>
      </c>
    </row>
    <row r="1154" spans="1:13" x14ac:dyDescent="0.25">
      <c r="A1154" t="s">
        <v>1436</v>
      </c>
      <c r="B1154" t="s">
        <v>0</v>
      </c>
      <c r="C1154" t="s">
        <v>1589</v>
      </c>
      <c r="D1154" t="s">
        <v>223</v>
      </c>
      <c r="E1154" t="s">
        <v>1931</v>
      </c>
      <c r="F1154" s="5">
        <v>43496</v>
      </c>
      <c r="G1154" s="5">
        <v>43553</v>
      </c>
      <c r="H1154" s="6">
        <v>0.75347222222222221</v>
      </c>
      <c r="I1154">
        <v>789</v>
      </c>
      <c r="J1154" t="s">
        <v>669</v>
      </c>
      <c r="K1154" t="s">
        <v>1533</v>
      </c>
      <c r="M1154" t="s">
        <v>138</v>
      </c>
    </row>
    <row r="1155" spans="1:13" x14ac:dyDescent="0.25">
      <c r="A1155" t="s">
        <v>1436</v>
      </c>
      <c r="B1155" t="s">
        <v>0</v>
      </c>
      <c r="C1155" t="s">
        <v>1589</v>
      </c>
      <c r="D1155" t="s">
        <v>223</v>
      </c>
      <c r="E1155" t="s">
        <v>59</v>
      </c>
      <c r="F1155" s="5">
        <v>43500</v>
      </c>
      <c r="G1155" s="5">
        <v>43514</v>
      </c>
      <c r="H1155" s="6">
        <v>0.75347222222222221</v>
      </c>
      <c r="I1155">
        <v>789</v>
      </c>
      <c r="J1155" t="s">
        <v>669</v>
      </c>
      <c r="K1155" t="s">
        <v>1533</v>
      </c>
      <c r="M1155" t="s">
        <v>138</v>
      </c>
    </row>
    <row r="1156" spans="1:13" x14ac:dyDescent="0.25">
      <c r="A1156" t="s">
        <v>1436</v>
      </c>
      <c r="B1156" t="s">
        <v>0</v>
      </c>
      <c r="C1156" t="s">
        <v>1589</v>
      </c>
      <c r="D1156" t="s">
        <v>223</v>
      </c>
      <c r="E1156" t="s">
        <v>30</v>
      </c>
      <c r="F1156" s="5">
        <v>43472</v>
      </c>
      <c r="G1156" s="5">
        <v>43554</v>
      </c>
      <c r="H1156" s="6">
        <v>0.78472222222222221</v>
      </c>
      <c r="I1156" t="s">
        <v>14</v>
      </c>
      <c r="J1156" t="s">
        <v>671</v>
      </c>
      <c r="K1156" t="s">
        <v>1533</v>
      </c>
      <c r="M1156" t="s">
        <v>138</v>
      </c>
    </row>
    <row r="1157" spans="1:13" x14ac:dyDescent="0.25">
      <c r="A1157" t="s">
        <v>1436</v>
      </c>
      <c r="B1157" t="s">
        <v>0</v>
      </c>
      <c r="C1157" t="s">
        <v>1589</v>
      </c>
      <c r="D1157" t="s">
        <v>223</v>
      </c>
      <c r="E1157" t="s">
        <v>755</v>
      </c>
      <c r="F1157" s="5">
        <v>43403</v>
      </c>
      <c r="G1157" s="5">
        <v>43550</v>
      </c>
      <c r="H1157" s="6">
        <v>0.78819444444444453</v>
      </c>
      <c r="I1157">
        <v>321</v>
      </c>
      <c r="J1157" t="s">
        <v>670</v>
      </c>
      <c r="K1157" t="s">
        <v>1533</v>
      </c>
      <c r="M1157" t="s">
        <v>138</v>
      </c>
    </row>
    <row r="1158" spans="1:13" x14ac:dyDescent="0.25">
      <c r="A1158" t="s">
        <v>1436</v>
      </c>
      <c r="B1158" t="s">
        <v>0</v>
      </c>
      <c r="C1158" t="s">
        <v>1589</v>
      </c>
      <c r="D1158" t="s">
        <v>223</v>
      </c>
      <c r="E1158" t="s">
        <v>1462</v>
      </c>
      <c r="F1158" s="5">
        <v>43503</v>
      </c>
      <c r="G1158" s="5">
        <v>43553</v>
      </c>
      <c r="H1158" s="6">
        <v>0.78819444444444453</v>
      </c>
      <c r="I1158">
        <v>321</v>
      </c>
      <c r="J1158" t="s">
        <v>670</v>
      </c>
      <c r="K1158" t="s">
        <v>1533</v>
      </c>
      <c r="M1158" t="s">
        <v>138</v>
      </c>
    </row>
    <row r="1159" spans="1:13" x14ac:dyDescent="0.25">
      <c r="A1159" t="s">
        <v>1436</v>
      </c>
      <c r="B1159" t="s">
        <v>0</v>
      </c>
      <c r="C1159" t="s">
        <v>1589</v>
      </c>
      <c r="D1159" t="s">
        <v>223</v>
      </c>
      <c r="E1159" t="s">
        <v>20</v>
      </c>
      <c r="F1159" s="5">
        <v>43502</v>
      </c>
      <c r="G1159" s="5">
        <v>43551</v>
      </c>
      <c r="H1159" s="6">
        <v>0.79861111111111116</v>
      </c>
      <c r="I1159">
        <v>320</v>
      </c>
      <c r="J1159" t="s">
        <v>670</v>
      </c>
      <c r="K1159" t="s">
        <v>1533</v>
      </c>
      <c r="M1159" t="s">
        <v>138</v>
      </c>
    </row>
    <row r="1160" spans="1:13" x14ac:dyDescent="0.25">
      <c r="A1160" t="s">
        <v>1436</v>
      </c>
      <c r="B1160" t="s">
        <v>0</v>
      </c>
      <c r="C1160" t="s">
        <v>1589</v>
      </c>
      <c r="D1160" t="s">
        <v>223</v>
      </c>
      <c r="E1160" t="s">
        <v>48</v>
      </c>
      <c r="F1160" s="5">
        <v>43406</v>
      </c>
      <c r="G1160" s="5">
        <v>43553</v>
      </c>
      <c r="H1160" s="6">
        <v>0.84375</v>
      </c>
      <c r="I1160" t="s">
        <v>14</v>
      </c>
      <c r="J1160" t="s">
        <v>661</v>
      </c>
      <c r="K1160" t="s">
        <v>1533</v>
      </c>
      <c r="M1160" t="s">
        <v>138</v>
      </c>
    </row>
    <row r="1161" spans="1:13" x14ac:dyDescent="0.25">
      <c r="A1161" t="s">
        <v>1436</v>
      </c>
      <c r="B1161" t="s">
        <v>0</v>
      </c>
      <c r="C1161" t="s">
        <v>230</v>
      </c>
      <c r="D1161" t="s">
        <v>231</v>
      </c>
      <c r="E1161" t="s">
        <v>795</v>
      </c>
      <c r="F1161" s="5">
        <v>43401</v>
      </c>
      <c r="G1161" s="5">
        <v>43552</v>
      </c>
      <c r="H1161" s="6">
        <v>0.54513888888888895</v>
      </c>
      <c r="I1161">
        <v>320</v>
      </c>
      <c r="J1161" t="s">
        <v>674</v>
      </c>
      <c r="K1161" t="s">
        <v>1533</v>
      </c>
      <c r="M1161" t="s">
        <v>138</v>
      </c>
    </row>
    <row r="1162" spans="1:13" x14ac:dyDescent="0.25">
      <c r="A1162" t="s">
        <v>1436</v>
      </c>
      <c r="B1162" t="s">
        <v>0</v>
      </c>
      <c r="C1162" t="s">
        <v>230</v>
      </c>
      <c r="D1162" t="s">
        <v>231</v>
      </c>
      <c r="E1162" t="s">
        <v>59</v>
      </c>
      <c r="F1162" s="5">
        <v>43430</v>
      </c>
      <c r="G1162" s="5">
        <v>43549</v>
      </c>
      <c r="H1162" s="6">
        <v>0.54513888888888895</v>
      </c>
      <c r="I1162">
        <v>320</v>
      </c>
      <c r="J1162" t="s">
        <v>674</v>
      </c>
      <c r="K1162" t="s">
        <v>1533</v>
      </c>
      <c r="M1162" t="s">
        <v>138</v>
      </c>
    </row>
    <row r="1163" spans="1:13" x14ac:dyDescent="0.25">
      <c r="A1163" t="s">
        <v>1436</v>
      </c>
      <c r="B1163" t="s">
        <v>0</v>
      </c>
      <c r="C1163" t="s">
        <v>230</v>
      </c>
      <c r="D1163" t="s">
        <v>231</v>
      </c>
      <c r="E1163" t="s">
        <v>48</v>
      </c>
      <c r="F1163" s="5">
        <v>43448</v>
      </c>
      <c r="G1163" s="5">
        <v>43546</v>
      </c>
      <c r="H1163" s="6">
        <v>0.54513888888888895</v>
      </c>
      <c r="I1163">
        <v>320</v>
      </c>
      <c r="J1163" t="s">
        <v>674</v>
      </c>
      <c r="K1163" t="s">
        <v>1533</v>
      </c>
      <c r="M1163" t="s">
        <v>138</v>
      </c>
    </row>
    <row r="1164" spans="1:13" x14ac:dyDescent="0.25">
      <c r="A1164" t="s">
        <v>1436</v>
      </c>
      <c r="B1164" t="s">
        <v>0</v>
      </c>
      <c r="C1164" t="s">
        <v>230</v>
      </c>
      <c r="D1164" t="s">
        <v>231</v>
      </c>
      <c r="E1164" t="s">
        <v>20</v>
      </c>
      <c r="F1164" s="5">
        <v>43502</v>
      </c>
      <c r="G1164" s="5">
        <v>43509</v>
      </c>
      <c r="H1164" s="6">
        <v>0.54513888888888895</v>
      </c>
      <c r="I1164">
        <v>320</v>
      </c>
      <c r="J1164" t="s">
        <v>674</v>
      </c>
      <c r="K1164" t="s">
        <v>1533</v>
      </c>
      <c r="M1164" t="s">
        <v>138</v>
      </c>
    </row>
    <row r="1165" spans="1:13" x14ac:dyDescent="0.25">
      <c r="A1165" t="s">
        <v>1436</v>
      </c>
      <c r="B1165" t="s">
        <v>0</v>
      </c>
      <c r="C1165" t="s">
        <v>230</v>
      </c>
      <c r="D1165" t="s">
        <v>231</v>
      </c>
      <c r="E1165" t="s">
        <v>22</v>
      </c>
      <c r="F1165" s="5">
        <v>43512</v>
      </c>
      <c r="G1165" s="5">
        <v>43554</v>
      </c>
      <c r="H1165" s="6">
        <v>0.8125</v>
      </c>
      <c r="I1165">
        <v>320</v>
      </c>
      <c r="J1165" t="s">
        <v>674</v>
      </c>
      <c r="K1165" t="s">
        <v>1533</v>
      </c>
      <c r="M1165" t="s">
        <v>138</v>
      </c>
    </row>
    <row r="1166" spans="1:13" x14ac:dyDescent="0.25">
      <c r="A1166" t="s">
        <v>1436</v>
      </c>
      <c r="B1166" t="s">
        <v>0</v>
      </c>
      <c r="C1166" t="s">
        <v>230</v>
      </c>
      <c r="D1166" t="s">
        <v>231</v>
      </c>
      <c r="E1166" t="s">
        <v>48</v>
      </c>
      <c r="F1166" s="5">
        <v>43406</v>
      </c>
      <c r="G1166" s="5">
        <v>43553</v>
      </c>
      <c r="H1166" s="6">
        <v>0.85069444444444453</v>
      </c>
      <c r="I1166" t="s">
        <v>14</v>
      </c>
      <c r="J1166" t="s">
        <v>1592</v>
      </c>
      <c r="K1166" t="s">
        <v>1533</v>
      </c>
      <c r="M1166" t="s">
        <v>138</v>
      </c>
    </row>
    <row r="1167" spans="1:13" x14ac:dyDescent="0.25">
      <c r="A1167" t="s">
        <v>1436</v>
      </c>
      <c r="B1167" t="s">
        <v>0</v>
      </c>
      <c r="C1167" t="s">
        <v>230</v>
      </c>
      <c r="D1167" t="s">
        <v>231</v>
      </c>
      <c r="E1167" t="s">
        <v>111</v>
      </c>
      <c r="F1167" s="5">
        <v>43401</v>
      </c>
      <c r="G1167" s="5">
        <v>43552</v>
      </c>
      <c r="H1167" s="6">
        <v>0.85416666666666663</v>
      </c>
      <c r="I1167" t="s">
        <v>14</v>
      </c>
      <c r="J1167" t="s">
        <v>1592</v>
      </c>
      <c r="K1167" t="s">
        <v>1533</v>
      </c>
      <c r="M1167" t="s">
        <v>138</v>
      </c>
    </row>
    <row r="1168" spans="1:13" x14ac:dyDescent="0.25">
      <c r="A1168" t="s">
        <v>1436</v>
      </c>
      <c r="B1168" t="s">
        <v>0</v>
      </c>
      <c r="C1168" t="s">
        <v>233</v>
      </c>
      <c r="D1168" t="s">
        <v>234</v>
      </c>
      <c r="E1168" t="s">
        <v>59</v>
      </c>
      <c r="F1168" s="5">
        <v>43472</v>
      </c>
      <c r="G1168" s="5">
        <v>43549</v>
      </c>
      <c r="H1168" s="6">
        <v>0.4236111111111111</v>
      </c>
      <c r="I1168" t="s">
        <v>14</v>
      </c>
      <c r="J1168" t="s">
        <v>675</v>
      </c>
      <c r="K1168" t="s">
        <v>38</v>
      </c>
      <c r="M1168" t="s">
        <v>138</v>
      </c>
    </row>
    <row r="1169" spans="1:13" x14ac:dyDescent="0.25">
      <c r="A1169" t="s">
        <v>1436</v>
      </c>
      <c r="B1169" t="s">
        <v>0</v>
      </c>
      <c r="C1169" t="s">
        <v>233</v>
      </c>
      <c r="D1169" t="s">
        <v>234</v>
      </c>
      <c r="E1169" t="s">
        <v>48</v>
      </c>
      <c r="F1169" s="5">
        <v>43511</v>
      </c>
      <c r="G1169" s="5">
        <v>43525</v>
      </c>
      <c r="H1169" s="6">
        <v>0.4375</v>
      </c>
      <c r="I1169" t="s">
        <v>14</v>
      </c>
      <c r="J1169" t="s">
        <v>675</v>
      </c>
      <c r="K1169" t="s">
        <v>38</v>
      </c>
      <c r="M1169" t="s">
        <v>138</v>
      </c>
    </row>
    <row r="1170" spans="1:13" x14ac:dyDescent="0.25">
      <c r="A1170" t="s">
        <v>1436</v>
      </c>
      <c r="B1170" t="s">
        <v>0</v>
      </c>
      <c r="C1170" t="s">
        <v>233</v>
      </c>
      <c r="D1170" t="s">
        <v>234</v>
      </c>
      <c r="E1170" t="s">
        <v>20</v>
      </c>
      <c r="F1170" s="5">
        <v>43509</v>
      </c>
      <c r="G1170" s="5">
        <v>43523</v>
      </c>
      <c r="H1170" s="6">
        <v>0.45833333333333331</v>
      </c>
      <c r="I1170" t="s">
        <v>14</v>
      </c>
      <c r="J1170" t="s">
        <v>675</v>
      </c>
      <c r="K1170" t="s">
        <v>38</v>
      </c>
      <c r="M1170" t="s">
        <v>138</v>
      </c>
    </row>
    <row r="1171" spans="1:13" x14ac:dyDescent="0.25">
      <c r="A1171" t="s">
        <v>1436</v>
      </c>
      <c r="B1171" t="s">
        <v>0</v>
      </c>
      <c r="C1171" t="s">
        <v>233</v>
      </c>
      <c r="D1171" t="s">
        <v>234</v>
      </c>
      <c r="E1171" t="s">
        <v>19</v>
      </c>
      <c r="F1171" s="5">
        <v>43473</v>
      </c>
      <c r="G1171" s="5">
        <v>43508</v>
      </c>
      <c r="H1171" s="6">
        <v>0.59375</v>
      </c>
      <c r="I1171" t="s">
        <v>14</v>
      </c>
      <c r="J1171" t="s">
        <v>677</v>
      </c>
      <c r="K1171" t="s">
        <v>38</v>
      </c>
      <c r="M1171" t="s">
        <v>138</v>
      </c>
    </row>
    <row r="1172" spans="1:13" x14ac:dyDescent="0.25">
      <c r="A1172" t="s">
        <v>1436</v>
      </c>
      <c r="B1172" t="s">
        <v>0</v>
      </c>
      <c r="C1172" t="s">
        <v>233</v>
      </c>
      <c r="D1172" t="s">
        <v>234</v>
      </c>
      <c r="E1172" t="s">
        <v>59</v>
      </c>
      <c r="F1172" s="5">
        <v>43409</v>
      </c>
      <c r="G1172" s="5">
        <v>43549</v>
      </c>
      <c r="H1172" s="6">
        <v>0.60416666666666663</v>
      </c>
      <c r="I1172" t="s">
        <v>39</v>
      </c>
      <c r="J1172" t="s">
        <v>678</v>
      </c>
      <c r="K1172" t="s">
        <v>38</v>
      </c>
      <c r="M1172" t="s">
        <v>138</v>
      </c>
    </row>
    <row r="1173" spans="1:13" x14ac:dyDescent="0.25">
      <c r="A1173" t="s">
        <v>1436</v>
      </c>
      <c r="B1173" t="s">
        <v>0</v>
      </c>
      <c r="C1173" t="s">
        <v>233</v>
      </c>
      <c r="D1173" t="s">
        <v>234</v>
      </c>
      <c r="E1173" t="s">
        <v>13</v>
      </c>
      <c r="F1173" s="5">
        <v>43510</v>
      </c>
      <c r="G1173" s="5">
        <v>43545</v>
      </c>
      <c r="H1173" s="6">
        <v>0.61111111111111105</v>
      </c>
      <c r="I1173">
        <v>320</v>
      </c>
      <c r="J1173" t="s">
        <v>676</v>
      </c>
      <c r="K1173" t="s">
        <v>38</v>
      </c>
      <c r="M1173" t="s">
        <v>138</v>
      </c>
    </row>
    <row r="1174" spans="1:13" x14ac:dyDescent="0.25">
      <c r="A1174" t="s">
        <v>1436</v>
      </c>
      <c r="B1174" t="s">
        <v>0</v>
      </c>
      <c r="C1174" t="s">
        <v>233</v>
      </c>
      <c r="D1174" t="s">
        <v>234</v>
      </c>
      <c r="E1174" t="s">
        <v>22</v>
      </c>
      <c r="F1174" s="5">
        <v>43512</v>
      </c>
      <c r="G1174" s="5">
        <v>43554</v>
      </c>
      <c r="H1174" s="6">
        <v>0.63541666666666663</v>
      </c>
      <c r="I1174" t="s">
        <v>39</v>
      </c>
      <c r="J1174" t="s">
        <v>676</v>
      </c>
      <c r="K1174" t="s">
        <v>38</v>
      </c>
      <c r="M1174" t="s">
        <v>138</v>
      </c>
    </row>
    <row r="1175" spans="1:13" x14ac:dyDescent="0.25">
      <c r="A1175" t="s">
        <v>1436</v>
      </c>
      <c r="B1175" t="s">
        <v>0</v>
      </c>
      <c r="C1175" t="s">
        <v>233</v>
      </c>
      <c r="D1175" t="s">
        <v>234</v>
      </c>
      <c r="E1175" t="s">
        <v>22</v>
      </c>
      <c r="F1175" s="5">
        <v>43414</v>
      </c>
      <c r="G1175" s="5">
        <v>43519</v>
      </c>
      <c r="H1175" s="6">
        <v>0.67361111111111116</v>
      </c>
      <c r="I1175" t="s">
        <v>14</v>
      </c>
      <c r="J1175" t="s">
        <v>677</v>
      </c>
      <c r="K1175" t="s">
        <v>38</v>
      </c>
      <c r="M1175" t="s">
        <v>138</v>
      </c>
    </row>
    <row r="1176" spans="1:13" x14ac:dyDescent="0.25">
      <c r="A1176" t="s">
        <v>1436</v>
      </c>
      <c r="B1176" t="s">
        <v>0</v>
      </c>
      <c r="C1176" t="s">
        <v>233</v>
      </c>
      <c r="D1176" t="s">
        <v>234</v>
      </c>
      <c r="E1176" t="s">
        <v>18</v>
      </c>
      <c r="F1176" s="5">
        <v>43415</v>
      </c>
      <c r="G1176" s="5">
        <v>43548</v>
      </c>
      <c r="H1176" s="6">
        <v>0.67361111111111116</v>
      </c>
      <c r="I1176" t="s">
        <v>14</v>
      </c>
      <c r="J1176" t="s">
        <v>677</v>
      </c>
      <c r="K1176" t="s">
        <v>38</v>
      </c>
      <c r="M1176" t="s">
        <v>138</v>
      </c>
    </row>
    <row r="1177" spans="1:13" x14ac:dyDescent="0.25">
      <c r="A1177" t="s">
        <v>1436</v>
      </c>
      <c r="B1177" t="s">
        <v>0</v>
      </c>
      <c r="C1177" t="s">
        <v>233</v>
      </c>
      <c r="D1177" t="s">
        <v>234</v>
      </c>
      <c r="E1177" t="s">
        <v>13</v>
      </c>
      <c r="F1177" s="5">
        <v>43510</v>
      </c>
      <c r="G1177" s="5">
        <v>43538</v>
      </c>
      <c r="H1177" s="6">
        <v>0.67361111111111116</v>
      </c>
      <c r="I1177" t="s">
        <v>14</v>
      </c>
      <c r="J1177" t="s">
        <v>677</v>
      </c>
      <c r="K1177" t="s">
        <v>38</v>
      </c>
      <c r="M1177" t="s">
        <v>138</v>
      </c>
    </row>
    <row r="1178" spans="1:13" x14ac:dyDescent="0.25">
      <c r="A1178" t="s">
        <v>1436</v>
      </c>
      <c r="B1178" t="s">
        <v>0</v>
      </c>
      <c r="C1178" t="s">
        <v>233</v>
      </c>
      <c r="D1178" t="s">
        <v>234</v>
      </c>
      <c r="E1178" t="s">
        <v>20</v>
      </c>
      <c r="F1178" s="5">
        <v>43404</v>
      </c>
      <c r="G1178" s="5">
        <v>43551</v>
      </c>
      <c r="H1178" s="6">
        <v>0.80555555555555547</v>
      </c>
      <c r="I1178">
        <v>320</v>
      </c>
      <c r="J1178" t="s">
        <v>1593</v>
      </c>
      <c r="K1178" t="s">
        <v>38</v>
      </c>
      <c r="M1178" t="s">
        <v>138</v>
      </c>
    </row>
    <row r="1179" spans="1:13" x14ac:dyDescent="0.25">
      <c r="A1179" t="s">
        <v>1436</v>
      </c>
      <c r="B1179" t="s">
        <v>0</v>
      </c>
      <c r="C1179" t="s">
        <v>233</v>
      </c>
      <c r="D1179" t="s">
        <v>234</v>
      </c>
      <c r="E1179" t="s">
        <v>18</v>
      </c>
      <c r="F1179" s="5">
        <v>43401</v>
      </c>
      <c r="G1179" s="5">
        <v>43548</v>
      </c>
      <c r="H1179" s="6">
        <v>0.83680555555555547</v>
      </c>
      <c r="I1179">
        <v>320</v>
      </c>
      <c r="J1179" t="s">
        <v>1593</v>
      </c>
      <c r="K1179" t="s">
        <v>38</v>
      </c>
      <c r="M1179" t="s">
        <v>138</v>
      </c>
    </row>
    <row r="1180" spans="1:13" x14ac:dyDescent="0.25">
      <c r="A1180" t="s">
        <v>1436</v>
      </c>
      <c r="B1180" t="s">
        <v>0</v>
      </c>
      <c r="C1180" t="s">
        <v>679</v>
      </c>
      <c r="D1180" t="s">
        <v>680</v>
      </c>
      <c r="E1180" t="s">
        <v>18</v>
      </c>
      <c r="F1180" s="5">
        <v>43401</v>
      </c>
      <c r="G1180" s="5">
        <v>43548</v>
      </c>
      <c r="H1180" s="6">
        <v>0.42708333333333331</v>
      </c>
      <c r="I1180" t="s">
        <v>139</v>
      </c>
      <c r="J1180" t="s">
        <v>681</v>
      </c>
      <c r="K1180" t="s">
        <v>468</v>
      </c>
      <c r="M1180" t="s">
        <v>138</v>
      </c>
    </row>
    <row r="1181" spans="1:13" x14ac:dyDescent="0.25">
      <c r="A1181" t="s">
        <v>1436</v>
      </c>
      <c r="B1181" t="s">
        <v>0</v>
      </c>
      <c r="C1181" t="s">
        <v>679</v>
      </c>
      <c r="D1181" t="s">
        <v>680</v>
      </c>
      <c r="E1181" t="s">
        <v>13</v>
      </c>
      <c r="F1181" s="5">
        <v>43468</v>
      </c>
      <c r="G1181" s="5">
        <v>43552</v>
      </c>
      <c r="H1181" s="6">
        <v>0.42708333333333331</v>
      </c>
      <c r="I1181" t="s">
        <v>139</v>
      </c>
      <c r="J1181" t="s">
        <v>681</v>
      </c>
      <c r="K1181" t="s">
        <v>468</v>
      </c>
      <c r="M1181" t="s">
        <v>138</v>
      </c>
    </row>
    <row r="1182" spans="1:13" x14ac:dyDescent="0.25">
      <c r="A1182" t="s">
        <v>1436</v>
      </c>
      <c r="B1182" t="s">
        <v>0</v>
      </c>
      <c r="C1182" t="s">
        <v>240</v>
      </c>
      <c r="D1182" t="s">
        <v>241</v>
      </c>
      <c r="E1182" t="s">
        <v>18</v>
      </c>
      <c r="F1182" s="5">
        <v>43401</v>
      </c>
      <c r="G1182" s="5">
        <v>43548</v>
      </c>
      <c r="H1182" s="6">
        <v>0.41666666666666669</v>
      </c>
      <c r="I1182" t="s">
        <v>14</v>
      </c>
      <c r="J1182" t="s">
        <v>682</v>
      </c>
      <c r="K1182" t="s">
        <v>66</v>
      </c>
      <c r="M1182" t="s">
        <v>138</v>
      </c>
    </row>
    <row r="1183" spans="1:13" x14ac:dyDescent="0.25">
      <c r="A1183" t="s">
        <v>1436</v>
      </c>
      <c r="B1183" t="s">
        <v>0</v>
      </c>
      <c r="C1183" t="s">
        <v>240</v>
      </c>
      <c r="D1183" t="s">
        <v>241</v>
      </c>
      <c r="E1183" t="s">
        <v>13</v>
      </c>
      <c r="F1183" s="5">
        <v>43475</v>
      </c>
      <c r="G1183" s="5">
        <v>43552</v>
      </c>
      <c r="H1183" s="6">
        <v>0.54166666666666663</v>
      </c>
      <c r="I1183" t="s">
        <v>14</v>
      </c>
      <c r="J1183" t="s">
        <v>682</v>
      </c>
      <c r="K1183" t="s">
        <v>66</v>
      </c>
      <c r="M1183" t="s">
        <v>138</v>
      </c>
    </row>
    <row r="1184" spans="1:13" x14ac:dyDescent="0.25">
      <c r="A1184" t="s">
        <v>1436</v>
      </c>
      <c r="B1184" t="s">
        <v>0</v>
      </c>
      <c r="C1184" t="s">
        <v>240</v>
      </c>
      <c r="D1184" t="s">
        <v>241</v>
      </c>
      <c r="E1184" t="s">
        <v>59</v>
      </c>
      <c r="F1184" s="5">
        <v>43486</v>
      </c>
      <c r="G1184" s="5">
        <v>43514</v>
      </c>
      <c r="H1184" s="6">
        <v>0.63888888888888895</v>
      </c>
      <c r="I1184" t="s">
        <v>106</v>
      </c>
      <c r="J1184" t="s">
        <v>1895</v>
      </c>
      <c r="K1184" t="s">
        <v>66</v>
      </c>
      <c r="M1184" t="s">
        <v>138</v>
      </c>
    </row>
    <row r="1185" spans="1:13" x14ac:dyDescent="0.25">
      <c r="A1185" t="s">
        <v>1436</v>
      </c>
      <c r="B1185" t="s">
        <v>0</v>
      </c>
      <c r="C1185" t="s">
        <v>243</v>
      </c>
      <c r="D1185" t="s">
        <v>244</v>
      </c>
      <c r="E1185" t="s">
        <v>227</v>
      </c>
      <c r="F1185" s="5">
        <v>43401</v>
      </c>
      <c r="G1185" s="5">
        <v>43553</v>
      </c>
      <c r="H1185" s="6">
        <v>0.4548611111111111</v>
      </c>
      <c r="I1185" t="s">
        <v>14</v>
      </c>
      <c r="J1185" t="s">
        <v>683</v>
      </c>
      <c r="K1185" t="s">
        <v>66</v>
      </c>
      <c r="M1185" t="s">
        <v>138</v>
      </c>
    </row>
    <row r="1186" spans="1:13" x14ac:dyDescent="0.25">
      <c r="A1186" t="s">
        <v>1436</v>
      </c>
      <c r="B1186" t="s">
        <v>0</v>
      </c>
      <c r="C1186" t="s">
        <v>243</v>
      </c>
      <c r="D1186" t="s">
        <v>244</v>
      </c>
      <c r="E1186" t="s">
        <v>20</v>
      </c>
      <c r="F1186" s="5">
        <v>43467</v>
      </c>
      <c r="G1186" s="5">
        <v>43551</v>
      </c>
      <c r="H1186" s="6">
        <v>0.4548611111111111</v>
      </c>
      <c r="I1186" t="s">
        <v>14</v>
      </c>
      <c r="J1186" t="s">
        <v>683</v>
      </c>
      <c r="K1186" t="s">
        <v>66</v>
      </c>
      <c r="M1186" t="s">
        <v>138</v>
      </c>
    </row>
    <row r="1187" spans="1:13" x14ac:dyDescent="0.25">
      <c r="A1187" t="s">
        <v>1436</v>
      </c>
      <c r="B1187" t="s">
        <v>0</v>
      </c>
      <c r="C1187" t="s">
        <v>426</v>
      </c>
      <c r="D1187" t="s">
        <v>427</v>
      </c>
      <c r="E1187" t="s">
        <v>18</v>
      </c>
      <c r="F1187" s="5">
        <v>43513</v>
      </c>
      <c r="G1187" s="5">
        <v>43513</v>
      </c>
      <c r="H1187" s="6">
        <v>0.39583333333333331</v>
      </c>
      <c r="I1187">
        <v>319</v>
      </c>
      <c r="J1187" t="s">
        <v>684</v>
      </c>
      <c r="K1187" t="s">
        <v>45</v>
      </c>
      <c r="M1187" t="s">
        <v>138</v>
      </c>
    </row>
    <row r="1188" spans="1:13" x14ac:dyDescent="0.25">
      <c r="A1188" t="s">
        <v>1436</v>
      </c>
      <c r="B1188" t="s">
        <v>0</v>
      </c>
      <c r="C1188" t="s">
        <v>426</v>
      </c>
      <c r="D1188" t="s">
        <v>427</v>
      </c>
      <c r="E1188" t="s">
        <v>20</v>
      </c>
      <c r="F1188" s="5">
        <v>43509</v>
      </c>
      <c r="G1188" s="5">
        <v>43551</v>
      </c>
      <c r="H1188" s="6">
        <v>0.77430555555555547</v>
      </c>
      <c r="I1188">
        <v>319</v>
      </c>
      <c r="J1188" t="s">
        <v>684</v>
      </c>
      <c r="K1188" t="s">
        <v>45</v>
      </c>
      <c r="M1188" t="s">
        <v>138</v>
      </c>
    </row>
    <row r="1189" spans="1:13" x14ac:dyDescent="0.25">
      <c r="A1189" t="s">
        <v>1436</v>
      </c>
      <c r="B1189" t="s">
        <v>0</v>
      </c>
      <c r="C1189" t="s">
        <v>426</v>
      </c>
      <c r="D1189" t="s">
        <v>427</v>
      </c>
      <c r="E1189" t="s">
        <v>22</v>
      </c>
      <c r="F1189" s="5">
        <v>43477</v>
      </c>
      <c r="G1189" s="5">
        <v>43540</v>
      </c>
      <c r="H1189" s="6">
        <v>0.90277777777777779</v>
      </c>
      <c r="I1189">
        <v>319</v>
      </c>
      <c r="J1189" t="s">
        <v>1594</v>
      </c>
      <c r="K1189" t="s">
        <v>45</v>
      </c>
      <c r="M1189" t="s">
        <v>138</v>
      </c>
    </row>
    <row r="1190" spans="1:13" x14ac:dyDescent="0.25">
      <c r="A1190" t="s">
        <v>1436</v>
      </c>
      <c r="B1190" t="s">
        <v>0</v>
      </c>
      <c r="C1190" t="s">
        <v>246</v>
      </c>
      <c r="D1190" t="s">
        <v>247</v>
      </c>
      <c r="E1190" t="s">
        <v>48</v>
      </c>
      <c r="F1190" s="5">
        <v>43455</v>
      </c>
      <c r="G1190" s="5">
        <v>43553</v>
      </c>
      <c r="H1190" s="6">
        <v>0.33333333333333331</v>
      </c>
      <c r="I1190" t="s">
        <v>106</v>
      </c>
      <c r="J1190" t="s">
        <v>687</v>
      </c>
      <c r="K1190" t="s">
        <v>45</v>
      </c>
      <c r="M1190" t="s">
        <v>138</v>
      </c>
    </row>
    <row r="1191" spans="1:13" x14ac:dyDescent="0.25">
      <c r="A1191" t="s">
        <v>1436</v>
      </c>
      <c r="B1191" t="s">
        <v>0</v>
      </c>
      <c r="C1191" t="s">
        <v>246</v>
      </c>
      <c r="D1191" t="s">
        <v>247</v>
      </c>
      <c r="E1191" t="s">
        <v>22</v>
      </c>
      <c r="F1191" s="5">
        <v>43512</v>
      </c>
      <c r="G1191" s="5">
        <v>43512</v>
      </c>
      <c r="H1191" s="6">
        <v>0.33333333333333331</v>
      </c>
      <c r="I1191" t="s">
        <v>106</v>
      </c>
      <c r="J1191" t="s">
        <v>687</v>
      </c>
      <c r="K1191" t="s">
        <v>45</v>
      </c>
      <c r="M1191" t="s">
        <v>138</v>
      </c>
    </row>
    <row r="1192" spans="1:13" x14ac:dyDescent="0.25">
      <c r="A1192" t="s">
        <v>1436</v>
      </c>
      <c r="B1192" t="s">
        <v>0</v>
      </c>
      <c r="C1192" t="s">
        <v>246</v>
      </c>
      <c r="D1192" t="s">
        <v>247</v>
      </c>
      <c r="E1192" t="s">
        <v>59</v>
      </c>
      <c r="F1192" s="5">
        <v>43402</v>
      </c>
      <c r="G1192" s="5">
        <v>43549</v>
      </c>
      <c r="H1192" s="6">
        <v>0.35069444444444442</v>
      </c>
      <c r="I1192" t="s">
        <v>14</v>
      </c>
      <c r="J1192" t="s">
        <v>685</v>
      </c>
      <c r="K1192" t="s">
        <v>45</v>
      </c>
      <c r="M1192" t="s">
        <v>138</v>
      </c>
    </row>
    <row r="1193" spans="1:13" x14ac:dyDescent="0.25">
      <c r="A1193" t="s">
        <v>1436</v>
      </c>
      <c r="B1193" t="s">
        <v>0</v>
      </c>
      <c r="C1193" t="s">
        <v>246</v>
      </c>
      <c r="D1193" t="s">
        <v>247</v>
      </c>
      <c r="E1193" t="s">
        <v>48</v>
      </c>
      <c r="F1193" s="5">
        <v>43413</v>
      </c>
      <c r="G1193" s="5">
        <v>43553</v>
      </c>
      <c r="H1193" s="6">
        <v>0.35069444444444442</v>
      </c>
      <c r="I1193" t="s">
        <v>14</v>
      </c>
      <c r="J1193" t="s">
        <v>685</v>
      </c>
      <c r="K1193" t="s">
        <v>45</v>
      </c>
      <c r="M1193" t="s">
        <v>138</v>
      </c>
    </row>
    <row r="1194" spans="1:13" x14ac:dyDescent="0.25">
      <c r="A1194" t="s">
        <v>1436</v>
      </c>
      <c r="B1194" t="s">
        <v>0</v>
      </c>
      <c r="C1194" t="s">
        <v>246</v>
      </c>
      <c r="D1194" t="s">
        <v>247</v>
      </c>
      <c r="E1194" t="s">
        <v>13</v>
      </c>
      <c r="F1194" s="5">
        <v>43475</v>
      </c>
      <c r="G1194" s="5">
        <v>43552</v>
      </c>
      <c r="H1194" s="6">
        <v>0.40972222222222227</v>
      </c>
      <c r="I1194" t="s">
        <v>14</v>
      </c>
      <c r="J1194" t="s">
        <v>685</v>
      </c>
      <c r="K1194" t="s">
        <v>45</v>
      </c>
      <c r="M1194" t="s">
        <v>138</v>
      </c>
    </row>
    <row r="1195" spans="1:13" x14ac:dyDescent="0.25">
      <c r="A1195" t="s">
        <v>1436</v>
      </c>
      <c r="B1195" t="s">
        <v>0</v>
      </c>
      <c r="C1195" t="s">
        <v>246</v>
      </c>
      <c r="D1195" t="s">
        <v>247</v>
      </c>
      <c r="E1195" t="s">
        <v>59</v>
      </c>
      <c r="F1195" s="5">
        <v>43514</v>
      </c>
      <c r="G1195" s="5">
        <v>43549</v>
      </c>
      <c r="H1195" s="6">
        <v>0.4548611111111111</v>
      </c>
      <c r="I1195" t="s">
        <v>106</v>
      </c>
      <c r="J1195" t="s">
        <v>687</v>
      </c>
      <c r="K1195" t="s">
        <v>45</v>
      </c>
      <c r="M1195" t="s">
        <v>138</v>
      </c>
    </row>
    <row r="1196" spans="1:13" x14ac:dyDescent="0.25">
      <c r="A1196" t="s">
        <v>1436</v>
      </c>
      <c r="B1196" t="s">
        <v>0</v>
      </c>
      <c r="C1196" t="s">
        <v>246</v>
      </c>
      <c r="D1196" t="s">
        <v>247</v>
      </c>
      <c r="E1196" t="s">
        <v>976</v>
      </c>
      <c r="F1196" s="5">
        <v>43401</v>
      </c>
      <c r="G1196" s="5">
        <v>43550</v>
      </c>
      <c r="H1196" s="6">
        <v>0.46527777777777773</v>
      </c>
      <c r="I1196" t="s">
        <v>352</v>
      </c>
      <c r="J1196" t="s">
        <v>1595</v>
      </c>
      <c r="K1196" t="s">
        <v>45</v>
      </c>
      <c r="M1196" t="s">
        <v>138</v>
      </c>
    </row>
    <row r="1197" spans="1:13" x14ac:dyDescent="0.25">
      <c r="A1197" t="s">
        <v>1436</v>
      </c>
      <c r="B1197" t="s">
        <v>0</v>
      </c>
      <c r="C1197" t="s">
        <v>246</v>
      </c>
      <c r="D1197" t="s">
        <v>247</v>
      </c>
      <c r="E1197" t="s">
        <v>22</v>
      </c>
      <c r="F1197" s="5">
        <v>43407</v>
      </c>
      <c r="G1197" s="5">
        <v>43554</v>
      </c>
      <c r="H1197" s="6">
        <v>0.47222222222222227</v>
      </c>
      <c r="I1197">
        <v>320</v>
      </c>
      <c r="J1197" t="s">
        <v>686</v>
      </c>
      <c r="K1197" t="s">
        <v>45</v>
      </c>
      <c r="M1197" t="s">
        <v>138</v>
      </c>
    </row>
    <row r="1198" spans="1:13" x14ac:dyDescent="0.25">
      <c r="A1198" t="s">
        <v>1436</v>
      </c>
      <c r="B1198" t="s">
        <v>0</v>
      </c>
      <c r="C1198" t="s">
        <v>246</v>
      </c>
      <c r="D1198" t="s">
        <v>247</v>
      </c>
      <c r="E1198" t="s">
        <v>18</v>
      </c>
      <c r="F1198" s="5">
        <v>43408</v>
      </c>
      <c r="G1198" s="5">
        <v>43548</v>
      </c>
      <c r="H1198" s="6">
        <v>0.5</v>
      </c>
      <c r="I1198" t="s">
        <v>106</v>
      </c>
      <c r="J1198" t="s">
        <v>687</v>
      </c>
      <c r="K1198" t="s">
        <v>45</v>
      </c>
      <c r="M1198" t="s">
        <v>138</v>
      </c>
    </row>
    <row r="1199" spans="1:13" x14ac:dyDescent="0.25">
      <c r="A1199" t="s">
        <v>1436</v>
      </c>
      <c r="B1199" t="s">
        <v>0</v>
      </c>
      <c r="C1199" t="s">
        <v>246</v>
      </c>
      <c r="D1199" t="s">
        <v>247</v>
      </c>
      <c r="E1199" t="s">
        <v>22</v>
      </c>
      <c r="F1199" s="5">
        <v>43456</v>
      </c>
      <c r="G1199" s="5">
        <v>43519</v>
      </c>
      <c r="H1199" s="6">
        <v>0.50694444444444442</v>
      </c>
      <c r="I1199">
        <v>319</v>
      </c>
      <c r="J1199" t="s">
        <v>1596</v>
      </c>
      <c r="K1199" t="s">
        <v>45</v>
      </c>
      <c r="M1199" t="s">
        <v>138</v>
      </c>
    </row>
    <row r="1200" spans="1:13" x14ac:dyDescent="0.25">
      <c r="A1200" t="s">
        <v>1436</v>
      </c>
      <c r="B1200" t="s">
        <v>0</v>
      </c>
      <c r="C1200" t="s">
        <v>246</v>
      </c>
      <c r="D1200" t="s">
        <v>247</v>
      </c>
      <c r="E1200" t="s">
        <v>18</v>
      </c>
      <c r="F1200" s="5">
        <v>43506</v>
      </c>
      <c r="G1200" s="5">
        <v>43548</v>
      </c>
      <c r="H1200" s="6">
        <v>0.57986111111111105</v>
      </c>
      <c r="I1200">
        <v>321</v>
      </c>
      <c r="J1200" t="s">
        <v>1596</v>
      </c>
      <c r="K1200" t="s">
        <v>45</v>
      </c>
      <c r="M1200" t="s">
        <v>138</v>
      </c>
    </row>
    <row r="1201" spans="1:13" x14ac:dyDescent="0.25">
      <c r="A1201" t="s">
        <v>1436</v>
      </c>
      <c r="B1201" t="s">
        <v>0</v>
      </c>
      <c r="C1201" t="s">
        <v>246</v>
      </c>
      <c r="D1201" t="s">
        <v>247</v>
      </c>
      <c r="E1201" t="s">
        <v>18</v>
      </c>
      <c r="F1201" s="5">
        <v>43401</v>
      </c>
      <c r="G1201" s="5">
        <v>43548</v>
      </c>
      <c r="H1201" s="6">
        <v>0.58333333333333337</v>
      </c>
      <c r="I1201" t="s">
        <v>14</v>
      </c>
      <c r="J1201" t="s">
        <v>685</v>
      </c>
      <c r="K1201" t="s">
        <v>45</v>
      </c>
      <c r="M1201" t="s">
        <v>138</v>
      </c>
    </row>
    <row r="1202" spans="1:13" x14ac:dyDescent="0.25">
      <c r="A1202" t="s">
        <v>1436</v>
      </c>
      <c r="B1202" t="s">
        <v>0</v>
      </c>
      <c r="C1202" t="s">
        <v>246</v>
      </c>
      <c r="D1202" t="s">
        <v>247</v>
      </c>
      <c r="E1202" t="s">
        <v>18</v>
      </c>
      <c r="F1202" s="5">
        <v>43513</v>
      </c>
      <c r="G1202" s="5">
        <v>43520</v>
      </c>
      <c r="H1202" s="6">
        <v>0.58333333333333337</v>
      </c>
      <c r="I1202">
        <v>320</v>
      </c>
      <c r="J1202" t="s">
        <v>686</v>
      </c>
      <c r="K1202" t="s">
        <v>45</v>
      </c>
      <c r="M1202" t="s">
        <v>138</v>
      </c>
    </row>
    <row r="1203" spans="1:13" x14ac:dyDescent="0.25">
      <c r="A1203" t="s">
        <v>1436</v>
      </c>
      <c r="B1203" t="s">
        <v>0</v>
      </c>
      <c r="C1203" t="s">
        <v>246</v>
      </c>
      <c r="D1203" t="s">
        <v>247</v>
      </c>
      <c r="E1203" t="s">
        <v>20</v>
      </c>
      <c r="F1203" s="5">
        <v>43411</v>
      </c>
      <c r="G1203" s="5">
        <v>43551</v>
      </c>
      <c r="H1203" s="6">
        <v>0.67361111111111116</v>
      </c>
      <c r="I1203">
        <v>320</v>
      </c>
      <c r="J1203" t="s">
        <v>686</v>
      </c>
      <c r="K1203" t="s">
        <v>45</v>
      </c>
      <c r="M1203" t="s">
        <v>138</v>
      </c>
    </row>
    <row r="1204" spans="1:13" x14ac:dyDescent="0.25">
      <c r="A1204" t="s">
        <v>1436</v>
      </c>
      <c r="B1204" t="s">
        <v>0</v>
      </c>
      <c r="C1204" t="s">
        <v>249</v>
      </c>
      <c r="D1204" t="s">
        <v>250</v>
      </c>
      <c r="E1204" t="s">
        <v>22</v>
      </c>
      <c r="F1204" s="5">
        <v>43449</v>
      </c>
      <c r="G1204" s="5">
        <v>43547</v>
      </c>
      <c r="H1204" s="6">
        <v>0.28472222222222221</v>
      </c>
      <c r="I1204">
        <v>320</v>
      </c>
      <c r="J1204" t="s">
        <v>688</v>
      </c>
      <c r="K1204" t="s">
        <v>221</v>
      </c>
      <c r="M1204" t="s">
        <v>138</v>
      </c>
    </row>
    <row r="1205" spans="1:13" x14ac:dyDescent="0.25">
      <c r="A1205" t="s">
        <v>1436</v>
      </c>
      <c r="B1205" t="s">
        <v>0</v>
      </c>
      <c r="C1205" t="s">
        <v>249</v>
      </c>
      <c r="D1205" t="s">
        <v>250</v>
      </c>
      <c r="E1205" t="s">
        <v>22</v>
      </c>
      <c r="F1205" s="5">
        <v>43477</v>
      </c>
      <c r="G1205" s="5">
        <v>43533</v>
      </c>
      <c r="H1205" s="6">
        <v>0.86458333333333337</v>
      </c>
      <c r="I1205">
        <v>319</v>
      </c>
      <c r="J1205" t="s">
        <v>689</v>
      </c>
      <c r="K1205" t="s">
        <v>221</v>
      </c>
      <c r="M1205" t="s">
        <v>138</v>
      </c>
    </row>
    <row r="1206" spans="1:13" x14ac:dyDescent="0.25">
      <c r="A1206" t="s">
        <v>1436</v>
      </c>
      <c r="B1206" t="s">
        <v>0</v>
      </c>
      <c r="C1206" t="s">
        <v>252</v>
      </c>
      <c r="D1206" t="s">
        <v>253</v>
      </c>
      <c r="E1206" t="s">
        <v>111</v>
      </c>
      <c r="F1206" s="5">
        <v>43412</v>
      </c>
      <c r="G1206" s="5">
        <v>43552</v>
      </c>
      <c r="H1206" s="6">
        <v>0.63194444444444442</v>
      </c>
      <c r="I1206" t="s">
        <v>14</v>
      </c>
      <c r="J1206" t="s">
        <v>690</v>
      </c>
      <c r="K1206" t="s">
        <v>38</v>
      </c>
      <c r="M1206" t="s">
        <v>138</v>
      </c>
    </row>
    <row r="1207" spans="1:13" x14ac:dyDescent="0.25">
      <c r="A1207" t="s">
        <v>1436</v>
      </c>
      <c r="B1207" t="s">
        <v>0</v>
      </c>
      <c r="C1207" t="s">
        <v>691</v>
      </c>
      <c r="D1207" t="s">
        <v>692</v>
      </c>
      <c r="E1207" t="s">
        <v>298</v>
      </c>
      <c r="F1207" s="5">
        <v>43404</v>
      </c>
      <c r="G1207" s="5">
        <v>43551</v>
      </c>
      <c r="H1207" s="6">
        <v>0.48958333333333331</v>
      </c>
      <c r="I1207" t="s">
        <v>141</v>
      </c>
      <c r="J1207" t="s">
        <v>693</v>
      </c>
      <c r="K1207" t="s">
        <v>694</v>
      </c>
      <c r="M1207" t="s">
        <v>138</v>
      </c>
    </row>
    <row r="1208" spans="1:13" x14ac:dyDescent="0.25">
      <c r="A1208" t="s">
        <v>1436</v>
      </c>
      <c r="B1208" t="s">
        <v>0</v>
      </c>
      <c r="C1208" t="s">
        <v>691</v>
      </c>
      <c r="D1208" t="s">
        <v>692</v>
      </c>
      <c r="E1208" t="s">
        <v>22</v>
      </c>
      <c r="F1208" s="5">
        <v>43456</v>
      </c>
      <c r="G1208" s="5">
        <v>43554</v>
      </c>
      <c r="H1208" s="6">
        <v>0.53125</v>
      </c>
      <c r="I1208" t="s">
        <v>141</v>
      </c>
      <c r="J1208" t="s">
        <v>693</v>
      </c>
      <c r="K1208" t="s">
        <v>694</v>
      </c>
      <c r="M1208" t="s">
        <v>138</v>
      </c>
    </row>
    <row r="1209" spans="1:13" x14ac:dyDescent="0.25">
      <c r="A1209" t="s">
        <v>1436</v>
      </c>
      <c r="B1209" t="s">
        <v>0</v>
      </c>
      <c r="C1209" t="s">
        <v>258</v>
      </c>
      <c r="D1209" t="s">
        <v>259</v>
      </c>
      <c r="E1209" t="s">
        <v>18</v>
      </c>
      <c r="F1209" s="5">
        <v>43401</v>
      </c>
      <c r="G1209" s="5">
        <v>43548</v>
      </c>
      <c r="H1209" s="6">
        <v>0.65972222222222221</v>
      </c>
      <c r="I1209" t="s">
        <v>14</v>
      </c>
      <c r="J1209" t="s">
        <v>1597</v>
      </c>
      <c r="K1209" t="s">
        <v>45</v>
      </c>
      <c r="M1209" t="s">
        <v>138</v>
      </c>
    </row>
    <row r="1210" spans="1:13" x14ac:dyDescent="0.25">
      <c r="A1210" t="s">
        <v>1436</v>
      </c>
      <c r="B1210" t="s">
        <v>0</v>
      </c>
      <c r="C1210" t="s">
        <v>258</v>
      </c>
      <c r="D1210" t="s">
        <v>259</v>
      </c>
      <c r="E1210" t="s">
        <v>20</v>
      </c>
      <c r="F1210" s="5">
        <v>43439</v>
      </c>
      <c r="G1210" s="5">
        <v>43551</v>
      </c>
      <c r="H1210" s="6">
        <v>0.72222222222222221</v>
      </c>
      <c r="I1210">
        <v>319</v>
      </c>
      <c r="J1210" t="s">
        <v>695</v>
      </c>
      <c r="K1210" t="s">
        <v>45</v>
      </c>
      <c r="M1210" t="s">
        <v>138</v>
      </c>
    </row>
    <row r="1211" spans="1:13" x14ac:dyDescent="0.25">
      <c r="A1211" t="s">
        <v>1436</v>
      </c>
      <c r="B1211" t="s">
        <v>0</v>
      </c>
      <c r="C1211" t="s">
        <v>258</v>
      </c>
      <c r="D1211" t="s">
        <v>259</v>
      </c>
      <c r="E1211" t="s">
        <v>18</v>
      </c>
      <c r="F1211" s="5">
        <v>43513</v>
      </c>
      <c r="G1211" s="5">
        <v>43548</v>
      </c>
      <c r="H1211" s="6">
        <v>0.80208333333333337</v>
      </c>
      <c r="I1211">
        <v>321</v>
      </c>
      <c r="J1211" t="s">
        <v>695</v>
      </c>
      <c r="K1211" t="s">
        <v>45</v>
      </c>
      <c r="M1211" t="s">
        <v>138</v>
      </c>
    </row>
    <row r="1212" spans="1:13" x14ac:dyDescent="0.25">
      <c r="A1212" t="s">
        <v>1436</v>
      </c>
      <c r="B1212" t="s">
        <v>0</v>
      </c>
      <c r="C1212" t="s">
        <v>258</v>
      </c>
      <c r="D1212" t="s">
        <v>259</v>
      </c>
      <c r="E1212" t="s">
        <v>22</v>
      </c>
      <c r="F1212" s="5">
        <v>43456</v>
      </c>
      <c r="G1212" s="5">
        <v>43554</v>
      </c>
      <c r="H1212" s="6">
        <v>0.81944444444444453</v>
      </c>
      <c r="I1212" t="s">
        <v>14</v>
      </c>
      <c r="J1212" t="s">
        <v>1598</v>
      </c>
      <c r="K1212" t="s">
        <v>45</v>
      </c>
      <c r="M1212" t="s">
        <v>138</v>
      </c>
    </row>
    <row r="1213" spans="1:13" x14ac:dyDescent="0.25">
      <c r="A1213" t="s">
        <v>1436</v>
      </c>
      <c r="B1213" t="s">
        <v>0</v>
      </c>
      <c r="C1213" t="s">
        <v>258</v>
      </c>
      <c r="D1213" t="s">
        <v>259</v>
      </c>
      <c r="E1213" t="s">
        <v>22</v>
      </c>
      <c r="F1213" s="5">
        <v>43505</v>
      </c>
      <c r="G1213" s="5">
        <v>43554</v>
      </c>
      <c r="H1213" s="6">
        <v>0.83333333333333337</v>
      </c>
      <c r="I1213">
        <v>319</v>
      </c>
      <c r="J1213" t="s">
        <v>695</v>
      </c>
      <c r="K1213" t="s">
        <v>45</v>
      </c>
      <c r="M1213" t="s">
        <v>138</v>
      </c>
    </row>
    <row r="1214" spans="1:13" x14ac:dyDescent="0.25">
      <c r="A1214" t="s">
        <v>1436</v>
      </c>
      <c r="B1214" t="s">
        <v>0</v>
      </c>
      <c r="C1214" t="s">
        <v>696</v>
      </c>
      <c r="D1214" t="s">
        <v>697</v>
      </c>
      <c r="E1214" t="s">
        <v>20</v>
      </c>
      <c r="F1214" s="5">
        <v>43488</v>
      </c>
      <c r="G1214" s="5">
        <v>43551</v>
      </c>
      <c r="H1214" s="6">
        <v>0.56944444444444442</v>
      </c>
      <c r="I1214" t="s">
        <v>698</v>
      </c>
      <c r="J1214" t="s">
        <v>1599</v>
      </c>
      <c r="K1214" t="s">
        <v>79</v>
      </c>
      <c r="L1214" t="s">
        <v>275</v>
      </c>
      <c r="M1214" t="s">
        <v>138</v>
      </c>
    </row>
    <row r="1215" spans="1:13" x14ac:dyDescent="0.25">
      <c r="A1215" t="s">
        <v>1436</v>
      </c>
      <c r="B1215" t="s">
        <v>0</v>
      </c>
      <c r="C1215" t="s">
        <v>696</v>
      </c>
      <c r="D1215" t="s">
        <v>697</v>
      </c>
      <c r="E1215" t="s">
        <v>22</v>
      </c>
      <c r="F1215" s="5">
        <v>43484</v>
      </c>
      <c r="G1215" s="5">
        <v>43554</v>
      </c>
      <c r="H1215" s="6">
        <v>0.68402777777777779</v>
      </c>
      <c r="I1215" t="s">
        <v>698</v>
      </c>
      <c r="J1215" t="s">
        <v>1599</v>
      </c>
      <c r="K1215" t="s">
        <v>79</v>
      </c>
      <c r="L1215" t="s">
        <v>275</v>
      </c>
      <c r="M1215" t="s">
        <v>138</v>
      </c>
    </row>
    <row r="1216" spans="1:13" x14ac:dyDescent="0.25">
      <c r="A1216" t="s">
        <v>1436</v>
      </c>
      <c r="B1216" t="s">
        <v>0</v>
      </c>
      <c r="C1216" t="s">
        <v>701</v>
      </c>
      <c r="D1216" t="s">
        <v>702</v>
      </c>
      <c r="E1216" t="s">
        <v>22</v>
      </c>
      <c r="F1216" s="5">
        <v>43421</v>
      </c>
      <c r="G1216" s="5">
        <v>43554</v>
      </c>
      <c r="H1216" s="6">
        <v>0.27777777777777779</v>
      </c>
      <c r="I1216" t="s">
        <v>14</v>
      </c>
      <c r="J1216" t="s">
        <v>703</v>
      </c>
      <c r="K1216" t="s">
        <v>488</v>
      </c>
      <c r="M1216" t="s">
        <v>138</v>
      </c>
    </row>
    <row r="1217" spans="1:13" x14ac:dyDescent="0.25">
      <c r="A1217" t="s">
        <v>1436</v>
      </c>
      <c r="B1217" t="s">
        <v>0</v>
      </c>
      <c r="C1217" t="s">
        <v>701</v>
      </c>
      <c r="D1217" t="s">
        <v>702</v>
      </c>
      <c r="E1217" t="s">
        <v>48</v>
      </c>
      <c r="F1217" s="5">
        <v>43406</v>
      </c>
      <c r="G1217" s="5">
        <v>43553</v>
      </c>
      <c r="H1217" s="6">
        <v>0.41666666666666669</v>
      </c>
      <c r="I1217" t="s">
        <v>14</v>
      </c>
      <c r="J1217" t="s">
        <v>703</v>
      </c>
      <c r="K1217" t="s">
        <v>488</v>
      </c>
      <c r="M1217" t="s">
        <v>138</v>
      </c>
    </row>
    <row r="1218" spans="1:13" x14ac:dyDescent="0.25">
      <c r="A1218" t="s">
        <v>1436</v>
      </c>
      <c r="B1218" t="s">
        <v>0</v>
      </c>
      <c r="C1218" t="s">
        <v>701</v>
      </c>
      <c r="D1218" t="s">
        <v>702</v>
      </c>
      <c r="E1218" t="s">
        <v>18</v>
      </c>
      <c r="F1218" s="5">
        <v>43401</v>
      </c>
      <c r="G1218" s="5">
        <v>43548</v>
      </c>
      <c r="H1218" s="6">
        <v>0.54513888888888895</v>
      </c>
      <c r="I1218" t="s">
        <v>14</v>
      </c>
      <c r="J1218" t="s">
        <v>704</v>
      </c>
      <c r="K1218" t="s">
        <v>488</v>
      </c>
      <c r="M1218" t="s">
        <v>138</v>
      </c>
    </row>
    <row r="1219" spans="1:13" x14ac:dyDescent="0.25">
      <c r="A1219" t="s">
        <v>1436</v>
      </c>
      <c r="B1219" t="s">
        <v>0</v>
      </c>
      <c r="C1219" t="s">
        <v>701</v>
      </c>
      <c r="D1219" t="s">
        <v>702</v>
      </c>
      <c r="E1219" t="s">
        <v>22</v>
      </c>
      <c r="F1219" s="5">
        <v>43477</v>
      </c>
      <c r="G1219" s="5">
        <v>43554</v>
      </c>
      <c r="H1219" s="6">
        <v>0.60416666666666663</v>
      </c>
      <c r="I1219" t="s">
        <v>698</v>
      </c>
      <c r="J1219" t="s">
        <v>1600</v>
      </c>
      <c r="K1219" t="s">
        <v>488</v>
      </c>
      <c r="M1219" t="s">
        <v>138</v>
      </c>
    </row>
    <row r="1220" spans="1:13" x14ac:dyDescent="0.25">
      <c r="A1220" t="s">
        <v>1436</v>
      </c>
      <c r="B1220" t="s">
        <v>0</v>
      </c>
      <c r="C1220" t="s">
        <v>701</v>
      </c>
      <c r="D1220" t="s">
        <v>702</v>
      </c>
      <c r="E1220" t="s">
        <v>20</v>
      </c>
      <c r="F1220" s="5">
        <v>43404</v>
      </c>
      <c r="G1220" s="5">
        <v>43551</v>
      </c>
      <c r="H1220" s="6">
        <v>0.625</v>
      </c>
      <c r="I1220">
        <v>738</v>
      </c>
      <c r="J1220" t="s">
        <v>704</v>
      </c>
      <c r="K1220" t="s">
        <v>488</v>
      </c>
      <c r="M1220" t="s">
        <v>138</v>
      </c>
    </row>
    <row r="1221" spans="1:13" x14ac:dyDescent="0.25">
      <c r="A1221" t="s">
        <v>1436</v>
      </c>
      <c r="B1221" t="s">
        <v>0</v>
      </c>
      <c r="C1221" t="s">
        <v>701</v>
      </c>
      <c r="D1221" t="s">
        <v>702</v>
      </c>
      <c r="E1221" t="s">
        <v>59</v>
      </c>
      <c r="F1221" s="5">
        <v>43493</v>
      </c>
      <c r="G1221" s="5">
        <v>43549</v>
      </c>
      <c r="H1221" s="6">
        <v>0.625</v>
      </c>
      <c r="I1221">
        <v>738</v>
      </c>
      <c r="J1221" t="s">
        <v>704</v>
      </c>
      <c r="K1221" t="s">
        <v>488</v>
      </c>
      <c r="M1221" t="s">
        <v>138</v>
      </c>
    </row>
    <row r="1222" spans="1:13" x14ac:dyDescent="0.25">
      <c r="A1222" t="s">
        <v>1436</v>
      </c>
      <c r="B1222" t="s">
        <v>0</v>
      </c>
      <c r="C1222" t="s">
        <v>701</v>
      </c>
      <c r="D1222" t="s">
        <v>702</v>
      </c>
      <c r="E1222" t="s">
        <v>22</v>
      </c>
      <c r="F1222" s="5">
        <v>43407</v>
      </c>
      <c r="G1222" s="5">
        <v>43554</v>
      </c>
      <c r="H1222" s="6">
        <v>0.63194444444444442</v>
      </c>
      <c r="I1222">
        <v>738</v>
      </c>
      <c r="J1222" t="s">
        <v>704</v>
      </c>
      <c r="K1222" t="s">
        <v>488</v>
      </c>
      <c r="M1222" t="s">
        <v>138</v>
      </c>
    </row>
    <row r="1223" spans="1:13" x14ac:dyDescent="0.25">
      <c r="A1223" t="s">
        <v>1436</v>
      </c>
      <c r="B1223" t="s">
        <v>0</v>
      </c>
      <c r="C1223" t="s">
        <v>701</v>
      </c>
      <c r="D1223" t="s">
        <v>702</v>
      </c>
      <c r="E1223" t="s">
        <v>48</v>
      </c>
      <c r="F1223" s="5">
        <v>43483</v>
      </c>
      <c r="G1223" s="5">
        <v>43553</v>
      </c>
      <c r="H1223" s="6">
        <v>0.64236111111111105</v>
      </c>
      <c r="I1223" t="s">
        <v>698</v>
      </c>
      <c r="J1223" t="s">
        <v>1600</v>
      </c>
      <c r="K1223" t="s">
        <v>488</v>
      </c>
      <c r="M1223" t="s">
        <v>138</v>
      </c>
    </row>
    <row r="1224" spans="1:13" x14ac:dyDescent="0.25">
      <c r="A1224" t="s">
        <v>1436</v>
      </c>
      <c r="B1224" t="s">
        <v>0</v>
      </c>
      <c r="C1224" t="s">
        <v>701</v>
      </c>
      <c r="D1224" t="s">
        <v>702</v>
      </c>
      <c r="E1224" t="s">
        <v>20</v>
      </c>
      <c r="F1224" s="5">
        <v>43460</v>
      </c>
      <c r="G1224" s="5">
        <v>43551</v>
      </c>
      <c r="H1224" s="6">
        <v>0.65972222222222221</v>
      </c>
      <c r="I1224" t="s">
        <v>698</v>
      </c>
      <c r="J1224" t="s">
        <v>1600</v>
      </c>
      <c r="K1224" t="s">
        <v>488</v>
      </c>
      <c r="M1224" t="s">
        <v>138</v>
      </c>
    </row>
    <row r="1225" spans="1:13" x14ac:dyDescent="0.25">
      <c r="A1225" t="s">
        <v>1436</v>
      </c>
      <c r="B1225" t="s">
        <v>0</v>
      </c>
      <c r="C1225" t="s">
        <v>701</v>
      </c>
      <c r="D1225" t="s">
        <v>702</v>
      </c>
      <c r="E1225" t="s">
        <v>48</v>
      </c>
      <c r="F1225" s="5">
        <v>43511</v>
      </c>
      <c r="G1225" s="5">
        <v>43553</v>
      </c>
      <c r="H1225" s="6">
        <v>0.65972222222222221</v>
      </c>
      <c r="I1225">
        <v>738</v>
      </c>
      <c r="J1225" t="s">
        <v>704</v>
      </c>
      <c r="K1225" t="s">
        <v>488</v>
      </c>
      <c r="M1225" t="s">
        <v>138</v>
      </c>
    </row>
    <row r="1226" spans="1:13" x14ac:dyDescent="0.25">
      <c r="A1226" t="s">
        <v>1436</v>
      </c>
      <c r="B1226" t="s">
        <v>0</v>
      </c>
      <c r="C1226" t="s">
        <v>701</v>
      </c>
      <c r="D1226" t="s">
        <v>702</v>
      </c>
      <c r="E1226" t="s">
        <v>1848</v>
      </c>
      <c r="F1226" s="5">
        <v>43461</v>
      </c>
      <c r="G1226" s="5">
        <v>43552</v>
      </c>
      <c r="H1226" s="6">
        <v>0.69444444444444453</v>
      </c>
      <c r="I1226" t="s">
        <v>698</v>
      </c>
      <c r="J1226" t="s">
        <v>705</v>
      </c>
      <c r="K1226" t="s">
        <v>488</v>
      </c>
      <c r="M1226" t="s">
        <v>138</v>
      </c>
    </row>
    <row r="1227" spans="1:13" x14ac:dyDescent="0.25">
      <c r="A1227" t="s">
        <v>1436</v>
      </c>
      <c r="B1227" t="s">
        <v>0</v>
      </c>
      <c r="C1227" t="s">
        <v>701</v>
      </c>
      <c r="D1227" t="s">
        <v>702</v>
      </c>
      <c r="E1227" t="s">
        <v>20</v>
      </c>
      <c r="F1227" s="5">
        <v>43467</v>
      </c>
      <c r="G1227" s="5">
        <v>43551</v>
      </c>
      <c r="H1227" s="6">
        <v>0.69791666666666663</v>
      </c>
      <c r="I1227" t="s">
        <v>698</v>
      </c>
      <c r="J1227" t="s">
        <v>705</v>
      </c>
      <c r="K1227" t="s">
        <v>488</v>
      </c>
      <c r="M1227" t="s">
        <v>138</v>
      </c>
    </row>
    <row r="1228" spans="1:13" x14ac:dyDescent="0.25">
      <c r="A1228" t="s">
        <v>1436</v>
      </c>
      <c r="B1228" t="s">
        <v>0</v>
      </c>
      <c r="C1228" t="s">
        <v>701</v>
      </c>
      <c r="D1228" t="s">
        <v>702</v>
      </c>
      <c r="E1228" t="s">
        <v>22</v>
      </c>
      <c r="F1228" s="5">
        <v>43484</v>
      </c>
      <c r="G1228" s="5">
        <v>43554</v>
      </c>
      <c r="H1228" s="6">
        <v>0.75694444444444453</v>
      </c>
      <c r="I1228" t="s">
        <v>698</v>
      </c>
      <c r="J1228" t="s">
        <v>1601</v>
      </c>
      <c r="K1228" t="s">
        <v>488</v>
      </c>
      <c r="M1228" t="s">
        <v>138</v>
      </c>
    </row>
    <row r="1229" spans="1:13" x14ac:dyDescent="0.25">
      <c r="A1229" t="s">
        <v>1436</v>
      </c>
      <c r="B1229" t="s">
        <v>0</v>
      </c>
      <c r="C1229" t="s">
        <v>706</v>
      </c>
      <c r="D1229" t="s">
        <v>707</v>
      </c>
      <c r="E1229" t="s">
        <v>22</v>
      </c>
      <c r="F1229" s="5">
        <v>43407</v>
      </c>
      <c r="G1229" s="5">
        <v>43554</v>
      </c>
      <c r="H1229" s="6">
        <v>0.40277777777777773</v>
      </c>
      <c r="I1229" t="s">
        <v>14</v>
      </c>
      <c r="J1229" t="s">
        <v>708</v>
      </c>
      <c r="K1229" t="s">
        <v>488</v>
      </c>
      <c r="M1229" t="s">
        <v>138</v>
      </c>
    </row>
    <row r="1230" spans="1:13" x14ac:dyDescent="0.25">
      <c r="A1230" t="s">
        <v>1436</v>
      </c>
      <c r="B1230" t="s">
        <v>0</v>
      </c>
      <c r="C1230" t="s">
        <v>706</v>
      </c>
      <c r="D1230" t="s">
        <v>707</v>
      </c>
      <c r="E1230" t="s">
        <v>19</v>
      </c>
      <c r="F1230" s="5">
        <v>43480</v>
      </c>
      <c r="G1230" s="5">
        <v>43550</v>
      </c>
      <c r="H1230" s="6">
        <v>0.43055555555555558</v>
      </c>
      <c r="I1230" t="s">
        <v>14</v>
      </c>
      <c r="J1230" t="s">
        <v>708</v>
      </c>
      <c r="K1230" t="s">
        <v>488</v>
      </c>
      <c r="M1230" t="s">
        <v>138</v>
      </c>
    </row>
    <row r="1231" spans="1:13" x14ac:dyDescent="0.25">
      <c r="A1231" t="s">
        <v>1436</v>
      </c>
      <c r="B1231" t="s">
        <v>0</v>
      </c>
      <c r="C1231" t="s">
        <v>706</v>
      </c>
      <c r="D1231" t="s">
        <v>707</v>
      </c>
      <c r="E1231" t="s">
        <v>22</v>
      </c>
      <c r="F1231" s="5">
        <v>43407</v>
      </c>
      <c r="G1231" s="5">
        <v>43554</v>
      </c>
      <c r="H1231" s="6">
        <v>0.4548611111111111</v>
      </c>
      <c r="I1231" t="s">
        <v>14</v>
      </c>
      <c r="J1231" t="s">
        <v>1602</v>
      </c>
      <c r="K1231" t="s">
        <v>488</v>
      </c>
      <c r="M1231" t="s">
        <v>138</v>
      </c>
    </row>
    <row r="1232" spans="1:13" x14ac:dyDescent="0.25">
      <c r="A1232" t="s">
        <v>1436</v>
      </c>
      <c r="B1232" t="s">
        <v>0</v>
      </c>
      <c r="C1232" t="s">
        <v>1377</v>
      </c>
      <c r="D1232" t="s">
        <v>1378</v>
      </c>
      <c r="E1232" t="s">
        <v>20</v>
      </c>
      <c r="F1232" s="5">
        <v>43495</v>
      </c>
      <c r="G1232" s="5">
        <v>43509</v>
      </c>
      <c r="H1232" s="6">
        <v>0.35416666666666669</v>
      </c>
      <c r="I1232" t="s">
        <v>14</v>
      </c>
      <c r="J1232" t="s">
        <v>1603</v>
      </c>
      <c r="K1232" t="s">
        <v>595</v>
      </c>
      <c r="M1232" t="s">
        <v>138</v>
      </c>
    </row>
    <row r="1233" spans="1:13" x14ac:dyDescent="0.25">
      <c r="A1233" t="s">
        <v>1436</v>
      </c>
      <c r="B1233" t="s">
        <v>0</v>
      </c>
      <c r="C1233" t="s">
        <v>1160</v>
      </c>
      <c r="D1233" t="s">
        <v>1161</v>
      </c>
      <c r="E1233" t="s">
        <v>18</v>
      </c>
      <c r="F1233" s="5">
        <v>43429</v>
      </c>
      <c r="G1233" s="5">
        <v>43548</v>
      </c>
      <c r="H1233" s="6">
        <v>0.84375</v>
      </c>
      <c r="I1233" t="s">
        <v>331</v>
      </c>
      <c r="J1233" t="s">
        <v>1604</v>
      </c>
      <c r="K1233" t="s">
        <v>45</v>
      </c>
      <c r="M1233" t="s">
        <v>138</v>
      </c>
    </row>
    <row r="1234" spans="1:13" x14ac:dyDescent="0.25">
      <c r="A1234" t="s">
        <v>1436</v>
      </c>
      <c r="B1234" t="s">
        <v>0</v>
      </c>
      <c r="C1234" t="s">
        <v>709</v>
      </c>
      <c r="D1234" t="s">
        <v>710</v>
      </c>
      <c r="E1234" t="s">
        <v>59</v>
      </c>
      <c r="F1234" s="5">
        <v>43402</v>
      </c>
      <c r="G1234" s="5">
        <v>43549</v>
      </c>
      <c r="H1234" s="6">
        <v>0.47916666666666669</v>
      </c>
      <c r="I1234" t="s">
        <v>141</v>
      </c>
      <c r="J1234" t="s">
        <v>711</v>
      </c>
      <c r="K1234" t="s">
        <v>1533</v>
      </c>
      <c r="M1234" t="s">
        <v>138</v>
      </c>
    </row>
    <row r="1235" spans="1:13" x14ac:dyDescent="0.25">
      <c r="A1235" t="s">
        <v>1436</v>
      </c>
      <c r="B1235" t="s">
        <v>0</v>
      </c>
      <c r="C1235" t="s">
        <v>709</v>
      </c>
      <c r="D1235" t="s">
        <v>710</v>
      </c>
      <c r="E1235" t="s">
        <v>13</v>
      </c>
      <c r="F1235" s="5">
        <v>43405</v>
      </c>
      <c r="G1235" s="5">
        <v>43552</v>
      </c>
      <c r="H1235" s="6">
        <v>0.5</v>
      </c>
      <c r="I1235" t="s">
        <v>141</v>
      </c>
      <c r="J1235" t="s">
        <v>711</v>
      </c>
      <c r="K1235" t="s">
        <v>1533</v>
      </c>
      <c r="M1235" t="s">
        <v>138</v>
      </c>
    </row>
    <row r="1236" spans="1:13" x14ac:dyDescent="0.25">
      <c r="A1236" t="s">
        <v>1436</v>
      </c>
      <c r="B1236" t="s">
        <v>0</v>
      </c>
      <c r="C1236" t="s">
        <v>264</v>
      </c>
      <c r="D1236" t="s">
        <v>265</v>
      </c>
      <c r="E1236" t="s">
        <v>18</v>
      </c>
      <c r="F1236" s="5">
        <v>43408</v>
      </c>
      <c r="G1236" s="5">
        <v>43548</v>
      </c>
      <c r="H1236" s="6">
        <v>0.28472222222222221</v>
      </c>
      <c r="I1236">
        <v>320</v>
      </c>
      <c r="J1236" t="s">
        <v>263</v>
      </c>
      <c r="K1236" t="s">
        <v>221</v>
      </c>
      <c r="M1236" t="s">
        <v>138</v>
      </c>
    </row>
    <row r="1237" spans="1:13" x14ac:dyDescent="0.25">
      <c r="A1237" t="s">
        <v>1436</v>
      </c>
      <c r="B1237" t="s">
        <v>0</v>
      </c>
      <c r="C1237" t="s">
        <v>264</v>
      </c>
      <c r="D1237" t="s">
        <v>265</v>
      </c>
      <c r="E1237" t="s">
        <v>20</v>
      </c>
      <c r="F1237" s="5">
        <v>43474</v>
      </c>
      <c r="G1237" s="5">
        <v>43551</v>
      </c>
      <c r="H1237" s="6">
        <v>0.28472222222222221</v>
      </c>
      <c r="I1237">
        <v>320</v>
      </c>
      <c r="J1237" t="s">
        <v>263</v>
      </c>
      <c r="K1237" t="s">
        <v>221</v>
      </c>
      <c r="M1237" t="s">
        <v>138</v>
      </c>
    </row>
    <row r="1238" spans="1:13" x14ac:dyDescent="0.25">
      <c r="A1238" t="s">
        <v>1436</v>
      </c>
      <c r="B1238" t="s">
        <v>0</v>
      </c>
      <c r="C1238" t="s">
        <v>264</v>
      </c>
      <c r="D1238" t="s">
        <v>265</v>
      </c>
      <c r="E1238" t="s">
        <v>22</v>
      </c>
      <c r="F1238" s="5">
        <v>43407</v>
      </c>
      <c r="G1238" s="5">
        <v>43554</v>
      </c>
      <c r="H1238" s="6">
        <v>0.43402777777777773</v>
      </c>
      <c r="I1238">
        <v>320</v>
      </c>
      <c r="J1238" t="s">
        <v>263</v>
      </c>
      <c r="K1238" t="s">
        <v>221</v>
      </c>
      <c r="M1238" t="s">
        <v>138</v>
      </c>
    </row>
    <row r="1239" spans="1:13" x14ac:dyDescent="0.25">
      <c r="A1239" t="s">
        <v>1436</v>
      </c>
      <c r="B1239" t="s">
        <v>0</v>
      </c>
      <c r="C1239" t="s">
        <v>437</v>
      </c>
      <c r="D1239" t="s">
        <v>438</v>
      </c>
      <c r="E1239" t="s">
        <v>18</v>
      </c>
      <c r="F1239" s="5">
        <v>43401</v>
      </c>
      <c r="G1239" s="5">
        <v>43548</v>
      </c>
      <c r="H1239" s="6">
        <v>0.47569444444444442</v>
      </c>
      <c r="I1239" t="s">
        <v>14</v>
      </c>
      <c r="J1239" t="s">
        <v>712</v>
      </c>
      <c r="K1239" t="s">
        <v>66</v>
      </c>
      <c r="M1239" t="s">
        <v>138</v>
      </c>
    </row>
    <row r="1240" spans="1:13" x14ac:dyDescent="0.25">
      <c r="A1240" t="s">
        <v>1436</v>
      </c>
      <c r="B1240" t="s">
        <v>0</v>
      </c>
      <c r="C1240" t="s">
        <v>713</v>
      </c>
      <c r="D1240" t="s">
        <v>714</v>
      </c>
      <c r="E1240" t="s">
        <v>18</v>
      </c>
      <c r="F1240" s="5">
        <v>43408</v>
      </c>
      <c r="G1240" s="5">
        <v>43548</v>
      </c>
      <c r="H1240" s="6">
        <v>0.49652777777777773</v>
      </c>
      <c r="I1240" t="s">
        <v>715</v>
      </c>
      <c r="J1240" t="s">
        <v>716</v>
      </c>
      <c r="K1240" t="s">
        <v>582</v>
      </c>
      <c r="M1240" t="s">
        <v>138</v>
      </c>
    </row>
    <row r="1241" spans="1:13" x14ac:dyDescent="0.25">
      <c r="A1241" t="s">
        <v>1436</v>
      </c>
      <c r="B1241" t="s">
        <v>0</v>
      </c>
      <c r="C1241" t="s">
        <v>268</v>
      </c>
      <c r="D1241" t="s">
        <v>269</v>
      </c>
      <c r="E1241" t="s">
        <v>22</v>
      </c>
      <c r="F1241" s="5">
        <v>43505</v>
      </c>
      <c r="G1241" s="5">
        <v>43554</v>
      </c>
      <c r="H1241" s="6">
        <v>0.71527777777777779</v>
      </c>
      <c r="I1241" t="s">
        <v>440</v>
      </c>
      <c r="J1241" t="s">
        <v>717</v>
      </c>
      <c r="K1241" t="s">
        <v>270</v>
      </c>
      <c r="M1241" t="s">
        <v>138</v>
      </c>
    </row>
    <row r="1242" spans="1:13" x14ac:dyDescent="0.25">
      <c r="A1242" t="s">
        <v>1436</v>
      </c>
      <c r="B1242" t="s">
        <v>0</v>
      </c>
      <c r="C1242" t="s">
        <v>268</v>
      </c>
      <c r="D1242" t="s">
        <v>269</v>
      </c>
      <c r="E1242" t="s">
        <v>20</v>
      </c>
      <c r="F1242" s="5">
        <v>43509</v>
      </c>
      <c r="G1242" s="5">
        <v>43551</v>
      </c>
      <c r="H1242" s="6">
        <v>0.76736111111111116</v>
      </c>
      <c r="I1242" t="s">
        <v>14</v>
      </c>
      <c r="J1242" t="s">
        <v>1472</v>
      </c>
      <c r="K1242" t="s">
        <v>270</v>
      </c>
      <c r="M1242" t="s">
        <v>138</v>
      </c>
    </row>
    <row r="1243" spans="1:13" x14ac:dyDescent="0.25">
      <c r="A1243" t="s">
        <v>1436</v>
      </c>
      <c r="B1243" t="s">
        <v>0</v>
      </c>
      <c r="C1243" t="s">
        <v>271</v>
      </c>
      <c r="D1243" t="s">
        <v>272</v>
      </c>
      <c r="E1243" t="s">
        <v>22</v>
      </c>
      <c r="F1243" s="5">
        <v>43407</v>
      </c>
      <c r="G1243" s="5">
        <v>43554</v>
      </c>
      <c r="H1243" s="6">
        <v>0.4548611111111111</v>
      </c>
      <c r="I1243">
        <v>320</v>
      </c>
      <c r="J1243" t="s">
        <v>718</v>
      </c>
      <c r="K1243" t="s">
        <v>66</v>
      </c>
      <c r="M1243" t="s">
        <v>138</v>
      </c>
    </row>
    <row r="1244" spans="1:13" x14ac:dyDescent="0.25">
      <c r="A1244" t="s">
        <v>1436</v>
      </c>
      <c r="B1244" t="s">
        <v>0</v>
      </c>
      <c r="C1244" t="s">
        <v>1519</v>
      </c>
      <c r="D1244" t="s">
        <v>1520</v>
      </c>
      <c r="E1244" t="s">
        <v>18</v>
      </c>
      <c r="F1244" s="5">
        <v>43450</v>
      </c>
      <c r="G1244" s="5">
        <v>43548</v>
      </c>
      <c r="H1244" s="6">
        <v>0.66666666666666663</v>
      </c>
      <c r="I1244">
        <v>319</v>
      </c>
      <c r="J1244" t="s">
        <v>1605</v>
      </c>
      <c r="K1244" t="s">
        <v>45</v>
      </c>
      <c r="M1244" t="s">
        <v>138</v>
      </c>
    </row>
    <row r="1245" spans="1:13" x14ac:dyDescent="0.25">
      <c r="A1245" t="s">
        <v>1436</v>
      </c>
      <c r="B1245" t="s">
        <v>0</v>
      </c>
      <c r="C1245" t="s">
        <v>273</v>
      </c>
      <c r="D1245" t="s">
        <v>274</v>
      </c>
      <c r="E1245" t="s">
        <v>48</v>
      </c>
      <c r="F1245" s="5">
        <v>43406</v>
      </c>
      <c r="G1245" s="5">
        <v>43553</v>
      </c>
      <c r="H1245" s="6">
        <v>0.47222222222222227</v>
      </c>
      <c r="I1245" t="s">
        <v>81</v>
      </c>
      <c r="J1245" t="s">
        <v>719</v>
      </c>
      <c r="K1245" t="s">
        <v>16</v>
      </c>
      <c r="M1245" t="s">
        <v>138</v>
      </c>
    </row>
    <row r="1246" spans="1:13" x14ac:dyDescent="0.25">
      <c r="A1246" t="s">
        <v>1436</v>
      </c>
      <c r="B1246" t="s">
        <v>0</v>
      </c>
      <c r="C1246" t="s">
        <v>273</v>
      </c>
      <c r="D1246" t="s">
        <v>274</v>
      </c>
      <c r="E1246" t="s">
        <v>19</v>
      </c>
      <c r="F1246" s="5">
        <v>43410</v>
      </c>
      <c r="G1246" s="5">
        <v>43508</v>
      </c>
      <c r="H1246" s="6">
        <v>0.47569444444444442</v>
      </c>
      <c r="I1246" t="s">
        <v>81</v>
      </c>
      <c r="J1246" t="s">
        <v>719</v>
      </c>
      <c r="K1246" t="s">
        <v>16</v>
      </c>
      <c r="M1246" t="s">
        <v>138</v>
      </c>
    </row>
    <row r="1247" spans="1:13" x14ac:dyDescent="0.25">
      <c r="A1247" t="s">
        <v>1436</v>
      </c>
      <c r="B1247" t="s">
        <v>0</v>
      </c>
      <c r="C1247" t="s">
        <v>720</v>
      </c>
      <c r="D1247" t="s">
        <v>721</v>
      </c>
      <c r="E1247" t="s">
        <v>1606</v>
      </c>
      <c r="F1247" s="5">
        <v>43401</v>
      </c>
      <c r="G1247" s="5">
        <v>43553</v>
      </c>
      <c r="H1247" s="6">
        <v>0.4861111111111111</v>
      </c>
      <c r="I1247" t="s">
        <v>141</v>
      </c>
      <c r="J1247" t="s">
        <v>722</v>
      </c>
      <c r="K1247" t="s">
        <v>723</v>
      </c>
      <c r="M1247" t="s">
        <v>138</v>
      </c>
    </row>
    <row r="1248" spans="1:13" x14ac:dyDescent="0.25">
      <c r="A1248" t="s">
        <v>1436</v>
      </c>
      <c r="B1248" t="s">
        <v>0</v>
      </c>
      <c r="C1248" t="s">
        <v>1522</v>
      </c>
      <c r="D1248" t="s">
        <v>1523</v>
      </c>
      <c r="E1248" t="s">
        <v>22</v>
      </c>
      <c r="F1248" s="5">
        <v>43449</v>
      </c>
      <c r="G1248" s="5">
        <v>43554</v>
      </c>
      <c r="H1248" s="6">
        <v>0.69444444444444453</v>
      </c>
      <c r="I1248" t="s">
        <v>352</v>
      </c>
      <c r="J1248" t="s">
        <v>1607</v>
      </c>
      <c r="K1248" t="s">
        <v>460</v>
      </c>
      <c r="M1248" t="s">
        <v>138</v>
      </c>
    </row>
    <row r="1249" spans="1:13" x14ac:dyDescent="0.25">
      <c r="A1249" t="s">
        <v>1436</v>
      </c>
      <c r="B1249" t="s">
        <v>0</v>
      </c>
      <c r="C1249" t="s">
        <v>278</v>
      </c>
      <c r="D1249" t="s">
        <v>279</v>
      </c>
      <c r="E1249" t="s">
        <v>59</v>
      </c>
      <c r="F1249" s="5">
        <v>43465</v>
      </c>
      <c r="G1249" s="5">
        <v>43549</v>
      </c>
      <c r="H1249" s="6">
        <v>0.28125</v>
      </c>
      <c r="I1249" t="s">
        <v>14</v>
      </c>
      <c r="J1249" t="s">
        <v>724</v>
      </c>
      <c r="K1249" t="s">
        <v>1533</v>
      </c>
      <c r="M1249" t="s">
        <v>138</v>
      </c>
    </row>
    <row r="1250" spans="1:13" x14ac:dyDescent="0.25">
      <c r="A1250" t="s">
        <v>1436</v>
      </c>
      <c r="B1250" t="s">
        <v>0</v>
      </c>
      <c r="C1250" t="s">
        <v>278</v>
      </c>
      <c r="D1250" t="s">
        <v>279</v>
      </c>
      <c r="E1250" t="s">
        <v>48</v>
      </c>
      <c r="F1250" s="5">
        <v>43511</v>
      </c>
      <c r="G1250" s="5">
        <v>43511</v>
      </c>
      <c r="H1250" s="6">
        <v>0.28125</v>
      </c>
      <c r="I1250" t="s">
        <v>14</v>
      </c>
      <c r="J1250" t="s">
        <v>724</v>
      </c>
      <c r="K1250" t="s">
        <v>1533</v>
      </c>
      <c r="M1250" t="s">
        <v>138</v>
      </c>
    </row>
    <row r="1251" spans="1:13" x14ac:dyDescent="0.25">
      <c r="A1251" t="s">
        <v>1436</v>
      </c>
      <c r="B1251" t="s">
        <v>0</v>
      </c>
      <c r="C1251" t="s">
        <v>282</v>
      </c>
      <c r="D1251" t="s">
        <v>283</v>
      </c>
      <c r="E1251" t="s">
        <v>19</v>
      </c>
      <c r="F1251" s="5">
        <v>43473</v>
      </c>
      <c r="G1251" s="5">
        <v>43508</v>
      </c>
      <c r="H1251" s="6">
        <v>0.25</v>
      </c>
      <c r="I1251">
        <v>320</v>
      </c>
      <c r="J1251" t="s">
        <v>725</v>
      </c>
      <c r="K1251" t="s">
        <v>1533</v>
      </c>
      <c r="M1251" t="s">
        <v>138</v>
      </c>
    </row>
    <row r="1252" spans="1:13" x14ac:dyDescent="0.25">
      <c r="A1252" t="s">
        <v>1436</v>
      </c>
      <c r="B1252" t="s">
        <v>0</v>
      </c>
      <c r="C1252" t="s">
        <v>282</v>
      </c>
      <c r="D1252" t="s">
        <v>283</v>
      </c>
      <c r="E1252" t="s">
        <v>13</v>
      </c>
      <c r="F1252" s="5">
        <v>43482</v>
      </c>
      <c r="G1252" s="5">
        <v>43552</v>
      </c>
      <c r="H1252" s="6">
        <v>0.37152777777777773</v>
      </c>
      <c r="I1252">
        <v>320</v>
      </c>
      <c r="J1252" t="s">
        <v>726</v>
      </c>
      <c r="K1252" t="s">
        <v>1533</v>
      </c>
      <c r="M1252" t="s">
        <v>138</v>
      </c>
    </row>
    <row r="1253" spans="1:13" x14ac:dyDescent="0.25">
      <c r="A1253" t="s">
        <v>1436</v>
      </c>
      <c r="B1253" t="s">
        <v>0</v>
      </c>
      <c r="C1253" t="s">
        <v>282</v>
      </c>
      <c r="D1253" t="s">
        <v>283</v>
      </c>
      <c r="E1253" t="s">
        <v>22</v>
      </c>
      <c r="F1253" s="5">
        <v>43512</v>
      </c>
      <c r="G1253" s="5">
        <v>43554</v>
      </c>
      <c r="H1253" s="6">
        <v>0.51041666666666663</v>
      </c>
      <c r="I1253">
        <v>320</v>
      </c>
      <c r="J1253" t="s">
        <v>726</v>
      </c>
      <c r="K1253" t="s">
        <v>1533</v>
      </c>
      <c r="M1253" t="s">
        <v>138</v>
      </c>
    </row>
    <row r="1254" spans="1:13" x14ac:dyDescent="0.25">
      <c r="A1254" t="s">
        <v>1436</v>
      </c>
      <c r="B1254" t="s">
        <v>0</v>
      </c>
      <c r="C1254" t="s">
        <v>282</v>
      </c>
      <c r="D1254" t="s">
        <v>283</v>
      </c>
      <c r="E1254" t="s">
        <v>109</v>
      </c>
      <c r="F1254" s="5">
        <v>43461</v>
      </c>
      <c r="G1254" s="5">
        <v>43552</v>
      </c>
      <c r="H1254" s="6">
        <v>0.5625</v>
      </c>
      <c r="I1254" t="s">
        <v>14</v>
      </c>
      <c r="J1254" t="s">
        <v>727</v>
      </c>
      <c r="K1254" t="s">
        <v>1533</v>
      </c>
      <c r="M1254" t="s">
        <v>138</v>
      </c>
    </row>
    <row r="1255" spans="1:13" x14ac:dyDescent="0.25">
      <c r="A1255" t="s">
        <v>1436</v>
      </c>
      <c r="B1255" t="s">
        <v>0</v>
      </c>
      <c r="C1255" t="s">
        <v>282</v>
      </c>
      <c r="D1255" t="s">
        <v>283</v>
      </c>
      <c r="E1255" t="s">
        <v>132</v>
      </c>
      <c r="F1255" s="5">
        <v>43404</v>
      </c>
      <c r="G1255" s="5">
        <v>43553</v>
      </c>
      <c r="H1255" s="6">
        <v>0.83680555555555547</v>
      </c>
      <c r="I1255">
        <v>320</v>
      </c>
      <c r="J1255" t="s">
        <v>728</v>
      </c>
      <c r="K1255" t="s">
        <v>1533</v>
      </c>
      <c r="M1255" t="s">
        <v>138</v>
      </c>
    </row>
    <row r="1256" spans="1:13" x14ac:dyDescent="0.25">
      <c r="A1256" t="s">
        <v>1436</v>
      </c>
      <c r="B1256" t="s">
        <v>0</v>
      </c>
      <c r="C1256" t="s">
        <v>282</v>
      </c>
      <c r="D1256" t="s">
        <v>283</v>
      </c>
      <c r="E1256" t="s">
        <v>59</v>
      </c>
      <c r="F1256" s="5">
        <v>43472</v>
      </c>
      <c r="G1256" s="5">
        <v>43549</v>
      </c>
      <c r="H1256" s="6">
        <v>0.83680555555555547</v>
      </c>
      <c r="I1256">
        <v>320</v>
      </c>
      <c r="J1256" t="s">
        <v>728</v>
      </c>
      <c r="K1256" t="s">
        <v>1533</v>
      </c>
      <c r="M1256" t="s">
        <v>138</v>
      </c>
    </row>
    <row r="1257" spans="1:13" x14ac:dyDescent="0.25">
      <c r="A1257" t="s">
        <v>1436</v>
      </c>
      <c r="B1257" t="s">
        <v>0</v>
      </c>
      <c r="C1257" t="s">
        <v>282</v>
      </c>
      <c r="D1257" t="s">
        <v>283</v>
      </c>
      <c r="E1257" t="s">
        <v>18</v>
      </c>
      <c r="F1257" s="5">
        <v>43401</v>
      </c>
      <c r="G1257" s="5">
        <v>43548</v>
      </c>
      <c r="H1257" s="6">
        <v>0.84027777777777779</v>
      </c>
      <c r="I1257">
        <v>320</v>
      </c>
      <c r="J1257" t="s">
        <v>728</v>
      </c>
      <c r="K1257" t="s">
        <v>1533</v>
      </c>
      <c r="M1257" t="s">
        <v>138</v>
      </c>
    </row>
    <row r="1258" spans="1:13" x14ac:dyDescent="0.25">
      <c r="A1258" t="s">
        <v>1436</v>
      </c>
      <c r="B1258" t="s">
        <v>0</v>
      </c>
      <c r="C1258" t="s">
        <v>282</v>
      </c>
      <c r="D1258" t="s">
        <v>283</v>
      </c>
      <c r="E1258" t="s">
        <v>22</v>
      </c>
      <c r="F1258" s="5">
        <v>43477</v>
      </c>
      <c r="G1258" s="5">
        <v>43554</v>
      </c>
      <c r="H1258" s="6">
        <v>0.84027777777777779</v>
      </c>
      <c r="I1258" t="s">
        <v>14</v>
      </c>
      <c r="J1258" t="s">
        <v>727</v>
      </c>
      <c r="K1258" t="s">
        <v>1533</v>
      </c>
      <c r="M1258" t="s">
        <v>138</v>
      </c>
    </row>
    <row r="1259" spans="1:13" x14ac:dyDescent="0.25">
      <c r="A1259" t="s">
        <v>1436</v>
      </c>
      <c r="B1259" t="s">
        <v>0</v>
      </c>
      <c r="C1259" t="s">
        <v>1192</v>
      </c>
      <c r="D1259" t="s">
        <v>1193</v>
      </c>
      <c r="E1259" t="s">
        <v>22</v>
      </c>
      <c r="F1259" s="5">
        <v>43407</v>
      </c>
      <c r="G1259" s="5">
        <v>43554</v>
      </c>
      <c r="H1259" s="6">
        <v>0.74652777777777779</v>
      </c>
      <c r="I1259" t="s">
        <v>14</v>
      </c>
      <c r="J1259" t="s">
        <v>1608</v>
      </c>
      <c r="K1259" t="s">
        <v>488</v>
      </c>
      <c r="M1259" t="s">
        <v>138</v>
      </c>
    </row>
    <row r="1260" spans="1:13" x14ac:dyDescent="0.25">
      <c r="A1260" t="s">
        <v>1436</v>
      </c>
      <c r="B1260" t="s">
        <v>0</v>
      </c>
      <c r="C1260" t="s">
        <v>289</v>
      </c>
      <c r="D1260" t="s">
        <v>290</v>
      </c>
      <c r="E1260" t="s">
        <v>18</v>
      </c>
      <c r="F1260" s="5">
        <v>43506</v>
      </c>
      <c r="G1260" s="5">
        <v>43513</v>
      </c>
      <c r="H1260" s="6">
        <v>0.4236111111111111</v>
      </c>
      <c r="I1260" t="s">
        <v>106</v>
      </c>
      <c r="J1260" t="s">
        <v>729</v>
      </c>
      <c r="K1260" t="s">
        <v>45</v>
      </c>
      <c r="M1260" t="s">
        <v>138</v>
      </c>
    </row>
    <row r="1261" spans="1:13" x14ac:dyDescent="0.25">
      <c r="A1261" t="s">
        <v>1436</v>
      </c>
      <c r="B1261" t="s">
        <v>0</v>
      </c>
      <c r="C1261" t="s">
        <v>289</v>
      </c>
      <c r="D1261" t="s">
        <v>290</v>
      </c>
      <c r="E1261" t="s">
        <v>18</v>
      </c>
      <c r="F1261" s="5">
        <v>43401</v>
      </c>
      <c r="G1261" s="5">
        <v>43548</v>
      </c>
      <c r="H1261" s="6">
        <v>0.44791666666666669</v>
      </c>
      <c r="I1261" t="s">
        <v>352</v>
      </c>
      <c r="J1261" t="s">
        <v>1609</v>
      </c>
      <c r="K1261" t="s">
        <v>45</v>
      </c>
      <c r="M1261" t="s">
        <v>138</v>
      </c>
    </row>
    <row r="1262" spans="1:13" x14ac:dyDescent="0.25">
      <c r="A1262" t="s">
        <v>1436</v>
      </c>
      <c r="B1262" t="s">
        <v>0</v>
      </c>
      <c r="C1262" t="s">
        <v>289</v>
      </c>
      <c r="D1262" t="s">
        <v>290</v>
      </c>
      <c r="E1262" t="s">
        <v>13</v>
      </c>
      <c r="F1262" s="5">
        <v>43405</v>
      </c>
      <c r="G1262" s="5">
        <v>43552</v>
      </c>
      <c r="H1262" s="6">
        <v>0.4548611111111111</v>
      </c>
      <c r="I1262" t="s">
        <v>352</v>
      </c>
      <c r="J1262" t="s">
        <v>1610</v>
      </c>
      <c r="K1262" t="s">
        <v>45</v>
      </c>
      <c r="M1262" t="s">
        <v>138</v>
      </c>
    </row>
    <row r="1263" spans="1:13" x14ac:dyDescent="0.25">
      <c r="A1263" t="s">
        <v>1436</v>
      </c>
      <c r="B1263" t="s">
        <v>0</v>
      </c>
      <c r="C1263" t="s">
        <v>289</v>
      </c>
      <c r="D1263" t="s">
        <v>290</v>
      </c>
      <c r="E1263" t="s">
        <v>22</v>
      </c>
      <c r="F1263" s="5">
        <v>43407</v>
      </c>
      <c r="G1263" s="5">
        <v>43554</v>
      </c>
      <c r="H1263" s="6">
        <v>0.66666666666666663</v>
      </c>
      <c r="I1263">
        <v>320</v>
      </c>
      <c r="J1263" t="s">
        <v>730</v>
      </c>
      <c r="K1263" t="s">
        <v>45</v>
      </c>
      <c r="M1263" t="s">
        <v>138</v>
      </c>
    </row>
    <row r="1264" spans="1:13" x14ac:dyDescent="0.25">
      <c r="A1264" t="s">
        <v>1436</v>
      </c>
      <c r="B1264" t="s">
        <v>0</v>
      </c>
      <c r="C1264" t="s">
        <v>289</v>
      </c>
      <c r="D1264" t="s">
        <v>290</v>
      </c>
      <c r="E1264" t="s">
        <v>59</v>
      </c>
      <c r="F1264" s="5">
        <v>43500</v>
      </c>
      <c r="G1264" s="5">
        <v>43521</v>
      </c>
      <c r="H1264" s="6">
        <v>0.75</v>
      </c>
      <c r="I1264" t="s">
        <v>106</v>
      </c>
      <c r="J1264" t="s">
        <v>1849</v>
      </c>
      <c r="K1264" t="s">
        <v>45</v>
      </c>
      <c r="M1264" t="s">
        <v>138</v>
      </c>
    </row>
    <row r="1265" spans="1:13" x14ac:dyDescent="0.25">
      <c r="A1265" t="s">
        <v>1436</v>
      </c>
      <c r="B1265" t="s">
        <v>0</v>
      </c>
      <c r="C1265" t="s">
        <v>289</v>
      </c>
      <c r="D1265" t="s">
        <v>290</v>
      </c>
      <c r="E1265" t="s">
        <v>48</v>
      </c>
      <c r="F1265" s="5">
        <v>43511</v>
      </c>
      <c r="G1265" s="5">
        <v>43553</v>
      </c>
      <c r="H1265" s="6">
        <v>0.75</v>
      </c>
      <c r="I1265" t="s">
        <v>106</v>
      </c>
      <c r="J1265" t="s">
        <v>729</v>
      </c>
      <c r="K1265" t="s">
        <v>45</v>
      </c>
      <c r="M1265" t="s">
        <v>138</v>
      </c>
    </row>
    <row r="1266" spans="1:13" x14ac:dyDescent="0.25">
      <c r="A1266" t="s">
        <v>1436</v>
      </c>
      <c r="B1266" t="s">
        <v>0</v>
      </c>
      <c r="C1266" t="s">
        <v>289</v>
      </c>
      <c r="D1266" t="s">
        <v>290</v>
      </c>
      <c r="E1266" t="s">
        <v>22</v>
      </c>
      <c r="F1266" s="5">
        <v>43512</v>
      </c>
      <c r="G1266" s="5">
        <v>43512</v>
      </c>
      <c r="H1266" s="6">
        <v>0.76388888888888884</v>
      </c>
      <c r="I1266" t="s">
        <v>106</v>
      </c>
      <c r="J1266" t="s">
        <v>729</v>
      </c>
      <c r="K1266" t="s">
        <v>45</v>
      </c>
      <c r="M1266" t="s">
        <v>138</v>
      </c>
    </row>
    <row r="1267" spans="1:13" x14ac:dyDescent="0.25">
      <c r="A1267" t="s">
        <v>1436</v>
      </c>
      <c r="B1267" t="s">
        <v>0</v>
      </c>
      <c r="C1267" t="s">
        <v>292</v>
      </c>
      <c r="D1267" t="s">
        <v>293</v>
      </c>
      <c r="E1267" t="s">
        <v>379</v>
      </c>
      <c r="F1267" s="5">
        <v>43473</v>
      </c>
      <c r="G1267" s="5">
        <v>43553</v>
      </c>
      <c r="H1267" s="6">
        <v>0.27430555555555552</v>
      </c>
      <c r="I1267" t="s">
        <v>139</v>
      </c>
      <c r="J1267" t="s">
        <v>731</v>
      </c>
      <c r="K1267" t="s">
        <v>1533</v>
      </c>
      <c r="M1267" t="s">
        <v>138</v>
      </c>
    </row>
    <row r="1268" spans="1:13" x14ac:dyDescent="0.25">
      <c r="A1268" t="s">
        <v>1436</v>
      </c>
      <c r="B1268" t="s">
        <v>0</v>
      </c>
      <c r="C1268" t="s">
        <v>292</v>
      </c>
      <c r="D1268" t="s">
        <v>293</v>
      </c>
      <c r="E1268" t="s">
        <v>52</v>
      </c>
      <c r="F1268" s="5">
        <v>43477</v>
      </c>
      <c r="G1268" s="5">
        <v>43554</v>
      </c>
      <c r="H1268" s="6">
        <v>0.28819444444444448</v>
      </c>
      <c r="I1268" t="s">
        <v>139</v>
      </c>
      <c r="J1268" t="s">
        <v>731</v>
      </c>
      <c r="K1268" t="s">
        <v>1533</v>
      </c>
      <c r="M1268" t="s">
        <v>138</v>
      </c>
    </row>
    <row r="1269" spans="1:13" x14ac:dyDescent="0.25">
      <c r="A1269" t="s">
        <v>1436</v>
      </c>
      <c r="B1269" t="s">
        <v>0</v>
      </c>
      <c r="C1269" t="s">
        <v>292</v>
      </c>
      <c r="D1269" t="s">
        <v>293</v>
      </c>
      <c r="E1269" t="s">
        <v>298</v>
      </c>
      <c r="F1269" s="5">
        <v>43402</v>
      </c>
      <c r="G1269" s="5">
        <v>43551</v>
      </c>
      <c r="H1269" s="6">
        <v>0.29166666666666669</v>
      </c>
      <c r="I1269" t="s">
        <v>141</v>
      </c>
      <c r="J1269" t="s">
        <v>733</v>
      </c>
      <c r="K1269" t="s">
        <v>1533</v>
      </c>
      <c r="M1269" t="s">
        <v>138</v>
      </c>
    </row>
    <row r="1270" spans="1:13" x14ac:dyDescent="0.25">
      <c r="A1270" t="s">
        <v>1436</v>
      </c>
      <c r="B1270" t="s">
        <v>0</v>
      </c>
      <c r="C1270" t="s">
        <v>292</v>
      </c>
      <c r="D1270" t="s">
        <v>293</v>
      </c>
      <c r="E1270" t="s">
        <v>13</v>
      </c>
      <c r="F1270" s="5">
        <v>43405</v>
      </c>
      <c r="G1270" s="5">
        <v>43524</v>
      </c>
      <c r="H1270" s="6">
        <v>0.29166666666666669</v>
      </c>
      <c r="I1270" t="s">
        <v>141</v>
      </c>
      <c r="J1270" t="s">
        <v>733</v>
      </c>
      <c r="K1270" t="s">
        <v>1533</v>
      </c>
      <c r="M1270" t="s">
        <v>138</v>
      </c>
    </row>
    <row r="1271" spans="1:13" x14ac:dyDescent="0.25">
      <c r="A1271" t="s">
        <v>1436</v>
      </c>
      <c r="B1271" t="s">
        <v>0</v>
      </c>
      <c r="C1271" t="s">
        <v>292</v>
      </c>
      <c r="D1271" t="s">
        <v>293</v>
      </c>
      <c r="E1271" t="s">
        <v>48</v>
      </c>
      <c r="F1271" s="5">
        <v>43441</v>
      </c>
      <c r="G1271" s="5">
        <v>43553</v>
      </c>
      <c r="H1271" s="6">
        <v>0.29166666666666669</v>
      </c>
      <c r="I1271" t="s">
        <v>141</v>
      </c>
      <c r="J1271" t="s">
        <v>732</v>
      </c>
      <c r="K1271" t="s">
        <v>1533</v>
      </c>
      <c r="M1271" t="s">
        <v>138</v>
      </c>
    </row>
    <row r="1272" spans="1:13" x14ac:dyDescent="0.25">
      <c r="A1272" t="s">
        <v>1436</v>
      </c>
      <c r="B1272" t="s">
        <v>0</v>
      </c>
      <c r="C1272" t="s">
        <v>292</v>
      </c>
      <c r="D1272" t="s">
        <v>293</v>
      </c>
      <c r="E1272" t="s">
        <v>19</v>
      </c>
      <c r="F1272" s="5">
        <v>43466</v>
      </c>
      <c r="G1272" s="5">
        <v>43550</v>
      </c>
      <c r="H1272" s="6">
        <v>0.29166666666666669</v>
      </c>
      <c r="I1272" t="s">
        <v>141</v>
      </c>
      <c r="J1272" t="s">
        <v>733</v>
      </c>
      <c r="K1272" t="s">
        <v>1533</v>
      </c>
      <c r="M1272" t="s">
        <v>138</v>
      </c>
    </row>
    <row r="1273" spans="1:13" x14ac:dyDescent="0.25">
      <c r="A1273" t="s">
        <v>1436</v>
      </c>
      <c r="B1273" t="s">
        <v>0</v>
      </c>
      <c r="C1273" t="s">
        <v>292</v>
      </c>
      <c r="D1273" t="s">
        <v>293</v>
      </c>
      <c r="E1273" t="s">
        <v>228</v>
      </c>
      <c r="F1273" s="5">
        <v>43474</v>
      </c>
      <c r="G1273" s="5">
        <v>43552</v>
      </c>
      <c r="H1273" s="6">
        <v>0.3125</v>
      </c>
      <c r="I1273" t="s">
        <v>139</v>
      </c>
      <c r="J1273" t="s">
        <v>734</v>
      </c>
      <c r="K1273" t="s">
        <v>1533</v>
      </c>
      <c r="M1273" t="s">
        <v>138</v>
      </c>
    </row>
    <row r="1274" spans="1:13" x14ac:dyDescent="0.25">
      <c r="A1274" t="s">
        <v>1436</v>
      </c>
      <c r="B1274" t="s">
        <v>0</v>
      </c>
      <c r="C1274" t="s">
        <v>292</v>
      </c>
      <c r="D1274" t="s">
        <v>293</v>
      </c>
      <c r="E1274" t="s">
        <v>1241</v>
      </c>
      <c r="F1274" s="5">
        <v>43401</v>
      </c>
      <c r="G1274" s="5">
        <v>43554</v>
      </c>
      <c r="H1274" s="6">
        <v>0.33333333333333331</v>
      </c>
      <c r="I1274" t="s">
        <v>141</v>
      </c>
      <c r="J1274" t="s">
        <v>735</v>
      </c>
      <c r="K1274" t="s">
        <v>1533</v>
      </c>
      <c r="M1274" t="s">
        <v>138</v>
      </c>
    </row>
    <row r="1275" spans="1:13" x14ac:dyDescent="0.25">
      <c r="A1275" t="s">
        <v>1436</v>
      </c>
      <c r="B1275" t="s">
        <v>0</v>
      </c>
      <c r="C1275" t="s">
        <v>292</v>
      </c>
      <c r="D1275" t="s">
        <v>293</v>
      </c>
      <c r="E1275" t="s">
        <v>59</v>
      </c>
      <c r="F1275" s="5">
        <v>43479</v>
      </c>
      <c r="G1275" s="5">
        <v>43549</v>
      </c>
      <c r="H1275" s="6">
        <v>0.33333333333333331</v>
      </c>
      <c r="I1275" t="s">
        <v>141</v>
      </c>
      <c r="J1275" t="s">
        <v>735</v>
      </c>
      <c r="K1275" t="s">
        <v>1533</v>
      </c>
      <c r="M1275" t="s">
        <v>138</v>
      </c>
    </row>
    <row r="1276" spans="1:13" x14ac:dyDescent="0.25">
      <c r="A1276" t="s">
        <v>1436</v>
      </c>
      <c r="B1276" t="s">
        <v>0</v>
      </c>
      <c r="C1276" t="s">
        <v>292</v>
      </c>
      <c r="D1276" t="s">
        <v>293</v>
      </c>
      <c r="E1276" t="s">
        <v>19</v>
      </c>
      <c r="F1276" s="5">
        <v>43480</v>
      </c>
      <c r="G1276" s="5">
        <v>43522</v>
      </c>
      <c r="H1276" s="6">
        <v>0.33333333333333331</v>
      </c>
      <c r="I1276" t="s">
        <v>141</v>
      </c>
      <c r="J1276" t="s">
        <v>735</v>
      </c>
      <c r="K1276" t="s">
        <v>1533</v>
      </c>
      <c r="M1276" t="s">
        <v>138</v>
      </c>
    </row>
    <row r="1277" spans="1:13" x14ac:dyDescent="0.25">
      <c r="A1277" t="s">
        <v>1436</v>
      </c>
      <c r="B1277" t="s">
        <v>0</v>
      </c>
      <c r="C1277" t="s">
        <v>292</v>
      </c>
      <c r="D1277" t="s">
        <v>293</v>
      </c>
      <c r="E1277" t="s">
        <v>146</v>
      </c>
      <c r="F1277" s="5">
        <v>43473</v>
      </c>
      <c r="G1277" s="5">
        <v>43522</v>
      </c>
      <c r="H1277" s="6">
        <v>0.35416666666666669</v>
      </c>
      <c r="I1277" t="s">
        <v>139</v>
      </c>
      <c r="J1277" t="s">
        <v>737</v>
      </c>
      <c r="K1277" t="s">
        <v>1533</v>
      </c>
      <c r="M1277" t="s">
        <v>138</v>
      </c>
    </row>
    <row r="1278" spans="1:13" x14ac:dyDescent="0.25">
      <c r="A1278" t="s">
        <v>1436</v>
      </c>
      <c r="B1278" t="s">
        <v>0</v>
      </c>
      <c r="C1278" t="s">
        <v>292</v>
      </c>
      <c r="D1278" t="s">
        <v>293</v>
      </c>
      <c r="E1278" t="s">
        <v>805</v>
      </c>
      <c r="F1278" s="5">
        <v>43474</v>
      </c>
      <c r="G1278" s="5">
        <v>43553</v>
      </c>
      <c r="H1278" s="6">
        <v>0.35416666666666669</v>
      </c>
      <c r="I1278" t="s">
        <v>139</v>
      </c>
      <c r="J1278" t="s">
        <v>737</v>
      </c>
      <c r="K1278" t="s">
        <v>1533</v>
      </c>
      <c r="M1278" t="s">
        <v>138</v>
      </c>
    </row>
    <row r="1279" spans="1:13" x14ac:dyDescent="0.25">
      <c r="A1279" t="s">
        <v>1436</v>
      </c>
      <c r="B1279" t="s">
        <v>0</v>
      </c>
      <c r="C1279" t="s">
        <v>292</v>
      </c>
      <c r="D1279" t="s">
        <v>293</v>
      </c>
      <c r="E1279" t="s">
        <v>1278</v>
      </c>
      <c r="F1279" s="5">
        <v>43401</v>
      </c>
      <c r="G1279" s="5">
        <v>43554</v>
      </c>
      <c r="H1279" s="6">
        <v>0.375</v>
      </c>
      <c r="I1279" t="s">
        <v>139</v>
      </c>
      <c r="J1279" t="s">
        <v>739</v>
      </c>
      <c r="K1279" t="s">
        <v>1533</v>
      </c>
      <c r="M1279" t="s">
        <v>138</v>
      </c>
    </row>
    <row r="1280" spans="1:13" x14ac:dyDescent="0.25">
      <c r="A1280" t="s">
        <v>1436</v>
      </c>
      <c r="B1280" t="s">
        <v>0</v>
      </c>
      <c r="C1280" t="s">
        <v>292</v>
      </c>
      <c r="D1280" t="s">
        <v>293</v>
      </c>
      <c r="E1280" t="s">
        <v>1527</v>
      </c>
      <c r="F1280" s="5">
        <v>43404</v>
      </c>
      <c r="G1280" s="5">
        <v>43554</v>
      </c>
      <c r="H1280" s="6">
        <v>0.375</v>
      </c>
      <c r="I1280" t="s">
        <v>141</v>
      </c>
      <c r="J1280" t="s">
        <v>738</v>
      </c>
      <c r="K1280" t="s">
        <v>1533</v>
      </c>
      <c r="M1280" t="s">
        <v>138</v>
      </c>
    </row>
    <row r="1281" spans="1:13" x14ac:dyDescent="0.25">
      <c r="A1281" t="s">
        <v>1436</v>
      </c>
      <c r="B1281" t="s">
        <v>0</v>
      </c>
      <c r="C1281" t="s">
        <v>292</v>
      </c>
      <c r="D1281" t="s">
        <v>293</v>
      </c>
      <c r="E1281" t="s">
        <v>19</v>
      </c>
      <c r="F1281" s="5">
        <v>43473</v>
      </c>
      <c r="G1281" s="5">
        <v>43550</v>
      </c>
      <c r="H1281" s="6">
        <v>0.375</v>
      </c>
      <c r="I1281" t="s">
        <v>139</v>
      </c>
      <c r="J1281" t="s">
        <v>739</v>
      </c>
      <c r="K1281" t="s">
        <v>1533</v>
      </c>
      <c r="M1281" t="s">
        <v>138</v>
      </c>
    </row>
    <row r="1282" spans="1:13" x14ac:dyDescent="0.25">
      <c r="A1282" t="s">
        <v>1436</v>
      </c>
      <c r="B1282" t="s">
        <v>0</v>
      </c>
      <c r="C1282" t="s">
        <v>292</v>
      </c>
      <c r="D1282" t="s">
        <v>293</v>
      </c>
      <c r="E1282" t="s">
        <v>235</v>
      </c>
      <c r="F1282" s="5">
        <v>43475</v>
      </c>
      <c r="G1282" s="5">
        <v>43552</v>
      </c>
      <c r="H1282" s="6">
        <v>0.375</v>
      </c>
      <c r="I1282" t="s">
        <v>141</v>
      </c>
      <c r="J1282" t="s">
        <v>738</v>
      </c>
      <c r="K1282" t="s">
        <v>1533</v>
      </c>
      <c r="M1282" t="s">
        <v>138</v>
      </c>
    </row>
    <row r="1283" spans="1:13" x14ac:dyDescent="0.25">
      <c r="A1283" t="s">
        <v>1436</v>
      </c>
      <c r="B1283" t="s">
        <v>0</v>
      </c>
      <c r="C1283" t="s">
        <v>292</v>
      </c>
      <c r="D1283" t="s">
        <v>293</v>
      </c>
      <c r="E1283" t="s">
        <v>19</v>
      </c>
      <c r="F1283" s="5">
        <v>43480</v>
      </c>
      <c r="G1283" s="5">
        <v>43522</v>
      </c>
      <c r="H1283" s="6">
        <v>0.375</v>
      </c>
      <c r="I1283" t="s">
        <v>141</v>
      </c>
      <c r="J1283" t="s">
        <v>738</v>
      </c>
      <c r="K1283" t="s">
        <v>1533</v>
      </c>
      <c r="M1283" t="s">
        <v>138</v>
      </c>
    </row>
    <row r="1284" spans="1:13" x14ac:dyDescent="0.25">
      <c r="A1284" t="s">
        <v>1436</v>
      </c>
      <c r="B1284" t="s">
        <v>0</v>
      </c>
      <c r="C1284" t="s">
        <v>292</v>
      </c>
      <c r="D1284" t="s">
        <v>293</v>
      </c>
      <c r="E1284" t="s">
        <v>59</v>
      </c>
      <c r="F1284" s="5">
        <v>43402</v>
      </c>
      <c r="G1284" s="5">
        <v>43549</v>
      </c>
      <c r="H1284" s="6">
        <v>0.37847222222222227</v>
      </c>
      <c r="I1284" t="s">
        <v>139</v>
      </c>
      <c r="J1284" t="s">
        <v>739</v>
      </c>
      <c r="K1284" t="s">
        <v>1533</v>
      </c>
      <c r="M1284" t="s">
        <v>138</v>
      </c>
    </row>
    <row r="1285" spans="1:13" x14ac:dyDescent="0.25">
      <c r="A1285" t="s">
        <v>1436</v>
      </c>
      <c r="B1285" t="s">
        <v>0</v>
      </c>
      <c r="C1285" t="s">
        <v>292</v>
      </c>
      <c r="D1285" t="s">
        <v>293</v>
      </c>
      <c r="E1285" t="s">
        <v>48</v>
      </c>
      <c r="F1285" s="5">
        <v>43469</v>
      </c>
      <c r="G1285" s="5">
        <v>43553</v>
      </c>
      <c r="H1285" s="6">
        <v>0.37847222222222227</v>
      </c>
      <c r="I1285" t="s">
        <v>139</v>
      </c>
      <c r="J1285" t="s">
        <v>739</v>
      </c>
      <c r="K1285" t="s">
        <v>1533</v>
      </c>
      <c r="M1285" t="s">
        <v>138</v>
      </c>
    </row>
    <row r="1286" spans="1:13" x14ac:dyDescent="0.25">
      <c r="A1286" t="s">
        <v>1436</v>
      </c>
      <c r="B1286" t="s">
        <v>0</v>
      </c>
      <c r="C1286" t="s">
        <v>292</v>
      </c>
      <c r="D1286" t="s">
        <v>293</v>
      </c>
      <c r="E1286" t="s">
        <v>228</v>
      </c>
      <c r="F1286" s="5">
        <v>43474</v>
      </c>
      <c r="G1286" s="5">
        <v>43552</v>
      </c>
      <c r="H1286" s="6">
        <v>0.39583333333333331</v>
      </c>
      <c r="I1286" t="s">
        <v>141</v>
      </c>
      <c r="J1286" t="s">
        <v>740</v>
      </c>
      <c r="K1286" t="s">
        <v>1533</v>
      </c>
      <c r="M1286" t="s">
        <v>138</v>
      </c>
    </row>
    <row r="1287" spans="1:13" x14ac:dyDescent="0.25">
      <c r="A1287" t="s">
        <v>1436</v>
      </c>
      <c r="B1287" t="s">
        <v>0</v>
      </c>
      <c r="C1287" t="s">
        <v>292</v>
      </c>
      <c r="D1287" t="s">
        <v>293</v>
      </c>
      <c r="E1287" t="s">
        <v>1263</v>
      </c>
      <c r="F1287" s="5">
        <v>43402</v>
      </c>
      <c r="G1287" s="5">
        <v>43553</v>
      </c>
      <c r="H1287" s="6">
        <v>0.41666666666666669</v>
      </c>
      <c r="I1287" t="s">
        <v>139</v>
      </c>
      <c r="J1287" t="s">
        <v>741</v>
      </c>
      <c r="K1287" t="s">
        <v>1533</v>
      </c>
      <c r="M1287" t="s">
        <v>138</v>
      </c>
    </row>
    <row r="1288" spans="1:13" x14ac:dyDescent="0.25">
      <c r="A1288" t="s">
        <v>1436</v>
      </c>
      <c r="B1288" t="s">
        <v>0</v>
      </c>
      <c r="C1288" t="s">
        <v>292</v>
      </c>
      <c r="D1288" t="s">
        <v>293</v>
      </c>
      <c r="E1288" t="s">
        <v>20</v>
      </c>
      <c r="F1288" s="5">
        <v>43474</v>
      </c>
      <c r="G1288" s="5">
        <v>43551</v>
      </c>
      <c r="H1288" s="6">
        <v>0.41666666666666669</v>
      </c>
      <c r="I1288" t="s">
        <v>139</v>
      </c>
      <c r="J1288" t="s">
        <v>741</v>
      </c>
      <c r="K1288" t="s">
        <v>1533</v>
      </c>
      <c r="M1288" t="s">
        <v>138</v>
      </c>
    </row>
    <row r="1289" spans="1:13" x14ac:dyDescent="0.25">
      <c r="A1289" t="s">
        <v>1436</v>
      </c>
      <c r="B1289" t="s">
        <v>0</v>
      </c>
      <c r="C1289" t="s">
        <v>292</v>
      </c>
      <c r="D1289" t="s">
        <v>293</v>
      </c>
      <c r="E1289" t="s">
        <v>19</v>
      </c>
      <c r="F1289" s="5">
        <v>43480</v>
      </c>
      <c r="G1289" s="5">
        <v>43522</v>
      </c>
      <c r="H1289" s="6">
        <v>0.41666666666666669</v>
      </c>
      <c r="I1289" t="s">
        <v>139</v>
      </c>
      <c r="J1289" t="s">
        <v>741</v>
      </c>
      <c r="K1289" t="s">
        <v>1533</v>
      </c>
      <c r="M1289" t="s">
        <v>138</v>
      </c>
    </row>
    <row r="1290" spans="1:13" x14ac:dyDescent="0.25">
      <c r="A1290" t="s">
        <v>1436</v>
      </c>
      <c r="B1290" t="s">
        <v>0</v>
      </c>
      <c r="C1290" t="s">
        <v>292</v>
      </c>
      <c r="D1290" t="s">
        <v>293</v>
      </c>
      <c r="E1290" t="s">
        <v>22</v>
      </c>
      <c r="F1290" s="5">
        <v>43491</v>
      </c>
      <c r="G1290" s="5">
        <v>43519</v>
      </c>
      <c r="H1290" s="6">
        <v>0.41666666666666669</v>
      </c>
      <c r="I1290" t="s">
        <v>139</v>
      </c>
      <c r="J1290" t="s">
        <v>1850</v>
      </c>
      <c r="K1290" t="s">
        <v>1533</v>
      </c>
      <c r="M1290" t="s">
        <v>138</v>
      </c>
    </row>
    <row r="1291" spans="1:13" x14ac:dyDescent="0.25">
      <c r="A1291" t="s">
        <v>1436</v>
      </c>
      <c r="B1291" t="s">
        <v>0</v>
      </c>
      <c r="C1291" t="s">
        <v>292</v>
      </c>
      <c r="D1291" t="s">
        <v>293</v>
      </c>
      <c r="E1291" t="s">
        <v>144</v>
      </c>
      <c r="F1291" s="5">
        <v>43401</v>
      </c>
      <c r="G1291" s="5">
        <v>43554</v>
      </c>
      <c r="H1291" s="6">
        <v>0.45833333333333331</v>
      </c>
      <c r="I1291" t="s">
        <v>139</v>
      </c>
      <c r="J1291" t="s">
        <v>742</v>
      </c>
      <c r="K1291" t="s">
        <v>1533</v>
      </c>
      <c r="M1291" t="s">
        <v>138</v>
      </c>
    </row>
    <row r="1292" spans="1:13" x14ac:dyDescent="0.25">
      <c r="A1292" t="s">
        <v>1436</v>
      </c>
      <c r="B1292" t="s">
        <v>0</v>
      </c>
      <c r="C1292" t="s">
        <v>292</v>
      </c>
      <c r="D1292" t="s">
        <v>293</v>
      </c>
      <c r="E1292" t="s">
        <v>22</v>
      </c>
      <c r="F1292" s="5">
        <v>43407</v>
      </c>
      <c r="G1292" s="5">
        <v>43554</v>
      </c>
      <c r="H1292" s="6">
        <v>0.45833333333333331</v>
      </c>
      <c r="I1292" t="s">
        <v>139</v>
      </c>
      <c r="J1292" t="s">
        <v>741</v>
      </c>
      <c r="K1292" t="s">
        <v>1533</v>
      </c>
      <c r="M1292" t="s">
        <v>138</v>
      </c>
    </row>
    <row r="1293" spans="1:13" x14ac:dyDescent="0.25">
      <c r="A1293" t="s">
        <v>1436</v>
      </c>
      <c r="B1293" t="s">
        <v>0</v>
      </c>
      <c r="C1293" t="s">
        <v>292</v>
      </c>
      <c r="D1293" t="s">
        <v>293</v>
      </c>
      <c r="E1293" t="s">
        <v>805</v>
      </c>
      <c r="F1293" s="5">
        <v>43404</v>
      </c>
      <c r="G1293" s="5">
        <v>43553</v>
      </c>
      <c r="H1293" s="6">
        <v>0.47916666666666669</v>
      </c>
      <c r="I1293" t="s">
        <v>139</v>
      </c>
      <c r="J1293" t="s">
        <v>743</v>
      </c>
      <c r="K1293" t="s">
        <v>1533</v>
      </c>
      <c r="M1293" t="s">
        <v>138</v>
      </c>
    </row>
    <row r="1294" spans="1:13" x14ac:dyDescent="0.25">
      <c r="A1294" t="s">
        <v>1436</v>
      </c>
      <c r="B1294" t="s">
        <v>0</v>
      </c>
      <c r="C1294" t="s">
        <v>292</v>
      </c>
      <c r="D1294" t="s">
        <v>293</v>
      </c>
      <c r="E1294" t="s">
        <v>976</v>
      </c>
      <c r="F1294" s="5">
        <v>43478</v>
      </c>
      <c r="G1294" s="5">
        <v>43550</v>
      </c>
      <c r="H1294" s="6">
        <v>0.47916666666666669</v>
      </c>
      <c r="I1294" t="s">
        <v>139</v>
      </c>
      <c r="J1294" t="s">
        <v>743</v>
      </c>
      <c r="K1294" t="s">
        <v>1533</v>
      </c>
      <c r="M1294" t="s">
        <v>138</v>
      </c>
    </row>
    <row r="1295" spans="1:13" x14ac:dyDescent="0.25">
      <c r="A1295" t="s">
        <v>1436</v>
      </c>
      <c r="B1295" t="s">
        <v>0</v>
      </c>
      <c r="C1295" t="s">
        <v>292</v>
      </c>
      <c r="D1295" t="s">
        <v>293</v>
      </c>
      <c r="E1295" t="s">
        <v>59</v>
      </c>
      <c r="F1295" s="5">
        <v>43479</v>
      </c>
      <c r="G1295" s="5">
        <v>43521</v>
      </c>
      <c r="H1295" s="6">
        <v>0.47916666666666669</v>
      </c>
      <c r="I1295" t="s">
        <v>139</v>
      </c>
      <c r="J1295" t="s">
        <v>743</v>
      </c>
      <c r="K1295" t="s">
        <v>1533</v>
      </c>
      <c r="M1295" t="s">
        <v>138</v>
      </c>
    </row>
    <row r="1296" spans="1:13" x14ac:dyDescent="0.25">
      <c r="A1296" t="s">
        <v>1436</v>
      </c>
      <c r="B1296" t="s">
        <v>0</v>
      </c>
      <c r="C1296" t="s">
        <v>292</v>
      </c>
      <c r="D1296" t="s">
        <v>293</v>
      </c>
      <c r="E1296" t="s">
        <v>22</v>
      </c>
      <c r="F1296" s="5">
        <v>43477</v>
      </c>
      <c r="G1296" s="5">
        <v>43519</v>
      </c>
      <c r="H1296" s="6">
        <v>0.5</v>
      </c>
      <c r="I1296" t="s">
        <v>139</v>
      </c>
      <c r="J1296" t="s">
        <v>744</v>
      </c>
      <c r="K1296" t="s">
        <v>1533</v>
      </c>
      <c r="M1296" t="s">
        <v>138</v>
      </c>
    </row>
    <row r="1297" spans="1:13" x14ac:dyDescent="0.25">
      <c r="A1297" t="s">
        <v>1436</v>
      </c>
      <c r="B1297" t="s">
        <v>0</v>
      </c>
      <c r="C1297" t="s">
        <v>292</v>
      </c>
      <c r="D1297" t="s">
        <v>293</v>
      </c>
      <c r="E1297" t="s">
        <v>795</v>
      </c>
      <c r="F1297" s="5">
        <v>43473</v>
      </c>
      <c r="G1297" s="5">
        <v>43552</v>
      </c>
      <c r="H1297" s="6">
        <v>0.52777777777777779</v>
      </c>
      <c r="I1297" t="s">
        <v>139</v>
      </c>
      <c r="J1297" t="s">
        <v>1611</v>
      </c>
      <c r="K1297" t="s">
        <v>1533</v>
      </c>
      <c r="M1297" t="s">
        <v>138</v>
      </c>
    </row>
    <row r="1298" spans="1:13" x14ac:dyDescent="0.25">
      <c r="A1298" t="s">
        <v>1436</v>
      </c>
      <c r="B1298" t="s">
        <v>0</v>
      </c>
      <c r="C1298" t="s">
        <v>292</v>
      </c>
      <c r="D1298" t="s">
        <v>293</v>
      </c>
      <c r="E1298" t="s">
        <v>19</v>
      </c>
      <c r="F1298" s="5">
        <v>43403</v>
      </c>
      <c r="G1298" s="5">
        <v>43522</v>
      </c>
      <c r="H1298" s="6">
        <v>0.54166666666666663</v>
      </c>
      <c r="I1298" t="s">
        <v>139</v>
      </c>
      <c r="J1298" t="s">
        <v>745</v>
      </c>
      <c r="K1298" t="s">
        <v>1533</v>
      </c>
      <c r="M1298" t="s">
        <v>138</v>
      </c>
    </row>
    <row r="1299" spans="1:13" x14ac:dyDescent="0.25">
      <c r="A1299" t="s">
        <v>1436</v>
      </c>
      <c r="B1299" t="s">
        <v>0</v>
      </c>
      <c r="C1299" t="s">
        <v>292</v>
      </c>
      <c r="D1299" t="s">
        <v>293</v>
      </c>
      <c r="E1299" t="s">
        <v>805</v>
      </c>
      <c r="F1299" s="5">
        <v>43404</v>
      </c>
      <c r="G1299" s="5">
        <v>43553</v>
      </c>
      <c r="H1299" s="6">
        <v>0.54166666666666663</v>
      </c>
      <c r="I1299" t="s">
        <v>139</v>
      </c>
      <c r="J1299" t="s">
        <v>745</v>
      </c>
      <c r="K1299" t="s">
        <v>1533</v>
      </c>
      <c r="M1299" t="s">
        <v>138</v>
      </c>
    </row>
    <row r="1300" spans="1:13" x14ac:dyDescent="0.25">
      <c r="A1300" t="s">
        <v>1436</v>
      </c>
      <c r="B1300" t="s">
        <v>0</v>
      </c>
      <c r="C1300" t="s">
        <v>292</v>
      </c>
      <c r="D1300" t="s">
        <v>293</v>
      </c>
      <c r="E1300" t="s">
        <v>672</v>
      </c>
      <c r="F1300" s="5">
        <v>43472</v>
      </c>
      <c r="G1300" s="5">
        <v>43554</v>
      </c>
      <c r="H1300" s="6">
        <v>0.54166666666666663</v>
      </c>
      <c r="I1300" t="s">
        <v>139</v>
      </c>
      <c r="J1300" t="s">
        <v>745</v>
      </c>
      <c r="K1300" t="s">
        <v>1533</v>
      </c>
      <c r="M1300" t="s">
        <v>138</v>
      </c>
    </row>
    <row r="1301" spans="1:13" x14ac:dyDescent="0.25">
      <c r="A1301" t="s">
        <v>1436</v>
      </c>
      <c r="B1301" t="s">
        <v>0</v>
      </c>
      <c r="C1301" t="s">
        <v>292</v>
      </c>
      <c r="D1301" t="s">
        <v>293</v>
      </c>
      <c r="E1301" t="s">
        <v>379</v>
      </c>
      <c r="F1301" s="5">
        <v>43437</v>
      </c>
      <c r="G1301" s="5">
        <v>43553</v>
      </c>
      <c r="H1301" s="6">
        <v>0.54861111111111105</v>
      </c>
      <c r="I1301" t="s">
        <v>139</v>
      </c>
      <c r="J1301" t="s">
        <v>746</v>
      </c>
      <c r="K1301" t="s">
        <v>1533</v>
      </c>
      <c r="M1301" t="s">
        <v>138</v>
      </c>
    </row>
    <row r="1302" spans="1:13" x14ac:dyDescent="0.25">
      <c r="A1302" t="s">
        <v>1436</v>
      </c>
      <c r="B1302" t="s">
        <v>0</v>
      </c>
      <c r="C1302" t="s">
        <v>292</v>
      </c>
      <c r="D1302" t="s">
        <v>293</v>
      </c>
      <c r="E1302" t="s">
        <v>173</v>
      </c>
      <c r="F1302" s="5">
        <v>43401</v>
      </c>
      <c r="G1302" s="5">
        <v>43552</v>
      </c>
      <c r="H1302" s="6">
        <v>0.58333333333333337</v>
      </c>
      <c r="I1302" t="s">
        <v>139</v>
      </c>
      <c r="J1302" t="s">
        <v>747</v>
      </c>
      <c r="K1302" t="s">
        <v>1533</v>
      </c>
      <c r="M1302" t="s">
        <v>138</v>
      </c>
    </row>
    <row r="1303" spans="1:13" x14ac:dyDescent="0.25">
      <c r="A1303" t="s">
        <v>1436</v>
      </c>
      <c r="B1303" t="s">
        <v>0</v>
      </c>
      <c r="C1303" t="s">
        <v>292</v>
      </c>
      <c r="D1303" t="s">
        <v>293</v>
      </c>
      <c r="E1303" t="s">
        <v>858</v>
      </c>
      <c r="F1303" s="5">
        <v>43476</v>
      </c>
      <c r="G1303" s="5">
        <v>43554</v>
      </c>
      <c r="H1303" s="6">
        <v>0.58333333333333337</v>
      </c>
      <c r="I1303" t="s">
        <v>139</v>
      </c>
      <c r="J1303" t="s">
        <v>747</v>
      </c>
      <c r="K1303" t="s">
        <v>1533</v>
      </c>
      <c r="M1303" t="s">
        <v>138</v>
      </c>
    </row>
    <row r="1304" spans="1:13" x14ac:dyDescent="0.25">
      <c r="A1304" t="s">
        <v>1436</v>
      </c>
      <c r="B1304" t="s">
        <v>0</v>
      </c>
      <c r="C1304" t="s">
        <v>292</v>
      </c>
      <c r="D1304" t="s">
        <v>293</v>
      </c>
      <c r="E1304" t="s">
        <v>19</v>
      </c>
      <c r="F1304" s="5">
        <v>43480</v>
      </c>
      <c r="G1304" s="5">
        <v>43522</v>
      </c>
      <c r="H1304" s="6">
        <v>0.58333333333333337</v>
      </c>
      <c r="I1304" t="s">
        <v>139</v>
      </c>
      <c r="J1304" t="s">
        <v>747</v>
      </c>
      <c r="K1304" t="s">
        <v>1533</v>
      </c>
      <c r="M1304" t="s">
        <v>138</v>
      </c>
    </row>
    <row r="1305" spans="1:13" x14ac:dyDescent="0.25">
      <c r="A1305" t="s">
        <v>1436</v>
      </c>
      <c r="B1305" t="s">
        <v>0</v>
      </c>
      <c r="C1305" t="s">
        <v>292</v>
      </c>
      <c r="D1305" t="s">
        <v>293</v>
      </c>
      <c r="E1305" t="s">
        <v>1489</v>
      </c>
      <c r="F1305" s="5">
        <v>43402</v>
      </c>
      <c r="G1305" s="5">
        <v>43554</v>
      </c>
      <c r="H1305" s="6">
        <v>0.61111111111111105</v>
      </c>
      <c r="I1305" t="s">
        <v>139</v>
      </c>
      <c r="J1305" t="s">
        <v>748</v>
      </c>
      <c r="K1305" t="s">
        <v>1533</v>
      </c>
      <c r="M1305" t="s">
        <v>138</v>
      </c>
    </row>
    <row r="1306" spans="1:13" x14ac:dyDescent="0.25">
      <c r="A1306" t="s">
        <v>1436</v>
      </c>
      <c r="B1306" t="s">
        <v>0</v>
      </c>
      <c r="C1306" t="s">
        <v>292</v>
      </c>
      <c r="D1306" t="s">
        <v>293</v>
      </c>
      <c r="E1306" t="s">
        <v>132</v>
      </c>
      <c r="F1306" s="5">
        <v>43404</v>
      </c>
      <c r="G1306" s="5">
        <v>43553</v>
      </c>
      <c r="H1306" s="6">
        <v>0.625</v>
      </c>
      <c r="I1306" t="s">
        <v>139</v>
      </c>
      <c r="J1306" t="s">
        <v>749</v>
      </c>
      <c r="K1306" t="s">
        <v>1533</v>
      </c>
      <c r="M1306" t="s">
        <v>138</v>
      </c>
    </row>
    <row r="1307" spans="1:13" x14ac:dyDescent="0.25">
      <c r="A1307" t="s">
        <v>1436</v>
      </c>
      <c r="B1307" t="s">
        <v>0</v>
      </c>
      <c r="C1307" t="s">
        <v>292</v>
      </c>
      <c r="D1307" t="s">
        <v>293</v>
      </c>
      <c r="E1307" t="s">
        <v>13</v>
      </c>
      <c r="F1307" s="5">
        <v>43447</v>
      </c>
      <c r="G1307" s="5">
        <v>43552</v>
      </c>
      <c r="H1307" s="6">
        <v>0.625</v>
      </c>
      <c r="I1307" t="s">
        <v>139</v>
      </c>
      <c r="J1307" t="s">
        <v>749</v>
      </c>
      <c r="K1307" t="s">
        <v>1533</v>
      </c>
      <c r="M1307" t="s">
        <v>138</v>
      </c>
    </row>
    <row r="1308" spans="1:13" x14ac:dyDescent="0.25">
      <c r="A1308" t="s">
        <v>1436</v>
      </c>
      <c r="B1308" t="s">
        <v>0</v>
      </c>
      <c r="C1308" t="s">
        <v>292</v>
      </c>
      <c r="D1308" t="s">
        <v>293</v>
      </c>
      <c r="E1308" t="s">
        <v>59</v>
      </c>
      <c r="F1308" s="5">
        <v>43472</v>
      </c>
      <c r="G1308" s="5">
        <v>43521</v>
      </c>
      <c r="H1308" s="6">
        <v>0.625</v>
      </c>
      <c r="I1308" t="s">
        <v>139</v>
      </c>
      <c r="J1308" t="s">
        <v>749</v>
      </c>
      <c r="K1308" t="s">
        <v>1533</v>
      </c>
      <c r="M1308" t="s">
        <v>138</v>
      </c>
    </row>
    <row r="1309" spans="1:13" x14ac:dyDescent="0.25">
      <c r="A1309" t="s">
        <v>1436</v>
      </c>
      <c r="B1309" t="s">
        <v>0</v>
      </c>
      <c r="C1309" t="s">
        <v>292</v>
      </c>
      <c r="D1309" t="s">
        <v>293</v>
      </c>
      <c r="E1309" t="s">
        <v>72</v>
      </c>
      <c r="F1309" s="5">
        <v>43473</v>
      </c>
      <c r="G1309" s="5">
        <v>43554</v>
      </c>
      <c r="H1309" s="6">
        <v>0.625</v>
      </c>
      <c r="I1309" t="s">
        <v>139</v>
      </c>
      <c r="J1309" t="s">
        <v>749</v>
      </c>
      <c r="K1309" t="s">
        <v>1533</v>
      </c>
      <c r="M1309" t="s">
        <v>138</v>
      </c>
    </row>
    <row r="1310" spans="1:13" x14ac:dyDescent="0.25">
      <c r="A1310" t="s">
        <v>1436</v>
      </c>
      <c r="B1310" t="s">
        <v>0</v>
      </c>
      <c r="C1310" t="s">
        <v>292</v>
      </c>
      <c r="D1310" t="s">
        <v>293</v>
      </c>
      <c r="E1310" t="s">
        <v>155</v>
      </c>
      <c r="F1310" s="5">
        <v>43401</v>
      </c>
      <c r="G1310" s="5">
        <v>43553</v>
      </c>
      <c r="H1310" s="6">
        <v>0.64583333333333337</v>
      </c>
      <c r="I1310" t="s">
        <v>139</v>
      </c>
      <c r="J1310" t="s">
        <v>751</v>
      </c>
      <c r="K1310" t="s">
        <v>1533</v>
      </c>
      <c r="M1310" t="s">
        <v>138</v>
      </c>
    </row>
    <row r="1311" spans="1:13" x14ac:dyDescent="0.25">
      <c r="A1311" t="s">
        <v>1436</v>
      </c>
      <c r="B1311" t="s">
        <v>0</v>
      </c>
      <c r="C1311" t="s">
        <v>292</v>
      </c>
      <c r="D1311" t="s">
        <v>293</v>
      </c>
      <c r="E1311" t="s">
        <v>48</v>
      </c>
      <c r="F1311" s="5">
        <v>43476</v>
      </c>
      <c r="G1311" s="5">
        <v>43553</v>
      </c>
      <c r="H1311" s="6">
        <v>0.64583333333333337</v>
      </c>
      <c r="I1311" t="s">
        <v>139</v>
      </c>
      <c r="J1311" t="s">
        <v>752</v>
      </c>
      <c r="K1311" t="s">
        <v>1533</v>
      </c>
      <c r="M1311" t="s">
        <v>138</v>
      </c>
    </row>
    <row r="1312" spans="1:13" x14ac:dyDescent="0.25">
      <c r="A1312" t="s">
        <v>1436</v>
      </c>
      <c r="B1312" t="s">
        <v>0</v>
      </c>
      <c r="C1312" t="s">
        <v>292</v>
      </c>
      <c r="D1312" t="s">
        <v>293</v>
      </c>
      <c r="E1312" t="s">
        <v>18</v>
      </c>
      <c r="F1312" s="5">
        <v>43478</v>
      </c>
      <c r="G1312" s="5">
        <v>43548</v>
      </c>
      <c r="H1312" s="6">
        <v>0.64583333333333337</v>
      </c>
      <c r="I1312" t="s">
        <v>139</v>
      </c>
      <c r="J1312" t="s">
        <v>1900</v>
      </c>
      <c r="K1312" t="s">
        <v>1533</v>
      </c>
      <c r="M1312" t="s">
        <v>138</v>
      </c>
    </row>
    <row r="1313" spans="1:13" x14ac:dyDescent="0.25">
      <c r="A1313" t="s">
        <v>1436</v>
      </c>
      <c r="B1313" t="s">
        <v>0</v>
      </c>
      <c r="C1313" t="s">
        <v>292</v>
      </c>
      <c r="D1313" t="s">
        <v>293</v>
      </c>
      <c r="E1313" t="s">
        <v>20</v>
      </c>
      <c r="F1313" s="5">
        <v>43404</v>
      </c>
      <c r="G1313" s="5">
        <v>43551</v>
      </c>
      <c r="H1313" s="6">
        <v>0.64930555555555558</v>
      </c>
      <c r="I1313" t="s">
        <v>139</v>
      </c>
      <c r="J1313" t="s">
        <v>751</v>
      </c>
      <c r="K1313" t="s">
        <v>1533</v>
      </c>
      <c r="M1313" t="s">
        <v>138</v>
      </c>
    </row>
    <row r="1314" spans="1:13" x14ac:dyDescent="0.25">
      <c r="A1314" t="s">
        <v>1436</v>
      </c>
      <c r="B1314" t="s">
        <v>0</v>
      </c>
      <c r="C1314" t="s">
        <v>292</v>
      </c>
      <c r="D1314" t="s">
        <v>293</v>
      </c>
      <c r="E1314" t="s">
        <v>20</v>
      </c>
      <c r="F1314" s="5">
        <v>43404</v>
      </c>
      <c r="G1314" s="5">
        <v>43551</v>
      </c>
      <c r="H1314" s="6">
        <v>0.66666666666666663</v>
      </c>
      <c r="I1314" t="s">
        <v>139</v>
      </c>
      <c r="J1314" t="s">
        <v>753</v>
      </c>
      <c r="K1314" t="s">
        <v>1533</v>
      </c>
      <c r="M1314" t="s">
        <v>138</v>
      </c>
    </row>
    <row r="1315" spans="1:13" x14ac:dyDescent="0.25">
      <c r="A1315" t="s">
        <v>1436</v>
      </c>
      <c r="B1315" t="s">
        <v>0</v>
      </c>
      <c r="C1315" t="s">
        <v>292</v>
      </c>
      <c r="D1315" t="s">
        <v>293</v>
      </c>
      <c r="E1315" t="s">
        <v>13</v>
      </c>
      <c r="F1315" s="5">
        <v>43447</v>
      </c>
      <c r="G1315" s="5">
        <v>43552</v>
      </c>
      <c r="H1315" s="6">
        <v>0.66666666666666663</v>
      </c>
      <c r="I1315" t="s">
        <v>139</v>
      </c>
      <c r="J1315" t="s">
        <v>753</v>
      </c>
      <c r="K1315" t="s">
        <v>1533</v>
      </c>
      <c r="M1315" t="s">
        <v>138</v>
      </c>
    </row>
    <row r="1316" spans="1:13" x14ac:dyDescent="0.25">
      <c r="A1316" t="s">
        <v>1436</v>
      </c>
      <c r="B1316" t="s">
        <v>0</v>
      </c>
      <c r="C1316" t="s">
        <v>292</v>
      </c>
      <c r="D1316" t="s">
        <v>293</v>
      </c>
      <c r="E1316" t="s">
        <v>48</v>
      </c>
      <c r="F1316" s="5">
        <v>43455</v>
      </c>
      <c r="G1316" s="5">
        <v>43553</v>
      </c>
      <c r="H1316" s="6">
        <v>0.66666666666666663</v>
      </c>
      <c r="I1316" t="s">
        <v>139</v>
      </c>
      <c r="J1316" t="s">
        <v>753</v>
      </c>
      <c r="K1316" t="s">
        <v>1533</v>
      </c>
      <c r="M1316" t="s">
        <v>138</v>
      </c>
    </row>
    <row r="1317" spans="1:13" x14ac:dyDescent="0.25">
      <c r="A1317" t="s">
        <v>1436</v>
      </c>
      <c r="B1317" t="s">
        <v>0</v>
      </c>
      <c r="C1317" t="s">
        <v>292</v>
      </c>
      <c r="D1317" t="s">
        <v>293</v>
      </c>
      <c r="E1317" t="s">
        <v>59</v>
      </c>
      <c r="F1317" s="5">
        <v>43465</v>
      </c>
      <c r="G1317" s="5">
        <v>43549</v>
      </c>
      <c r="H1317" s="6">
        <v>0.66666666666666663</v>
      </c>
      <c r="I1317" t="s">
        <v>139</v>
      </c>
      <c r="J1317" t="s">
        <v>753</v>
      </c>
      <c r="K1317" t="s">
        <v>1533</v>
      </c>
      <c r="M1317" t="s">
        <v>138</v>
      </c>
    </row>
    <row r="1318" spans="1:13" x14ac:dyDescent="0.25">
      <c r="A1318" t="s">
        <v>1436</v>
      </c>
      <c r="B1318" t="s">
        <v>0</v>
      </c>
      <c r="C1318" t="s">
        <v>292</v>
      </c>
      <c r="D1318" t="s">
        <v>293</v>
      </c>
      <c r="E1318" t="s">
        <v>52</v>
      </c>
      <c r="F1318" s="5">
        <v>43477</v>
      </c>
      <c r="G1318" s="5">
        <v>43554</v>
      </c>
      <c r="H1318" s="6">
        <v>0.66666666666666663</v>
      </c>
      <c r="I1318" t="s">
        <v>139</v>
      </c>
      <c r="J1318" t="s">
        <v>753</v>
      </c>
      <c r="K1318" t="s">
        <v>1533</v>
      </c>
      <c r="M1318" t="s">
        <v>138</v>
      </c>
    </row>
    <row r="1319" spans="1:13" x14ac:dyDescent="0.25">
      <c r="A1319" t="s">
        <v>1436</v>
      </c>
      <c r="B1319" t="s">
        <v>0</v>
      </c>
      <c r="C1319" t="s">
        <v>292</v>
      </c>
      <c r="D1319" t="s">
        <v>293</v>
      </c>
      <c r="E1319" t="s">
        <v>19</v>
      </c>
      <c r="F1319" s="5">
        <v>43487</v>
      </c>
      <c r="G1319" s="5">
        <v>43522</v>
      </c>
      <c r="H1319" s="6">
        <v>0.66666666666666663</v>
      </c>
      <c r="I1319" t="s">
        <v>139</v>
      </c>
      <c r="J1319" t="s">
        <v>753</v>
      </c>
      <c r="K1319" t="s">
        <v>1533</v>
      </c>
      <c r="M1319" t="s">
        <v>138</v>
      </c>
    </row>
    <row r="1320" spans="1:13" x14ac:dyDescent="0.25">
      <c r="A1320" t="s">
        <v>1436</v>
      </c>
      <c r="B1320" t="s">
        <v>0</v>
      </c>
      <c r="C1320" t="s">
        <v>292</v>
      </c>
      <c r="D1320" t="s">
        <v>293</v>
      </c>
      <c r="E1320" t="s">
        <v>13</v>
      </c>
      <c r="F1320" s="5">
        <v>43475</v>
      </c>
      <c r="G1320" s="5">
        <v>43524</v>
      </c>
      <c r="H1320" s="6">
        <v>0.6875</v>
      </c>
      <c r="I1320" t="s">
        <v>139</v>
      </c>
      <c r="J1320" t="s">
        <v>757</v>
      </c>
      <c r="K1320" t="s">
        <v>1533</v>
      </c>
      <c r="M1320" t="s">
        <v>138</v>
      </c>
    </row>
    <row r="1321" spans="1:13" x14ac:dyDescent="0.25">
      <c r="A1321" t="s">
        <v>1436</v>
      </c>
      <c r="B1321" t="s">
        <v>0</v>
      </c>
      <c r="C1321" t="s">
        <v>292</v>
      </c>
      <c r="D1321" t="s">
        <v>293</v>
      </c>
      <c r="E1321" t="s">
        <v>48</v>
      </c>
      <c r="F1321" s="5">
        <v>43476</v>
      </c>
      <c r="G1321" s="5">
        <v>43553</v>
      </c>
      <c r="H1321" s="6">
        <v>0.6875</v>
      </c>
      <c r="I1321" t="s">
        <v>139</v>
      </c>
      <c r="J1321" t="s">
        <v>1264</v>
      </c>
      <c r="K1321" t="s">
        <v>1533</v>
      </c>
      <c r="M1321" t="s">
        <v>138</v>
      </c>
    </row>
    <row r="1322" spans="1:13" x14ac:dyDescent="0.25">
      <c r="A1322" t="s">
        <v>1436</v>
      </c>
      <c r="B1322" t="s">
        <v>0</v>
      </c>
      <c r="C1322" t="s">
        <v>292</v>
      </c>
      <c r="D1322" t="s">
        <v>293</v>
      </c>
      <c r="E1322" t="s">
        <v>673</v>
      </c>
      <c r="F1322" s="5">
        <v>43406</v>
      </c>
      <c r="G1322" s="5">
        <v>43553</v>
      </c>
      <c r="H1322" s="6">
        <v>0.70833333333333337</v>
      </c>
      <c r="I1322" t="s">
        <v>139</v>
      </c>
      <c r="J1322" t="s">
        <v>754</v>
      </c>
      <c r="K1322" t="s">
        <v>1533</v>
      </c>
      <c r="M1322" t="s">
        <v>138</v>
      </c>
    </row>
    <row r="1323" spans="1:13" x14ac:dyDescent="0.25">
      <c r="A1323" t="s">
        <v>1436</v>
      </c>
      <c r="B1323" t="s">
        <v>0</v>
      </c>
      <c r="C1323" t="s">
        <v>292</v>
      </c>
      <c r="D1323" t="s">
        <v>293</v>
      </c>
      <c r="E1323" t="s">
        <v>1901</v>
      </c>
      <c r="F1323" s="5">
        <v>43471</v>
      </c>
      <c r="G1323" s="5">
        <v>43551</v>
      </c>
      <c r="H1323" s="6">
        <v>0.70833333333333337</v>
      </c>
      <c r="I1323" t="s">
        <v>139</v>
      </c>
      <c r="J1323" t="s">
        <v>754</v>
      </c>
      <c r="K1323" t="s">
        <v>1533</v>
      </c>
      <c r="M1323" t="s">
        <v>138</v>
      </c>
    </row>
    <row r="1324" spans="1:13" x14ac:dyDescent="0.25">
      <c r="A1324" t="s">
        <v>1436</v>
      </c>
      <c r="B1324" t="s">
        <v>0</v>
      </c>
      <c r="C1324" t="s">
        <v>292</v>
      </c>
      <c r="D1324" t="s">
        <v>293</v>
      </c>
      <c r="E1324" t="s">
        <v>59</v>
      </c>
      <c r="F1324" s="5">
        <v>43500</v>
      </c>
      <c r="G1324" s="5">
        <v>43521</v>
      </c>
      <c r="H1324" s="6">
        <v>0.70833333333333337</v>
      </c>
      <c r="I1324" t="s">
        <v>139</v>
      </c>
      <c r="J1324" t="s">
        <v>754</v>
      </c>
      <c r="K1324" t="s">
        <v>1533</v>
      </c>
      <c r="M1324" t="s">
        <v>138</v>
      </c>
    </row>
    <row r="1325" spans="1:13" x14ac:dyDescent="0.25">
      <c r="A1325" t="s">
        <v>1436</v>
      </c>
      <c r="B1325" t="s">
        <v>0</v>
      </c>
      <c r="C1325" t="s">
        <v>292</v>
      </c>
      <c r="D1325" t="s">
        <v>293</v>
      </c>
      <c r="E1325" t="s">
        <v>144</v>
      </c>
      <c r="F1325" s="5">
        <v>43401</v>
      </c>
      <c r="G1325" s="5">
        <v>43554</v>
      </c>
      <c r="H1325" s="6">
        <v>0.72916666666666663</v>
      </c>
      <c r="I1325" t="s">
        <v>139</v>
      </c>
      <c r="J1325" t="s">
        <v>756</v>
      </c>
      <c r="K1325" t="s">
        <v>1533</v>
      </c>
      <c r="M1325" t="s">
        <v>138</v>
      </c>
    </row>
    <row r="1326" spans="1:13" x14ac:dyDescent="0.25">
      <c r="A1326" t="s">
        <v>1436</v>
      </c>
      <c r="B1326" t="s">
        <v>0</v>
      </c>
      <c r="C1326" t="s">
        <v>292</v>
      </c>
      <c r="D1326" t="s">
        <v>293</v>
      </c>
      <c r="E1326" t="s">
        <v>802</v>
      </c>
      <c r="F1326" s="5">
        <v>43405</v>
      </c>
      <c r="G1326" s="5">
        <v>43554</v>
      </c>
      <c r="H1326" s="6">
        <v>0.75</v>
      </c>
      <c r="I1326" t="s">
        <v>141</v>
      </c>
      <c r="J1326" t="s">
        <v>758</v>
      </c>
      <c r="K1326" t="s">
        <v>1533</v>
      </c>
      <c r="M1326" t="s">
        <v>138</v>
      </c>
    </row>
    <row r="1327" spans="1:13" x14ac:dyDescent="0.25">
      <c r="A1327" t="s">
        <v>1436</v>
      </c>
      <c r="B1327" t="s">
        <v>0</v>
      </c>
      <c r="C1327" t="s">
        <v>292</v>
      </c>
      <c r="D1327" t="s">
        <v>293</v>
      </c>
      <c r="E1327" t="s">
        <v>20</v>
      </c>
      <c r="F1327" s="5">
        <v>43460</v>
      </c>
      <c r="G1327" s="5">
        <v>43523</v>
      </c>
      <c r="H1327" s="6">
        <v>0.75</v>
      </c>
      <c r="I1327" t="s">
        <v>141</v>
      </c>
      <c r="J1327" t="s">
        <v>758</v>
      </c>
      <c r="K1327" t="s">
        <v>1533</v>
      </c>
      <c r="M1327" t="s">
        <v>138</v>
      </c>
    </row>
    <row r="1328" spans="1:13" x14ac:dyDescent="0.25">
      <c r="A1328" t="s">
        <v>1436</v>
      </c>
      <c r="B1328" t="s">
        <v>0</v>
      </c>
      <c r="C1328" t="s">
        <v>292</v>
      </c>
      <c r="D1328" t="s">
        <v>293</v>
      </c>
      <c r="E1328" t="s">
        <v>18</v>
      </c>
      <c r="F1328" s="5">
        <v>43478</v>
      </c>
      <c r="G1328" s="5">
        <v>43548</v>
      </c>
      <c r="H1328" s="6">
        <v>0.75</v>
      </c>
      <c r="I1328" t="s">
        <v>141</v>
      </c>
      <c r="J1328" t="s">
        <v>758</v>
      </c>
      <c r="K1328" t="s">
        <v>1533</v>
      </c>
      <c r="M1328" t="s">
        <v>138</v>
      </c>
    </row>
    <row r="1329" spans="1:13" x14ac:dyDescent="0.25">
      <c r="A1329" t="s">
        <v>1436</v>
      </c>
      <c r="B1329" t="s">
        <v>0</v>
      </c>
      <c r="C1329" t="s">
        <v>292</v>
      </c>
      <c r="D1329" t="s">
        <v>293</v>
      </c>
      <c r="E1329" t="s">
        <v>59</v>
      </c>
      <c r="F1329" s="5">
        <v>43479</v>
      </c>
      <c r="G1329" s="5">
        <v>43528</v>
      </c>
      <c r="H1329" s="6">
        <v>0.75</v>
      </c>
      <c r="I1329" t="s">
        <v>141</v>
      </c>
      <c r="J1329" t="s">
        <v>758</v>
      </c>
      <c r="K1329" t="s">
        <v>1533</v>
      </c>
      <c r="M1329" t="s">
        <v>138</v>
      </c>
    </row>
    <row r="1330" spans="1:13" x14ac:dyDescent="0.25">
      <c r="A1330" t="s">
        <v>1436</v>
      </c>
      <c r="B1330" t="s">
        <v>0</v>
      </c>
      <c r="C1330" t="s">
        <v>292</v>
      </c>
      <c r="D1330" t="s">
        <v>293</v>
      </c>
      <c r="E1330" t="s">
        <v>19</v>
      </c>
      <c r="F1330" s="5">
        <v>43487</v>
      </c>
      <c r="G1330" s="5">
        <v>43550</v>
      </c>
      <c r="H1330" s="6">
        <v>0.75</v>
      </c>
      <c r="I1330" t="s">
        <v>141</v>
      </c>
      <c r="J1330" t="s">
        <v>758</v>
      </c>
      <c r="K1330" t="s">
        <v>1533</v>
      </c>
      <c r="M1330" t="s">
        <v>138</v>
      </c>
    </row>
    <row r="1331" spans="1:13" x14ac:dyDescent="0.25">
      <c r="A1331" t="s">
        <v>1436</v>
      </c>
      <c r="B1331" t="s">
        <v>0</v>
      </c>
      <c r="C1331" t="s">
        <v>292</v>
      </c>
      <c r="D1331" t="s">
        <v>293</v>
      </c>
      <c r="E1331" t="s">
        <v>144</v>
      </c>
      <c r="F1331" s="5">
        <v>43401</v>
      </c>
      <c r="G1331" s="5">
        <v>43554</v>
      </c>
      <c r="H1331" s="6">
        <v>0.75694444444444453</v>
      </c>
      <c r="I1331" t="s">
        <v>139</v>
      </c>
      <c r="J1331" t="s">
        <v>759</v>
      </c>
      <c r="K1331" t="s">
        <v>1533</v>
      </c>
      <c r="M1331" t="s">
        <v>138</v>
      </c>
    </row>
    <row r="1332" spans="1:13" x14ac:dyDescent="0.25">
      <c r="A1332" t="s">
        <v>1436</v>
      </c>
      <c r="B1332" t="s">
        <v>0</v>
      </c>
      <c r="C1332" t="s">
        <v>292</v>
      </c>
      <c r="D1332" t="s">
        <v>293</v>
      </c>
      <c r="E1332" t="s">
        <v>228</v>
      </c>
      <c r="F1332" s="5">
        <v>43474</v>
      </c>
      <c r="G1332" s="5">
        <v>43524</v>
      </c>
      <c r="H1332" s="6">
        <v>0.77083333333333337</v>
      </c>
      <c r="I1332" t="s">
        <v>139</v>
      </c>
      <c r="J1332" t="s">
        <v>1265</v>
      </c>
      <c r="K1332" t="s">
        <v>1533</v>
      </c>
      <c r="M1332" t="s">
        <v>138</v>
      </c>
    </row>
    <row r="1333" spans="1:13" x14ac:dyDescent="0.25">
      <c r="A1333" t="s">
        <v>1436</v>
      </c>
      <c r="B1333" t="s">
        <v>0</v>
      </c>
      <c r="C1333" t="s">
        <v>292</v>
      </c>
      <c r="D1333" t="s">
        <v>293</v>
      </c>
      <c r="E1333" t="s">
        <v>18</v>
      </c>
      <c r="F1333" s="5">
        <v>43478</v>
      </c>
      <c r="G1333" s="5">
        <v>43520</v>
      </c>
      <c r="H1333" s="6">
        <v>0.77083333333333337</v>
      </c>
      <c r="I1333" t="s">
        <v>139</v>
      </c>
      <c r="J1333" t="s">
        <v>757</v>
      </c>
      <c r="K1333" t="s">
        <v>1533</v>
      </c>
      <c r="M1333" t="s">
        <v>138</v>
      </c>
    </row>
    <row r="1334" spans="1:13" x14ac:dyDescent="0.25">
      <c r="A1334" t="s">
        <v>1436</v>
      </c>
      <c r="B1334" t="s">
        <v>0</v>
      </c>
      <c r="C1334" t="s">
        <v>292</v>
      </c>
      <c r="D1334" t="s">
        <v>293</v>
      </c>
      <c r="E1334" t="s">
        <v>48</v>
      </c>
      <c r="F1334" s="5">
        <v>43448</v>
      </c>
      <c r="G1334" s="5">
        <v>43553</v>
      </c>
      <c r="H1334" s="6">
        <v>0.79166666666666663</v>
      </c>
      <c r="I1334" t="s">
        <v>141</v>
      </c>
      <c r="J1334" t="s">
        <v>760</v>
      </c>
      <c r="K1334" t="s">
        <v>1533</v>
      </c>
      <c r="M1334" t="s">
        <v>138</v>
      </c>
    </row>
    <row r="1335" spans="1:13" x14ac:dyDescent="0.25">
      <c r="A1335" t="s">
        <v>1436</v>
      </c>
      <c r="B1335" t="s">
        <v>0</v>
      </c>
      <c r="C1335" t="s">
        <v>292</v>
      </c>
      <c r="D1335" t="s">
        <v>293</v>
      </c>
      <c r="E1335" t="s">
        <v>109</v>
      </c>
      <c r="F1335" s="5">
        <v>43461</v>
      </c>
      <c r="G1335" s="5">
        <v>43552</v>
      </c>
      <c r="H1335" s="6">
        <v>0.79166666666666663</v>
      </c>
      <c r="I1335" t="s">
        <v>141</v>
      </c>
      <c r="J1335" t="s">
        <v>760</v>
      </c>
      <c r="K1335" t="s">
        <v>1533</v>
      </c>
      <c r="M1335" t="s">
        <v>138</v>
      </c>
    </row>
    <row r="1336" spans="1:13" x14ac:dyDescent="0.25">
      <c r="A1336" t="s">
        <v>1436</v>
      </c>
      <c r="B1336" t="s">
        <v>0</v>
      </c>
      <c r="C1336" t="s">
        <v>292</v>
      </c>
      <c r="D1336" t="s">
        <v>293</v>
      </c>
      <c r="E1336" t="s">
        <v>20</v>
      </c>
      <c r="F1336" s="5">
        <v>43474</v>
      </c>
      <c r="G1336" s="5">
        <v>43523</v>
      </c>
      <c r="H1336" s="6">
        <v>0.79166666666666663</v>
      </c>
      <c r="I1336" t="s">
        <v>141</v>
      </c>
      <c r="J1336" t="s">
        <v>760</v>
      </c>
      <c r="K1336" t="s">
        <v>1533</v>
      </c>
      <c r="M1336" t="s">
        <v>138</v>
      </c>
    </row>
    <row r="1337" spans="1:13" x14ac:dyDescent="0.25">
      <c r="A1337" t="s">
        <v>1436</v>
      </c>
      <c r="B1337" t="s">
        <v>0</v>
      </c>
      <c r="C1337" t="s">
        <v>292</v>
      </c>
      <c r="D1337" t="s">
        <v>293</v>
      </c>
      <c r="E1337" t="s">
        <v>52</v>
      </c>
      <c r="F1337" s="5">
        <v>43477</v>
      </c>
      <c r="G1337" s="5">
        <v>43554</v>
      </c>
      <c r="H1337" s="6">
        <v>0.79166666666666663</v>
      </c>
      <c r="I1337" t="s">
        <v>141</v>
      </c>
      <c r="J1337" t="s">
        <v>760</v>
      </c>
      <c r="K1337" t="s">
        <v>1533</v>
      </c>
      <c r="M1337" t="s">
        <v>138</v>
      </c>
    </row>
    <row r="1338" spans="1:13" x14ac:dyDescent="0.25">
      <c r="A1338" t="s">
        <v>1436</v>
      </c>
      <c r="B1338" t="s">
        <v>0</v>
      </c>
      <c r="C1338" t="s">
        <v>292</v>
      </c>
      <c r="D1338" t="s">
        <v>293</v>
      </c>
      <c r="E1338" t="s">
        <v>59</v>
      </c>
      <c r="F1338" s="5">
        <v>43500</v>
      </c>
      <c r="G1338" s="5">
        <v>43521</v>
      </c>
      <c r="H1338" s="6">
        <v>0.79166666666666663</v>
      </c>
      <c r="I1338" t="s">
        <v>141</v>
      </c>
      <c r="J1338" t="s">
        <v>760</v>
      </c>
      <c r="K1338" t="s">
        <v>1533</v>
      </c>
      <c r="M1338" t="s">
        <v>138</v>
      </c>
    </row>
    <row r="1339" spans="1:13" x14ac:dyDescent="0.25">
      <c r="A1339" t="s">
        <v>1436</v>
      </c>
      <c r="B1339" t="s">
        <v>0</v>
      </c>
      <c r="C1339" t="s">
        <v>292</v>
      </c>
      <c r="D1339" t="s">
        <v>293</v>
      </c>
      <c r="E1339" t="s">
        <v>1241</v>
      </c>
      <c r="F1339" s="5">
        <v>43401</v>
      </c>
      <c r="G1339" s="5">
        <v>43554</v>
      </c>
      <c r="H1339" s="6">
        <v>0.8125</v>
      </c>
      <c r="I1339" t="s">
        <v>139</v>
      </c>
      <c r="J1339" t="s">
        <v>761</v>
      </c>
      <c r="K1339" t="s">
        <v>1533</v>
      </c>
      <c r="M1339" t="s">
        <v>138</v>
      </c>
    </row>
    <row r="1340" spans="1:13" x14ac:dyDescent="0.25">
      <c r="A1340" t="s">
        <v>1436</v>
      </c>
      <c r="B1340" t="s">
        <v>0</v>
      </c>
      <c r="C1340" t="s">
        <v>292</v>
      </c>
      <c r="D1340" t="s">
        <v>293</v>
      </c>
      <c r="E1340" t="s">
        <v>59</v>
      </c>
      <c r="F1340" s="5">
        <v>43472</v>
      </c>
      <c r="G1340" s="5">
        <v>43521</v>
      </c>
      <c r="H1340" s="6">
        <v>0.8125</v>
      </c>
      <c r="I1340" t="s">
        <v>139</v>
      </c>
      <c r="J1340" t="s">
        <v>1265</v>
      </c>
      <c r="K1340" t="s">
        <v>1533</v>
      </c>
      <c r="M1340" t="s">
        <v>138</v>
      </c>
    </row>
    <row r="1341" spans="1:13" x14ac:dyDescent="0.25">
      <c r="A1341" t="s">
        <v>1436</v>
      </c>
      <c r="B1341" t="s">
        <v>0</v>
      </c>
      <c r="C1341" t="s">
        <v>292</v>
      </c>
      <c r="D1341" t="s">
        <v>293</v>
      </c>
      <c r="E1341" t="s">
        <v>146</v>
      </c>
      <c r="F1341" s="5">
        <v>43472</v>
      </c>
      <c r="G1341" s="5">
        <v>43550</v>
      </c>
      <c r="H1341" s="6">
        <v>0.8125</v>
      </c>
      <c r="I1341" t="s">
        <v>139</v>
      </c>
      <c r="J1341" t="s">
        <v>761</v>
      </c>
      <c r="K1341" t="s">
        <v>1533</v>
      </c>
      <c r="M1341" t="s">
        <v>138</v>
      </c>
    </row>
    <row r="1342" spans="1:13" x14ac:dyDescent="0.25">
      <c r="A1342" t="s">
        <v>1436</v>
      </c>
      <c r="B1342" t="s">
        <v>0</v>
      </c>
      <c r="C1342" t="s">
        <v>292</v>
      </c>
      <c r="D1342" t="s">
        <v>293</v>
      </c>
      <c r="E1342" t="s">
        <v>22</v>
      </c>
      <c r="F1342" s="5">
        <v>43477</v>
      </c>
      <c r="G1342" s="5">
        <v>43554</v>
      </c>
      <c r="H1342" s="6">
        <v>0.8125</v>
      </c>
      <c r="I1342" t="s">
        <v>139</v>
      </c>
      <c r="J1342" t="s">
        <v>1266</v>
      </c>
      <c r="K1342" t="s">
        <v>1533</v>
      </c>
      <c r="M1342" t="s">
        <v>138</v>
      </c>
    </row>
    <row r="1343" spans="1:13" x14ac:dyDescent="0.25">
      <c r="A1343" t="s">
        <v>1436</v>
      </c>
      <c r="B1343" t="s">
        <v>0</v>
      </c>
      <c r="C1343" t="s">
        <v>292</v>
      </c>
      <c r="D1343" t="s">
        <v>293</v>
      </c>
      <c r="E1343" t="s">
        <v>132</v>
      </c>
      <c r="F1343" s="5">
        <v>43404</v>
      </c>
      <c r="G1343" s="5">
        <v>43553</v>
      </c>
      <c r="H1343" s="6">
        <v>0.83333333333333337</v>
      </c>
      <c r="I1343" t="s">
        <v>139</v>
      </c>
      <c r="J1343" t="s">
        <v>762</v>
      </c>
      <c r="K1343" t="s">
        <v>1533</v>
      </c>
      <c r="M1343" t="s">
        <v>138</v>
      </c>
    </row>
    <row r="1344" spans="1:13" x14ac:dyDescent="0.25">
      <c r="A1344" t="s">
        <v>1436</v>
      </c>
      <c r="B1344" t="s">
        <v>0</v>
      </c>
      <c r="C1344" t="s">
        <v>292</v>
      </c>
      <c r="D1344" t="s">
        <v>293</v>
      </c>
      <c r="E1344" t="s">
        <v>109</v>
      </c>
      <c r="F1344" s="5">
        <v>43454</v>
      </c>
      <c r="G1344" s="5">
        <v>43552</v>
      </c>
      <c r="H1344" s="6">
        <v>0.83333333333333337</v>
      </c>
      <c r="I1344" t="s">
        <v>139</v>
      </c>
      <c r="J1344" t="s">
        <v>762</v>
      </c>
      <c r="K1344" t="s">
        <v>1533</v>
      </c>
      <c r="M1344" t="s">
        <v>138</v>
      </c>
    </row>
    <row r="1345" spans="1:13" x14ac:dyDescent="0.25">
      <c r="A1345" t="s">
        <v>1436</v>
      </c>
      <c r="B1345" t="s">
        <v>0</v>
      </c>
      <c r="C1345" t="s">
        <v>292</v>
      </c>
      <c r="D1345" t="s">
        <v>293</v>
      </c>
      <c r="E1345" t="s">
        <v>59</v>
      </c>
      <c r="F1345" s="5">
        <v>43465</v>
      </c>
      <c r="G1345" s="5">
        <v>43549</v>
      </c>
      <c r="H1345" s="6">
        <v>0.83333333333333337</v>
      </c>
      <c r="I1345" t="s">
        <v>139</v>
      </c>
      <c r="J1345" t="s">
        <v>762</v>
      </c>
      <c r="K1345" t="s">
        <v>1533</v>
      </c>
      <c r="M1345" t="s">
        <v>138</v>
      </c>
    </row>
    <row r="1346" spans="1:13" x14ac:dyDescent="0.25">
      <c r="A1346" t="s">
        <v>1436</v>
      </c>
      <c r="B1346" t="s">
        <v>0</v>
      </c>
      <c r="C1346" t="s">
        <v>292</v>
      </c>
      <c r="D1346" t="s">
        <v>293</v>
      </c>
      <c r="E1346" t="s">
        <v>52</v>
      </c>
      <c r="F1346" s="5">
        <v>43477</v>
      </c>
      <c r="G1346" s="5">
        <v>43554</v>
      </c>
      <c r="H1346" s="6">
        <v>0.83333333333333337</v>
      </c>
      <c r="I1346" t="s">
        <v>139</v>
      </c>
      <c r="J1346" t="s">
        <v>762</v>
      </c>
      <c r="K1346" t="s">
        <v>1533</v>
      </c>
      <c r="M1346" t="s">
        <v>138</v>
      </c>
    </row>
    <row r="1347" spans="1:13" x14ac:dyDescent="0.25">
      <c r="A1347" t="s">
        <v>1436</v>
      </c>
      <c r="B1347" t="s">
        <v>0</v>
      </c>
      <c r="C1347" t="s">
        <v>292</v>
      </c>
      <c r="D1347" t="s">
        <v>293</v>
      </c>
      <c r="E1347" t="s">
        <v>22</v>
      </c>
      <c r="F1347" s="5">
        <v>43477</v>
      </c>
      <c r="G1347" s="5">
        <v>43540</v>
      </c>
      <c r="H1347" s="6">
        <v>0.87152777777777779</v>
      </c>
      <c r="I1347" t="s">
        <v>14</v>
      </c>
      <c r="J1347" t="s">
        <v>1612</v>
      </c>
      <c r="K1347" t="s">
        <v>1533</v>
      </c>
      <c r="M1347" t="s">
        <v>138</v>
      </c>
    </row>
    <row r="1348" spans="1:13" x14ac:dyDescent="0.25">
      <c r="A1348" t="s">
        <v>1436</v>
      </c>
      <c r="B1348" t="s">
        <v>0</v>
      </c>
      <c r="C1348" t="s">
        <v>292</v>
      </c>
      <c r="D1348" t="s">
        <v>293</v>
      </c>
      <c r="E1348" t="s">
        <v>20</v>
      </c>
      <c r="F1348" s="5">
        <v>43404</v>
      </c>
      <c r="G1348" s="5">
        <v>43523</v>
      </c>
      <c r="H1348" s="6">
        <v>0.875</v>
      </c>
      <c r="I1348" t="s">
        <v>141</v>
      </c>
      <c r="J1348" t="s">
        <v>763</v>
      </c>
      <c r="K1348" t="s">
        <v>1533</v>
      </c>
      <c r="M1348" t="s">
        <v>138</v>
      </c>
    </row>
    <row r="1349" spans="1:13" x14ac:dyDescent="0.25">
      <c r="A1349" t="s">
        <v>1436</v>
      </c>
      <c r="B1349" t="s">
        <v>0</v>
      </c>
      <c r="C1349" t="s">
        <v>292</v>
      </c>
      <c r="D1349" t="s">
        <v>293</v>
      </c>
      <c r="E1349" t="s">
        <v>802</v>
      </c>
      <c r="F1349" s="5">
        <v>43405</v>
      </c>
      <c r="G1349" s="5">
        <v>43554</v>
      </c>
      <c r="H1349" s="6">
        <v>0.875</v>
      </c>
      <c r="I1349" t="s">
        <v>141</v>
      </c>
      <c r="J1349" t="s">
        <v>763</v>
      </c>
      <c r="K1349" t="s">
        <v>1533</v>
      </c>
      <c r="M1349" t="s">
        <v>138</v>
      </c>
    </row>
    <row r="1350" spans="1:13" x14ac:dyDescent="0.25">
      <c r="A1350" t="s">
        <v>1436</v>
      </c>
      <c r="B1350" t="s">
        <v>0</v>
      </c>
      <c r="C1350" t="s">
        <v>292</v>
      </c>
      <c r="D1350" t="s">
        <v>293</v>
      </c>
      <c r="E1350" t="s">
        <v>101</v>
      </c>
      <c r="F1350" s="5">
        <v>43472</v>
      </c>
      <c r="G1350" s="5">
        <v>43549</v>
      </c>
      <c r="H1350" s="6">
        <v>0.875</v>
      </c>
      <c r="I1350" t="s">
        <v>141</v>
      </c>
      <c r="J1350" t="s">
        <v>763</v>
      </c>
      <c r="K1350" t="s">
        <v>1533</v>
      </c>
      <c r="M1350" t="s">
        <v>138</v>
      </c>
    </row>
    <row r="1351" spans="1:13" x14ac:dyDescent="0.25">
      <c r="A1351" t="s">
        <v>1436</v>
      </c>
      <c r="B1351" t="s">
        <v>0</v>
      </c>
      <c r="C1351" t="s">
        <v>292</v>
      </c>
      <c r="D1351" t="s">
        <v>293</v>
      </c>
      <c r="E1351" t="s">
        <v>19</v>
      </c>
      <c r="F1351" s="5">
        <v>43501</v>
      </c>
      <c r="G1351" s="5">
        <v>43522</v>
      </c>
      <c r="H1351" s="6">
        <v>0.875</v>
      </c>
      <c r="I1351" t="s">
        <v>141</v>
      </c>
      <c r="J1351" t="s">
        <v>763</v>
      </c>
      <c r="K1351" t="s">
        <v>1533</v>
      </c>
      <c r="M1351" t="s">
        <v>138</v>
      </c>
    </row>
    <row r="1352" spans="1:13" x14ac:dyDescent="0.25">
      <c r="A1352" t="s">
        <v>1436</v>
      </c>
      <c r="B1352" t="s">
        <v>0</v>
      </c>
      <c r="C1352" t="s">
        <v>292</v>
      </c>
      <c r="D1352" t="s">
        <v>293</v>
      </c>
      <c r="E1352" t="s">
        <v>18</v>
      </c>
      <c r="F1352" s="5">
        <v>43478</v>
      </c>
      <c r="G1352" s="5">
        <v>43520</v>
      </c>
      <c r="H1352" s="6">
        <v>0.89583333333333337</v>
      </c>
      <c r="I1352" t="s">
        <v>139</v>
      </c>
      <c r="J1352" t="s">
        <v>1902</v>
      </c>
      <c r="K1352" t="s">
        <v>1533</v>
      </c>
      <c r="M1352" t="s">
        <v>138</v>
      </c>
    </row>
    <row r="1353" spans="1:13" x14ac:dyDescent="0.25">
      <c r="A1353" t="s">
        <v>1436</v>
      </c>
      <c r="B1353" t="s">
        <v>0</v>
      </c>
      <c r="C1353" t="s">
        <v>292</v>
      </c>
      <c r="D1353" t="s">
        <v>293</v>
      </c>
      <c r="E1353" t="s">
        <v>48</v>
      </c>
      <c r="F1353" s="5">
        <v>43406</v>
      </c>
      <c r="G1353" s="5">
        <v>43553</v>
      </c>
      <c r="H1353" s="6">
        <v>0.91666666666666663</v>
      </c>
      <c r="I1353" t="s">
        <v>139</v>
      </c>
      <c r="J1353" t="s">
        <v>764</v>
      </c>
      <c r="K1353" t="s">
        <v>1533</v>
      </c>
      <c r="M1353" t="s">
        <v>138</v>
      </c>
    </row>
    <row r="1354" spans="1:13" x14ac:dyDescent="0.25">
      <c r="A1354" t="s">
        <v>1436</v>
      </c>
      <c r="B1354" t="s">
        <v>0</v>
      </c>
      <c r="C1354" t="s">
        <v>305</v>
      </c>
      <c r="D1354" t="s">
        <v>275</v>
      </c>
      <c r="E1354" t="s">
        <v>143</v>
      </c>
      <c r="F1354" s="5">
        <v>43436</v>
      </c>
      <c r="G1354" s="5">
        <v>43520</v>
      </c>
      <c r="H1354" s="6">
        <v>0.2986111111111111</v>
      </c>
      <c r="I1354" t="s">
        <v>139</v>
      </c>
      <c r="J1354" t="s">
        <v>765</v>
      </c>
      <c r="K1354" t="s">
        <v>1533</v>
      </c>
      <c r="M1354" t="s">
        <v>138</v>
      </c>
    </row>
    <row r="1355" spans="1:13" x14ac:dyDescent="0.25">
      <c r="A1355" t="s">
        <v>1436</v>
      </c>
      <c r="B1355" t="s">
        <v>0</v>
      </c>
      <c r="C1355" t="s">
        <v>305</v>
      </c>
      <c r="D1355" t="s">
        <v>275</v>
      </c>
      <c r="E1355" t="s">
        <v>228</v>
      </c>
      <c r="F1355" s="5">
        <v>43446</v>
      </c>
      <c r="G1355" s="5">
        <v>43552</v>
      </c>
      <c r="H1355" s="6">
        <v>0.2986111111111111</v>
      </c>
      <c r="I1355" t="s">
        <v>139</v>
      </c>
      <c r="J1355" t="s">
        <v>765</v>
      </c>
      <c r="K1355" t="s">
        <v>1533</v>
      </c>
      <c r="M1355" t="s">
        <v>138</v>
      </c>
    </row>
    <row r="1356" spans="1:13" x14ac:dyDescent="0.25">
      <c r="A1356" t="s">
        <v>1436</v>
      </c>
      <c r="B1356" t="s">
        <v>0</v>
      </c>
      <c r="C1356" t="s">
        <v>305</v>
      </c>
      <c r="D1356" t="s">
        <v>275</v>
      </c>
      <c r="E1356" t="s">
        <v>755</v>
      </c>
      <c r="F1356" s="5">
        <v>43472</v>
      </c>
      <c r="G1356" s="5">
        <v>43522</v>
      </c>
      <c r="H1356" s="6">
        <v>0.2986111111111111</v>
      </c>
      <c r="I1356" t="s">
        <v>139</v>
      </c>
      <c r="J1356" t="s">
        <v>765</v>
      </c>
      <c r="K1356" t="s">
        <v>1533</v>
      </c>
      <c r="M1356" t="s">
        <v>138</v>
      </c>
    </row>
    <row r="1357" spans="1:13" x14ac:dyDescent="0.25">
      <c r="A1357" t="s">
        <v>1436</v>
      </c>
      <c r="B1357" t="s">
        <v>0</v>
      </c>
      <c r="C1357" t="s">
        <v>305</v>
      </c>
      <c r="D1357" t="s">
        <v>275</v>
      </c>
      <c r="E1357" t="s">
        <v>48</v>
      </c>
      <c r="F1357" s="5">
        <v>43406</v>
      </c>
      <c r="G1357" s="5">
        <v>43553</v>
      </c>
      <c r="H1357" s="6">
        <v>0.39583333333333331</v>
      </c>
      <c r="I1357" t="s">
        <v>139</v>
      </c>
      <c r="J1357" t="s">
        <v>766</v>
      </c>
      <c r="K1357" t="s">
        <v>1533</v>
      </c>
      <c r="M1357" t="s">
        <v>138</v>
      </c>
    </row>
    <row r="1358" spans="1:13" x14ac:dyDescent="0.25">
      <c r="A1358" t="s">
        <v>1436</v>
      </c>
      <c r="B1358" t="s">
        <v>0</v>
      </c>
      <c r="C1358" t="s">
        <v>305</v>
      </c>
      <c r="D1358" t="s">
        <v>275</v>
      </c>
      <c r="E1358" t="s">
        <v>767</v>
      </c>
      <c r="F1358" s="5">
        <v>43401</v>
      </c>
      <c r="G1358" s="5">
        <v>43554</v>
      </c>
      <c r="H1358" s="6">
        <v>0.41666666666666669</v>
      </c>
      <c r="I1358" t="s">
        <v>139</v>
      </c>
      <c r="J1358" t="s">
        <v>766</v>
      </c>
      <c r="K1358" t="s">
        <v>1533</v>
      </c>
      <c r="M1358" t="s">
        <v>138</v>
      </c>
    </row>
    <row r="1359" spans="1:13" x14ac:dyDescent="0.25">
      <c r="A1359" t="s">
        <v>1436</v>
      </c>
      <c r="B1359" t="s">
        <v>0</v>
      </c>
      <c r="C1359" t="s">
        <v>305</v>
      </c>
      <c r="D1359" t="s">
        <v>275</v>
      </c>
      <c r="E1359" t="s">
        <v>13</v>
      </c>
      <c r="F1359" s="5">
        <v>43405</v>
      </c>
      <c r="G1359" s="5">
        <v>43552</v>
      </c>
      <c r="H1359" s="6">
        <v>0.4375</v>
      </c>
      <c r="I1359" t="s">
        <v>139</v>
      </c>
      <c r="J1359" t="s">
        <v>766</v>
      </c>
      <c r="K1359" t="s">
        <v>1533</v>
      </c>
      <c r="M1359" t="s">
        <v>138</v>
      </c>
    </row>
    <row r="1360" spans="1:13" x14ac:dyDescent="0.25">
      <c r="A1360" t="s">
        <v>1436</v>
      </c>
      <c r="B1360" t="s">
        <v>0</v>
      </c>
      <c r="C1360" t="s">
        <v>305</v>
      </c>
      <c r="D1360" t="s">
        <v>275</v>
      </c>
      <c r="E1360" t="s">
        <v>298</v>
      </c>
      <c r="F1360" s="5">
        <v>43472</v>
      </c>
      <c r="G1360" s="5">
        <v>43528</v>
      </c>
      <c r="H1360" s="6">
        <v>0.59375</v>
      </c>
      <c r="I1360" t="s">
        <v>139</v>
      </c>
      <c r="J1360" t="s">
        <v>1267</v>
      </c>
      <c r="K1360" t="s">
        <v>1533</v>
      </c>
      <c r="M1360" t="s">
        <v>138</v>
      </c>
    </row>
    <row r="1361" spans="1:13" x14ac:dyDescent="0.25">
      <c r="A1361" t="s">
        <v>1436</v>
      </c>
      <c r="B1361" t="s">
        <v>0</v>
      </c>
      <c r="C1361" t="s">
        <v>305</v>
      </c>
      <c r="D1361" t="s">
        <v>275</v>
      </c>
      <c r="E1361" t="s">
        <v>109</v>
      </c>
      <c r="F1361" s="5">
        <v>43473</v>
      </c>
      <c r="G1361" s="5">
        <v>43552</v>
      </c>
      <c r="H1361" s="6">
        <v>0.59375</v>
      </c>
      <c r="I1361" t="s">
        <v>139</v>
      </c>
      <c r="J1361" t="s">
        <v>1267</v>
      </c>
      <c r="K1361" t="s">
        <v>1533</v>
      </c>
      <c r="M1361" t="s">
        <v>138</v>
      </c>
    </row>
    <row r="1362" spans="1:13" x14ac:dyDescent="0.25">
      <c r="A1362" t="s">
        <v>1436</v>
      </c>
      <c r="B1362" t="s">
        <v>0</v>
      </c>
      <c r="C1362" t="s">
        <v>305</v>
      </c>
      <c r="D1362" t="s">
        <v>275</v>
      </c>
      <c r="E1362" t="s">
        <v>22</v>
      </c>
      <c r="F1362" s="5">
        <v>43477</v>
      </c>
      <c r="G1362" s="5">
        <v>43519</v>
      </c>
      <c r="H1362" s="6">
        <v>0.60416666666666663</v>
      </c>
      <c r="I1362" t="s">
        <v>139</v>
      </c>
      <c r="J1362" t="s">
        <v>1267</v>
      </c>
      <c r="K1362" t="s">
        <v>1533</v>
      </c>
      <c r="M1362" t="s">
        <v>138</v>
      </c>
    </row>
    <row r="1363" spans="1:13" x14ac:dyDescent="0.25">
      <c r="A1363" t="s">
        <v>1436</v>
      </c>
      <c r="B1363" t="s">
        <v>0</v>
      </c>
      <c r="C1363" t="s">
        <v>305</v>
      </c>
      <c r="D1363" t="s">
        <v>275</v>
      </c>
      <c r="E1363" t="s">
        <v>143</v>
      </c>
      <c r="F1363" s="5">
        <v>43476</v>
      </c>
      <c r="G1363" s="5">
        <v>43520</v>
      </c>
      <c r="H1363" s="6">
        <v>0.61805555555555558</v>
      </c>
      <c r="I1363" t="s">
        <v>139</v>
      </c>
      <c r="J1363" t="s">
        <v>1267</v>
      </c>
      <c r="K1363" t="s">
        <v>1533</v>
      </c>
      <c r="M1363" t="s">
        <v>138</v>
      </c>
    </row>
    <row r="1364" spans="1:13" x14ac:dyDescent="0.25">
      <c r="A1364" t="s">
        <v>1436</v>
      </c>
      <c r="B1364" t="s">
        <v>0</v>
      </c>
      <c r="C1364" t="s">
        <v>305</v>
      </c>
      <c r="D1364" t="s">
        <v>275</v>
      </c>
      <c r="E1364" t="s">
        <v>22</v>
      </c>
      <c r="F1364" s="5">
        <v>43512</v>
      </c>
      <c r="G1364" s="5">
        <v>43554</v>
      </c>
      <c r="H1364" s="6">
        <v>0.74652777777777779</v>
      </c>
      <c r="I1364" t="s">
        <v>139</v>
      </c>
      <c r="J1364" t="s">
        <v>768</v>
      </c>
      <c r="K1364" t="s">
        <v>1533</v>
      </c>
      <c r="M1364" t="s">
        <v>138</v>
      </c>
    </row>
    <row r="1365" spans="1:13" x14ac:dyDescent="0.25">
      <c r="A1365" t="s">
        <v>1436</v>
      </c>
      <c r="B1365" t="s">
        <v>0</v>
      </c>
      <c r="C1365" t="s">
        <v>305</v>
      </c>
      <c r="D1365" t="s">
        <v>275</v>
      </c>
      <c r="E1365" t="s">
        <v>391</v>
      </c>
      <c r="F1365" s="5">
        <v>43403</v>
      </c>
      <c r="G1365" s="5">
        <v>43552</v>
      </c>
      <c r="H1365" s="6">
        <v>0.75</v>
      </c>
      <c r="I1365" t="s">
        <v>139</v>
      </c>
      <c r="J1365" t="s">
        <v>768</v>
      </c>
      <c r="K1365" t="s">
        <v>1533</v>
      </c>
      <c r="M1365" t="s">
        <v>138</v>
      </c>
    </row>
    <row r="1366" spans="1:13" x14ac:dyDescent="0.25">
      <c r="A1366" t="s">
        <v>1436</v>
      </c>
      <c r="B1366" t="s">
        <v>0</v>
      </c>
      <c r="C1366" t="s">
        <v>305</v>
      </c>
      <c r="D1366" t="s">
        <v>275</v>
      </c>
      <c r="E1366" t="s">
        <v>59</v>
      </c>
      <c r="F1366" s="5">
        <v>43437</v>
      </c>
      <c r="G1366" s="5">
        <v>43549</v>
      </c>
      <c r="H1366" s="6">
        <v>0.75</v>
      </c>
      <c r="I1366" t="s">
        <v>139</v>
      </c>
      <c r="J1366" t="s">
        <v>768</v>
      </c>
      <c r="K1366" t="s">
        <v>1533</v>
      </c>
      <c r="M1366" t="s">
        <v>138</v>
      </c>
    </row>
    <row r="1367" spans="1:13" x14ac:dyDescent="0.25">
      <c r="A1367" t="s">
        <v>1436</v>
      </c>
      <c r="B1367" t="s">
        <v>0</v>
      </c>
      <c r="C1367" t="s">
        <v>305</v>
      </c>
      <c r="D1367" t="s">
        <v>275</v>
      </c>
      <c r="E1367" t="s">
        <v>18</v>
      </c>
      <c r="F1367" s="5">
        <v>43401</v>
      </c>
      <c r="G1367" s="5">
        <v>43548</v>
      </c>
      <c r="H1367" s="6">
        <v>0.85416666666666663</v>
      </c>
      <c r="I1367" t="s">
        <v>139</v>
      </c>
      <c r="J1367" t="s">
        <v>768</v>
      </c>
      <c r="K1367" t="s">
        <v>1533</v>
      </c>
      <c r="M1367" t="s">
        <v>138</v>
      </c>
    </row>
    <row r="1368" spans="1:13" x14ac:dyDescent="0.25">
      <c r="A1368" t="s">
        <v>1436</v>
      </c>
      <c r="B1368" t="s">
        <v>0</v>
      </c>
      <c r="C1368" t="s">
        <v>305</v>
      </c>
      <c r="D1368" t="s">
        <v>275</v>
      </c>
      <c r="E1368" t="s">
        <v>48</v>
      </c>
      <c r="F1368" s="5">
        <v>43406</v>
      </c>
      <c r="G1368" s="5">
        <v>43553</v>
      </c>
      <c r="H1368" s="6">
        <v>0.88541666666666663</v>
      </c>
      <c r="I1368" t="s">
        <v>139</v>
      </c>
      <c r="J1368" t="s">
        <v>768</v>
      </c>
      <c r="K1368" t="s">
        <v>1533</v>
      </c>
      <c r="M1368" t="s">
        <v>138</v>
      </c>
    </row>
    <row r="1369" spans="1:13" x14ac:dyDescent="0.25">
      <c r="A1369" t="s">
        <v>1436</v>
      </c>
      <c r="B1369" t="s">
        <v>0</v>
      </c>
      <c r="C1369" t="s">
        <v>769</v>
      </c>
      <c r="D1369" t="s">
        <v>770</v>
      </c>
      <c r="E1369" t="s">
        <v>59</v>
      </c>
      <c r="F1369" s="5">
        <v>43472</v>
      </c>
      <c r="G1369" s="5">
        <v>43549</v>
      </c>
      <c r="H1369" s="6">
        <v>0.26041666666666669</v>
      </c>
      <c r="I1369" t="s">
        <v>14</v>
      </c>
      <c r="J1369" t="s">
        <v>1613</v>
      </c>
      <c r="K1369" t="s">
        <v>66</v>
      </c>
      <c r="M1369" t="s">
        <v>138</v>
      </c>
    </row>
    <row r="1370" spans="1:13" x14ac:dyDescent="0.25">
      <c r="A1370" t="s">
        <v>1436</v>
      </c>
      <c r="B1370" t="s">
        <v>0</v>
      </c>
      <c r="C1370" t="s">
        <v>769</v>
      </c>
      <c r="D1370" t="s">
        <v>770</v>
      </c>
      <c r="E1370" t="s">
        <v>48</v>
      </c>
      <c r="F1370" s="5">
        <v>43497</v>
      </c>
      <c r="G1370" s="5">
        <v>43553</v>
      </c>
      <c r="H1370" s="6">
        <v>0.57291666666666663</v>
      </c>
      <c r="I1370" t="s">
        <v>14</v>
      </c>
      <c r="J1370" t="s">
        <v>1613</v>
      </c>
      <c r="K1370" t="s">
        <v>66</v>
      </c>
      <c r="M1370" t="s">
        <v>138</v>
      </c>
    </row>
    <row r="1371" spans="1:13" x14ac:dyDescent="0.25">
      <c r="A1371" t="s">
        <v>1436</v>
      </c>
      <c r="B1371" t="s">
        <v>0</v>
      </c>
      <c r="C1371" t="s">
        <v>1268</v>
      </c>
      <c r="D1371" t="s">
        <v>1269</v>
      </c>
      <c r="E1371" t="s">
        <v>22</v>
      </c>
      <c r="F1371" s="5">
        <v>43407</v>
      </c>
      <c r="G1371" s="5">
        <v>43554</v>
      </c>
      <c r="H1371" s="6">
        <v>0.65625</v>
      </c>
      <c r="I1371" t="s">
        <v>14</v>
      </c>
      <c r="J1371" t="s">
        <v>1270</v>
      </c>
      <c r="K1371" t="s">
        <v>488</v>
      </c>
      <c r="M1371" t="s">
        <v>138</v>
      </c>
    </row>
    <row r="1372" spans="1:13" x14ac:dyDescent="0.25">
      <c r="A1372" t="s">
        <v>1436</v>
      </c>
      <c r="B1372" t="s">
        <v>0</v>
      </c>
      <c r="C1372" t="s">
        <v>1194</v>
      </c>
      <c r="D1372" t="s">
        <v>1195</v>
      </c>
      <c r="E1372" t="s">
        <v>158</v>
      </c>
      <c r="F1372" s="5">
        <v>43404</v>
      </c>
      <c r="G1372" s="5">
        <v>43554</v>
      </c>
      <c r="H1372" s="6">
        <v>0.6875</v>
      </c>
      <c r="I1372" t="s">
        <v>14</v>
      </c>
      <c r="J1372" t="s">
        <v>1271</v>
      </c>
      <c r="K1372" t="s">
        <v>488</v>
      </c>
      <c r="M1372" t="s">
        <v>138</v>
      </c>
    </row>
    <row r="1373" spans="1:13" x14ac:dyDescent="0.25">
      <c r="A1373" t="s">
        <v>1436</v>
      </c>
      <c r="B1373" t="s">
        <v>0</v>
      </c>
      <c r="C1373" t="s">
        <v>308</v>
      </c>
      <c r="D1373" t="s">
        <v>309</v>
      </c>
      <c r="E1373" t="s">
        <v>18</v>
      </c>
      <c r="F1373" s="5">
        <v>43415</v>
      </c>
      <c r="G1373" s="5">
        <v>43548</v>
      </c>
      <c r="H1373" s="6">
        <v>0.28472222222222221</v>
      </c>
      <c r="I1373" t="s">
        <v>14</v>
      </c>
      <c r="J1373" t="s">
        <v>771</v>
      </c>
      <c r="K1373" t="s">
        <v>1533</v>
      </c>
      <c r="M1373" t="s">
        <v>138</v>
      </c>
    </row>
    <row r="1374" spans="1:13" x14ac:dyDescent="0.25">
      <c r="A1374" t="s">
        <v>1436</v>
      </c>
      <c r="B1374" t="s">
        <v>0</v>
      </c>
      <c r="C1374" t="s">
        <v>308</v>
      </c>
      <c r="D1374" t="s">
        <v>309</v>
      </c>
      <c r="E1374" t="s">
        <v>22</v>
      </c>
      <c r="F1374" s="5">
        <v>43512</v>
      </c>
      <c r="G1374" s="5">
        <v>43540</v>
      </c>
      <c r="H1374" s="6">
        <v>0.37847222222222227</v>
      </c>
      <c r="I1374" t="s">
        <v>14</v>
      </c>
      <c r="J1374" t="s">
        <v>1932</v>
      </c>
      <c r="K1374" t="s">
        <v>1533</v>
      </c>
      <c r="M1374" t="s">
        <v>138</v>
      </c>
    </row>
    <row r="1375" spans="1:13" x14ac:dyDescent="0.25">
      <c r="A1375" t="s">
        <v>1436</v>
      </c>
      <c r="B1375" t="s">
        <v>0</v>
      </c>
      <c r="C1375" t="s">
        <v>308</v>
      </c>
      <c r="D1375" t="s">
        <v>309</v>
      </c>
      <c r="E1375" t="s">
        <v>20</v>
      </c>
      <c r="F1375" s="5">
        <v>43404</v>
      </c>
      <c r="G1375" s="5">
        <v>43551</v>
      </c>
      <c r="H1375" s="6">
        <v>0.79861111111111116</v>
      </c>
      <c r="I1375" t="s">
        <v>14</v>
      </c>
      <c r="J1375" t="s">
        <v>771</v>
      </c>
      <c r="K1375" t="s">
        <v>1533</v>
      </c>
      <c r="M1375" t="s">
        <v>138</v>
      </c>
    </row>
    <row r="1376" spans="1:13" x14ac:dyDescent="0.25">
      <c r="A1376" t="s">
        <v>1436</v>
      </c>
      <c r="B1376" t="s">
        <v>0</v>
      </c>
      <c r="C1376" t="s">
        <v>772</v>
      </c>
      <c r="D1376" t="s">
        <v>773</v>
      </c>
      <c r="E1376" t="s">
        <v>22</v>
      </c>
      <c r="F1376" s="5">
        <v>43407</v>
      </c>
      <c r="G1376" s="5">
        <v>43554</v>
      </c>
      <c r="H1376" s="6">
        <v>0.45833333333333331</v>
      </c>
      <c r="I1376" t="s">
        <v>14</v>
      </c>
      <c r="J1376" t="s">
        <v>774</v>
      </c>
      <c r="K1376" t="s">
        <v>129</v>
      </c>
      <c r="M1376" t="s">
        <v>138</v>
      </c>
    </row>
    <row r="1377" spans="1:13" x14ac:dyDescent="0.25">
      <c r="A1377" t="s">
        <v>1436</v>
      </c>
      <c r="B1377" t="s">
        <v>0</v>
      </c>
      <c r="C1377" t="s">
        <v>455</v>
      </c>
      <c r="D1377" t="s">
        <v>456</v>
      </c>
      <c r="E1377" t="s">
        <v>59</v>
      </c>
      <c r="F1377" s="5">
        <v>43493</v>
      </c>
      <c r="G1377" s="5">
        <v>43514</v>
      </c>
      <c r="H1377" s="6">
        <v>0.4861111111111111</v>
      </c>
      <c r="I1377" t="s">
        <v>106</v>
      </c>
      <c r="J1377" t="s">
        <v>1896</v>
      </c>
      <c r="K1377" t="s">
        <v>66</v>
      </c>
      <c r="L1377" t="s">
        <v>275</v>
      </c>
      <c r="M1377" t="s">
        <v>138</v>
      </c>
    </row>
    <row r="1378" spans="1:13" x14ac:dyDescent="0.25">
      <c r="A1378" t="s">
        <v>1436</v>
      </c>
      <c r="B1378" t="s">
        <v>0</v>
      </c>
      <c r="C1378" t="s">
        <v>457</v>
      </c>
      <c r="D1378" t="s">
        <v>458</v>
      </c>
      <c r="E1378" t="s">
        <v>111</v>
      </c>
      <c r="F1378" s="5">
        <v>43401</v>
      </c>
      <c r="G1378" s="5">
        <v>43552</v>
      </c>
      <c r="H1378" s="6">
        <v>0.50694444444444442</v>
      </c>
      <c r="I1378" t="s">
        <v>352</v>
      </c>
      <c r="J1378" t="s">
        <v>775</v>
      </c>
      <c r="K1378" t="s">
        <v>460</v>
      </c>
      <c r="M1378" t="s">
        <v>138</v>
      </c>
    </row>
    <row r="1379" spans="1:13" x14ac:dyDescent="0.25">
      <c r="A1379" t="s">
        <v>1436</v>
      </c>
      <c r="B1379" t="s">
        <v>0</v>
      </c>
      <c r="C1379" t="s">
        <v>457</v>
      </c>
      <c r="D1379" t="s">
        <v>458</v>
      </c>
      <c r="E1379" t="s">
        <v>22</v>
      </c>
      <c r="F1379" s="5">
        <v>43407</v>
      </c>
      <c r="G1379" s="5">
        <v>43554</v>
      </c>
      <c r="H1379" s="6">
        <v>0.69791666666666663</v>
      </c>
      <c r="I1379" t="s">
        <v>39</v>
      </c>
      <c r="J1379" t="s">
        <v>1614</v>
      </c>
      <c r="K1379" t="s">
        <v>460</v>
      </c>
      <c r="M1379" t="s">
        <v>138</v>
      </c>
    </row>
    <row r="1380" spans="1:13" x14ac:dyDescent="0.25">
      <c r="A1380" t="s">
        <v>1436</v>
      </c>
      <c r="B1380" t="s">
        <v>0</v>
      </c>
      <c r="C1380" t="s">
        <v>457</v>
      </c>
      <c r="D1380" t="s">
        <v>458</v>
      </c>
      <c r="E1380" t="s">
        <v>20</v>
      </c>
      <c r="F1380" s="5">
        <v>43439</v>
      </c>
      <c r="G1380" s="5">
        <v>43551</v>
      </c>
      <c r="H1380" s="6">
        <v>0.71180555555555547</v>
      </c>
      <c r="I1380" t="s">
        <v>39</v>
      </c>
      <c r="J1380" t="s">
        <v>1614</v>
      </c>
      <c r="K1380" t="s">
        <v>460</v>
      </c>
      <c r="M1380" t="s">
        <v>138</v>
      </c>
    </row>
    <row r="1381" spans="1:13" x14ac:dyDescent="0.25">
      <c r="A1381" t="s">
        <v>1436</v>
      </c>
      <c r="B1381" t="s">
        <v>0</v>
      </c>
      <c r="C1381" t="s">
        <v>457</v>
      </c>
      <c r="D1381" t="s">
        <v>458</v>
      </c>
      <c r="E1381" t="s">
        <v>22</v>
      </c>
      <c r="F1381" s="5">
        <v>43407</v>
      </c>
      <c r="G1381" s="5">
        <v>43554</v>
      </c>
      <c r="H1381" s="6">
        <v>0.75</v>
      </c>
      <c r="I1381">
        <v>320</v>
      </c>
      <c r="J1381" t="s">
        <v>776</v>
      </c>
      <c r="K1381" t="s">
        <v>460</v>
      </c>
      <c r="M1381" t="s">
        <v>138</v>
      </c>
    </row>
    <row r="1382" spans="1:13" x14ac:dyDescent="0.25">
      <c r="A1382" t="s">
        <v>1436</v>
      </c>
      <c r="B1382" t="s">
        <v>0</v>
      </c>
      <c r="C1382" t="s">
        <v>777</v>
      </c>
      <c r="D1382" t="s">
        <v>778</v>
      </c>
      <c r="E1382" t="s">
        <v>18</v>
      </c>
      <c r="F1382" s="5">
        <v>43401</v>
      </c>
      <c r="G1382" s="5">
        <v>43548</v>
      </c>
      <c r="H1382" s="6">
        <v>0.45833333333333331</v>
      </c>
      <c r="I1382" t="s">
        <v>141</v>
      </c>
      <c r="J1382" t="s">
        <v>779</v>
      </c>
      <c r="K1382" t="s">
        <v>1533</v>
      </c>
      <c r="M1382" t="s">
        <v>138</v>
      </c>
    </row>
    <row r="1383" spans="1:13" x14ac:dyDescent="0.25">
      <c r="A1383" t="s">
        <v>1436</v>
      </c>
      <c r="B1383" t="s">
        <v>0</v>
      </c>
      <c r="C1383" t="s">
        <v>777</v>
      </c>
      <c r="D1383" t="s">
        <v>778</v>
      </c>
      <c r="E1383" t="s">
        <v>20</v>
      </c>
      <c r="F1383" s="5">
        <v>43439</v>
      </c>
      <c r="G1383" s="5">
        <v>43551</v>
      </c>
      <c r="H1383" s="6">
        <v>0.45833333333333331</v>
      </c>
      <c r="I1383" t="s">
        <v>141</v>
      </c>
      <c r="J1383" t="s">
        <v>779</v>
      </c>
      <c r="K1383" t="s">
        <v>1533</v>
      </c>
      <c r="M1383" t="s">
        <v>138</v>
      </c>
    </row>
    <row r="1384" spans="1:13" x14ac:dyDescent="0.25">
      <c r="A1384" t="s">
        <v>1436</v>
      </c>
      <c r="B1384" t="s">
        <v>0</v>
      </c>
      <c r="C1384" t="s">
        <v>318</v>
      </c>
      <c r="D1384" t="s">
        <v>319</v>
      </c>
      <c r="E1384" t="s">
        <v>18</v>
      </c>
      <c r="F1384" s="5">
        <v>43401</v>
      </c>
      <c r="G1384" s="5">
        <v>43548</v>
      </c>
      <c r="H1384" s="6">
        <v>0.42708333333333331</v>
      </c>
      <c r="I1384">
        <v>320</v>
      </c>
      <c r="J1384" t="s">
        <v>780</v>
      </c>
      <c r="K1384" t="s">
        <v>34</v>
      </c>
      <c r="M1384" t="s">
        <v>138</v>
      </c>
    </row>
    <row r="1385" spans="1:13" x14ac:dyDescent="0.25">
      <c r="A1385" t="s">
        <v>1436</v>
      </c>
      <c r="B1385" t="s">
        <v>0</v>
      </c>
      <c r="C1385" t="s">
        <v>318</v>
      </c>
      <c r="D1385" t="s">
        <v>319</v>
      </c>
      <c r="E1385" t="s">
        <v>18</v>
      </c>
      <c r="F1385" s="5">
        <v>43415</v>
      </c>
      <c r="G1385" s="5">
        <v>43548</v>
      </c>
      <c r="H1385" s="6">
        <v>0.44097222222222227</v>
      </c>
      <c r="I1385">
        <v>319</v>
      </c>
      <c r="J1385" t="s">
        <v>781</v>
      </c>
      <c r="K1385" t="s">
        <v>34</v>
      </c>
      <c r="M1385" t="s">
        <v>138</v>
      </c>
    </row>
    <row r="1386" spans="1:13" x14ac:dyDescent="0.25">
      <c r="A1386" t="s">
        <v>1436</v>
      </c>
      <c r="B1386" t="s">
        <v>0</v>
      </c>
      <c r="C1386" t="s">
        <v>318</v>
      </c>
      <c r="D1386" t="s">
        <v>319</v>
      </c>
      <c r="E1386" t="s">
        <v>48</v>
      </c>
      <c r="F1386" s="5">
        <v>43504</v>
      </c>
      <c r="G1386" s="5">
        <v>43518</v>
      </c>
      <c r="H1386" s="6">
        <v>0.4548611111111111</v>
      </c>
      <c r="I1386">
        <v>320</v>
      </c>
      <c r="J1386" t="s">
        <v>1851</v>
      </c>
      <c r="K1386" t="s">
        <v>34</v>
      </c>
      <c r="M1386" t="s">
        <v>138</v>
      </c>
    </row>
    <row r="1387" spans="1:13" x14ac:dyDescent="0.25">
      <c r="A1387" t="s">
        <v>1436</v>
      </c>
      <c r="B1387" t="s">
        <v>0</v>
      </c>
      <c r="C1387" t="s">
        <v>318</v>
      </c>
      <c r="D1387" t="s">
        <v>319</v>
      </c>
      <c r="E1387" t="s">
        <v>22</v>
      </c>
      <c r="F1387" s="5">
        <v>43407</v>
      </c>
      <c r="G1387" s="5">
        <v>43554</v>
      </c>
      <c r="H1387" s="6">
        <v>0.46180555555555558</v>
      </c>
      <c r="I1387">
        <v>320</v>
      </c>
      <c r="J1387" t="s">
        <v>780</v>
      </c>
      <c r="K1387" t="s">
        <v>34</v>
      </c>
      <c r="M1387" t="s">
        <v>138</v>
      </c>
    </row>
    <row r="1388" spans="1:13" x14ac:dyDescent="0.25">
      <c r="A1388" t="s">
        <v>1436</v>
      </c>
      <c r="B1388" t="s">
        <v>0</v>
      </c>
      <c r="C1388" t="s">
        <v>318</v>
      </c>
      <c r="D1388" t="s">
        <v>319</v>
      </c>
      <c r="E1388" t="s">
        <v>59</v>
      </c>
      <c r="F1388" s="5">
        <v>43402</v>
      </c>
      <c r="G1388" s="5">
        <v>43549</v>
      </c>
      <c r="H1388" s="6">
        <v>0.59027777777777779</v>
      </c>
      <c r="I1388">
        <v>320</v>
      </c>
      <c r="J1388" t="s">
        <v>780</v>
      </c>
      <c r="K1388" t="s">
        <v>34</v>
      </c>
      <c r="M1388" t="s">
        <v>138</v>
      </c>
    </row>
    <row r="1389" spans="1:13" x14ac:dyDescent="0.25">
      <c r="A1389" t="s">
        <v>1436</v>
      </c>
      <c r="B1389" t="s">
        <v>0</v>
      </c>
      <c r="C1389" t="s">
        <v>318</v>
      </c>
      <c r="D1389" t="s">
        <v>319</v>
      </c>
      <c r="E1389" t="s">
        <v>20</v>
      </c>
      <c r="F1389" s="5">
        <v>43425</v>
      </c>
      <c r="G1389" s="5">
        <v>43551</v>
      </c>
      <c r="H1389" s="6">
        <v>0.59027777777777779</v>
      </c>
      <c r="I1389">
        <v>320</v>
      </c>
      <c r="J1389" t="s">
        <v>780</v>
      </c>
      <c r="K1389" t="s">
        <v>34</v>
      </c>
      <c r="M1389" t="s">
        <v>138</v>
      </c>
    </row>
    <row r="1390" spans="1:13" x14ac:dyDescent="0.25">
      <c r="A1390" t="s">
        <v>1436</v>
      </c>
      <c r="B1390" t="s">
        <v>0</v>
      </c>
      <c r="C1390" t="s">
        <v>318</v>
      </c>
      <c r="D1390" t="s">
        <v>319</v>
      </c>
      <c r="E1390" t="s">
        <v>673</v>
      </c>
      <c r="F1390" s="5">
        <v>43405</v>
      </c>
      <c r="G1390" s="5">
        <v>43553</v>
      </c>
      <c r="H1390" s="6">
        <v>0.70833333333333337</v>
      </c>
      <c r="I1390">
        <v>320</v>
      </c>
      <c r="J1390" t="s">
        <v>780</v>
      </c>
      <c r="K1390" t="s">
        <v>34</v>
      </c>
      <c r="M1390" t="s">
        <v>138</v>
      </c>
    </row>
    <row r="1391" spans="1:13" x14ac:dyDescent="0.25">
      <c r="A1391" t="s">
        <v>1436</v>
      </c>
      <c r="B1391" t="s">
        <v>0</v>
      </c>
      <c r="C1391" t="s">
        <v>318</v>
      </c>
      <c r="D1391" t="s">
        <v>319</v>
      </c>
      <c r="E1391" t="s">
        <v>19</v>
      </c>
      <c r="F1391" s="5">
        <v>43403</v>
      </c>
      <c r="G1391" s="5">
        <v>43550</v>
      </c>
      <c r="H1391" s="6">
        <v>0.71180555555555547</v>
      </c>
      <c r="I1391">
        <v>320</v>
      </c>
      <c r="J1391" t="s">
        <v>780</v>
      </c>
      <c r="K1391" t="s">
        <v>34</v>
      </c>
      <c r="M1391" t="s">
        <v>138</v>
      </c>
    </row>
    <row r="1392" spans="1:13" x14ac:dyDescent="0.25">
      <c r="A1392" s="28" t="s">
        <v>1436</v>
      </c>
      <c r="B1392" s="28" t="s">
        <v>0</v>
      </c>
      <c r="C1392" s="28" t="s">
        <v>11</v>
      </c>
      <c r="D1392" s="28" t="s">
        <v>12</v>
      </c>
      <c r="E1392" s="28" t="s">
        <v>48</v>
      </c>
      <c r="F1392" s="29">
        <v>43406</v>
      </c>
      <c r="G1392" s="29">
        <v>43553</v>
      </c>
      <c r="H1392" s="30">
        <v>0.4375</v>
      </c>
      <c r="I1392" s="28" t="s">
        <v>14</v>
      </c>
      <c r="J1392" s="28" t="s">
        <v>782</v>
      </c>
      <c r="K1392" s="28" t="s">
        <v>16</v>
      </c>
      <c r="L1392" s="28"/>
      <c r="M1392" s="4" t="s">
        <v>600</v>
      </c>
    </row>
    <row r="1393" spans="1:13" x14ac:dyDescent="0.25">
      <c r="A1393" s="28" t="s">
        <v>1436</v>
      </c>
      <c r="B1393" s="28" t="s">
        <v>0</v>
      </c>
      <c r="C1393" s="28" t="s">
        <v>11</v>
      </c>
      <c r="D1393" s="28" t="s">
        <v>12</v>
      </c>
      <c r="E1393" s="28" t="s">
        <v>19</v>
      </c>
      <c r="F1393" s="29">
        <v>43480</v>
      </c>
      <c r="G1393" s="29">
        <v>43550</v>
      </c>
      <c r="H1393" s="30">
        <v>0.49652777777777773</v>
      </c>
      <c r="I1393" s="28" t="s">
        <v>14</v>
      </c>
      <c r="J1393" s="28" t="s">
        <v>782</v>
      </c>
      <c r="K1393" s="28" t="s">
        <v>16</v>
      </c>
      <c r="L1393" s="28"/>
      <c r="M1393" s="4" t="s">
        <v>600</v>
      </c>
    </row>
    <row r="1394" spans="1:13" x14ac:dyDescent="0.25">
      <c r="A1394" s="28" t="s">
        <v>1436</v>
      </c>
      <c r="B1394" s="28" t="s">
        <v>0</v>
      </c>
      <c r="C1394" s="28" t="s">
        <v>27</v>
      </c>
      <c r="D1394" s="28" t="s">
        <v>28</v>
      </c>
      <c r="E1394" s="28" t="s">
        <v>22</v>
      </c>
      <c r="F1394" s="29">
        <v>43435</v>
      </c>
      <c r="G1394" s="29">
        <v>43554</v>
      </c>
      <c r="H1394" s="30">
        <v>0.67361111111111116</v>
      </c>
      <c r="I1394" s="28">
        <v>320</v>
      </c>
      <c r="J1394" s="28" t="s">
        <v>783</v>
      </c>
      <c r="K1394" s="28" t="s">
        <v>25</v>
      </c>
      <c r="L1394" s="28"/>
      <c r="M1394" s="4" t="s">
        <v>600</v>
      </c>
    </row>
    <row r="1395" spans="1:13" x14ac:dyDescent="0.25">
      <c r="A1395" s="28" t="s">
        <v>1436</v>
      </c>
      <c r="B1395" s="28" t="s">
        <v>0</v>
      </c>
      <c r="C1395" s="28" t="s">
        <v>31</v>
      </c>
      <c r="D1395" s="28" t="s">
        <v>32</v>
      </c>
      <c r="E1395" s="28" t="s">
        <v>72</v>
      </c>
      <c r="F1395" s="29">
        <v>43403</v>
      </c>
      <c r="G1395" s="29">
        <v>43554</v>
      </c>
      <c r="H1395" s="30">
        <v>0.68055555555555547</v>
      </c>
      <c r="I1395" s="28">
        <v>320</v>
      </c>
      <c r="J1395" s="28" t="s">
        <v>1615</v>
      </c>
      <c r="K1395" s="28" t="s">
        <v>34</v>
      </c>
      <c r="L1395" s="28"/>
      <c r="M1395" s="4" t="s">
        <v>600</v>
      </c>
    </row>
    <row r="1396" spans="1:13" x14ac:dyDescent="0.25">
      <c r="A1396" s="28" t="s">
        <v>1436</v>
      </c>
      <c r="B1396" s="28" t="s">
        <v>0</v>
      </c>
      <c r="C1396" s="28" t="s">
        <v>42</v>
      </c>
      <c r="D1396" s="28" t="s">
        <v>43</v>
      </c>
      <c r="E1396" s="28" t="s">
        <v>22</v>
      </c>
      <c r="F1396" s="29">
        <v>43428</v>
      </c>
      <c r="G1396" s="29">
        <v>43547</v>
      </c>
      <c r="H1396" s="30">
        <v>0.71527777777777779</v>
      </c>
      <c r="I1396" s="28">
        <v>320</v>
      </c>
      <c r="J1396" s="28" t="s">
        <v>1616</v>
      </c>
      <c r="K1396" s="28" t="s">
        <v>45</v>
      </c>
      <c r="L1396" s="28"/>
      <c r="M1396" s="4" t="s">
        <v>600</v>
      </c>
    </row>
    <row r="1397" spans="1:13" x14ac:dyDescent="0.25">
      <c r="A1397" s="28" t="s">
        <v>1436</v>
      </c>
      <c r="B1397" s="28" t="s">
        <v>0</v>
      </c>
      <c r="C1397" s="28" t="s">
        <v>42</v>
      </c>
      <c r="D1397" s="28" t="s">
        <v>43</v>
      </c>
      <c r="E1397" s="28" t="s">
        <v>19</v>
      </c>
      <c r="F1397" s="29">
        <v>43466</v>
      </c>
      <c r="G1397" s="29">
        <v>43550</v>
      </c>
      <c r="H1397" s="30">
        <v>0.71527777777777779</v>
      </c>
      <c r="I1397" s="28">
        <v>320</v>
      </c>
      <c r="J1397" s="28" t="s">
        <v>1616</v>
      </c>
      <c r="K1397" s="28" t="s">
        <v>45</v>
      </c>
      <c r="L1397" s="28"/>
      <c r="M1397" s="4" t="s">
        <v>600</v>
      </c>
    </row>
    <row r="1398" spans="1:13" x14ac:dyDescent="0.25">
      <c r="A1398" s="28" t="s">
        <v>1436</v>
      </c>
      <c r="B1398" s="28" t="s">
        <v>0</v>
      </c>
      <c r="C1398" s="28" t="s">
        <v>46</v>
      </c>
      <c r="D1398" s="28" t="s">
        <v>47</v>
      </c>
      <c r="E1398" s="28" t="s">
        <v>19</v>
      </c>
      <c r="F1398" s="29">
        <v>43508</v>
      </c>
      <c r="G1398" s="29">
        <v>43508</v>
      </c>
      <c r="H1398" s="30">
        <v>0.53125</v>
      </c>
      <c r="I1398" s="28">
        <v>320</v>
      </c>
      <c r="J1398" s="28" t="s">
        <v>1617</v>
      </c>
      <c r="K1398" s="28" t="s">
        <v>45</v>
      </c>
      <c r="L1398" s="28"/>
      <c r="M1398" s="4" t="s">
        <v>600</v>
      </c>
    </row>
    <row r="1399" spans="1:13" x14ac:dyDescent="0.25">
      <c r="A1399" s="28" t="s">
        <v>1436</v>
      </c>
      <c r="B1399" s="28" t="s">
        <v>0</v>
      </c>
      <c r="C1399" s="28" t="s">
        <v>46</v>
      </c>
      <c r="D1399" s="28" t="s">
        <v>47</v>
      </c>
      <c r="E1399" s="28" t="s">
        <v>13</v>
      </c>
      <c r="F1399" s="29">
        <v>43503</v>
      </c>
      <c r="G1399" s="29">
        <v>43552</v>
      </c>
      <c r="H1399" s="30">
        <v>0.67361111111111116</v>
      </c>
      <c r="I1399" s="28">
        <v>319</v>
      </c>
      <c r="J1399" s="28" t="s">
        <v>1617</v>
      </c>
      <c r="K1399" s="28" t="s">
        <v>45</v>
      </c>
      <c r="L1399" s="28"/>
      <c r="M1399" s="4" t="s">
        <v>600</v>
      </c>
    </row>
    <row r="1400" spans="1:13" x14ac:dyDescent="0.25">
      <c r="A1400" s="28" t="s">
        <v>1436</v>
      </c>
      <c r="B1400" s="28" t="s">
        <v>0</v>
      </c>
      <c r="C1400" s="28" t="s">
        <v>67</v>
      </c>
      <c r="D1400" s="28" t="s">
        <v>68</v>
      </c>
      <c r="E1400" s="28" t="s">
        <v>20</v>
      </c>
      <c r="F1400" s="29">
        <v>43495</v>
      </c>
      <c r="G1400" s="29">
        <v>43551</v>
      </c>
      <c r="H1400" s="30">
        <v>0.58333333333333337</v>
      </c>
      <c r="I1400" s="28">
        <v>319</v>
      </c>
      <c r="J1400" s="28" t="s">
        <v>1618</v>
      </c>
      <c r="K1400" s="28" t="s">
        <v>45</v>
      </c>
      <c r="L1400" s="28"/>
      <c r="M1400" s="4" t="s">
        <v>600</v>
      </c>
    </row>
    <row r="1401" spans="1:13" x14ac:dyDescent="0.25">
      <c r="A1401" s="28" t="s">
        <v>1436</v>
      </c>
      <c r="B1401" s="28" t="s">
        <v>0</v>
      </c>
      <c r="C1401" s="28" t="s">
        <v>76</v>
      </c>
      <c r="D1401" s="28" t="s">
        <v>77</v>
      </c>
      <c r="E1401" s="28" t="s">
        <v>20</v>
      </c>
      <c r="F1401" s="29">
        <v>43474</v>
      </c>
      <c r="G1401" s="29">
        <v>43537</v>
      </c>
      <c r="H1401" s="30">
        <v>0.54513888888888895</v>
      </c>
      <c r="I1401" s="28" t="s">
        <v>81</v>
      </c>
      <c r="J1401" s="28" t="s">
        <v>1553</v>
      </c>
      <c r="K1401" s="28" t="s">
        <v>79</v>
      </c>
      <c r="L1401" s="28" t="s">
        <v>138</v>
      </c>
      <c r="M1401" s="4" t="s">
        <v>600</v>
      </c>
    </row>
    <row r="1402" spans="1:13" x14ac:dyDescent="0.25">
      <c r="A1402" s="28" t="s">
        <v>1436</v>
      </c>
      <c r="B1402" s="28" t="s">
        <v>0</v>
      </c>
      <c r="C1402" s="28" t="s">
        <v>76</v>
      </c>
      <c r="D1402" s="28" t="s">
        <v>77</v>
      </c>
      <c r="E1402" s="28" t="s">
        <v>22</v>
      </c>
      <c r="F1402" s="29">
        <v>43477</v>
      </c>
      <c r="G1402" s="29">
        <v>43519</v>
      </c>
      <c r="H1402" s="30">
        <v>0.75347222222222221</v>
      </c>
      <c r="I1402" s="28" t="s">
        <v>81</v>
      </c>
      <c r="J1402" s="28" t="s">
        <v>1496</v>
      </c>
      <c r="K1402" s="28" t="s">
        <v>79</v>
      </c>
      <c r="L1402" s="28" t="s">
        <v>80</v>
      </c>
      <c r="M1402" s="4" t="s">
        <v>600</v>
      </c>
    </row>
    <row r="1403" spans="1:13" x14ac:dyDescent="0.25">
      <c r="A1403" s="28" t="s">
        <v>1436</v>
      </c>
      <c r="B1403" s="28" t="s">
        <v>0</v>
      </c>
      <c r="C1403" s="28" t="s">
        <v>102</v>
      </c>
      <c r="D1403" s="28" t="s">
        <v>103</v>
      </c>
      <c r="E1403" s="28" t="s">
        <v>48</v>
      </c>
      <c r="F1403" s="29">
        <v>43455</v>
      </c>
      <c r="G1403" s="29">
        <v>43553</v>
      </c>
      <c r="H1403" s="30">
        <v>0.4513888888888889</v>
      </c>
      <c r="I1403" s="28">
        <v>319</v>
      </c>
      <c r="J1403" s="28" t="s">
        <v>786</v>
      </c>
      <c r="K1403" s="28" t="s">
        <v>45</v>
      </c>
      <c r="L1403" s="28"/>
      <c r="M1403" s="4" t="s">
        <v>600</v>
      </c>
    </row>
    <row r="1404" spans="1:13" x14ac:dyDescent="0.25">
      <c r="A1404" s="28" t="s">
        <v>1436</v>
      </c>
      <c r="B1404" s="28" t="s">
        <v>0</v>
      </c>
      <c r="C1404" s="28" t="s">
        <v>102</v>
      </c>
      <c r="D1404" s="28" t="s">
        <v>103</v>
      </c>
      <c r="E1404" s="28" t="s">
        <v>22</v>
      </c>
      <c r="F1404" s="29">
        <v>43407</v>
      </c>
      <c r="G1404" s="29">
        <v>43554</v>
      </c>
      <c r="H1404" s="30">
        <v>0.52083333333333337</v>
      </c>
      <c r="I1404" s="28" t="s">
        <v>352</v>
      </c>
      <c r="J1404" s="28" t="s">
        <v>1619</v>
      </c>
      <c r="K1404" s="28" t="s">
        <v>45</v>
      </c>
      <c r="L1404" s="28"/>
      <c r="M1404" s="4" t="s">
        <v>600</v>
      </c>
    </row>
    <row r="1405" spans="1:13" x14ac:dyDescent="0.25">
      <c r="A1405" s="28" t="s">
        <v>1436</v>
      </c>
      <c r="B1405" s="28" t="s">
        <v>0</v>
      </c>
      <c r="C1405" s="28" t="s">
        <v>102</v>
      </c>
      <c r="D1405" s="28" t="s">
        <v>103</v>
      </c>
      <c r="E1405" s="28" t="s">
        <v>19</v>
      </c>
      <c r="F1405" s="29">
        <v>43403</v>
      </c>
      <c r="G1405" s="29">
        <v>43550</v>
      </c>
      <c r="H1405" s="30">
        <v>0.60763888888888895</v>
      </c>
      <c r="I1405" s="28" t="s">
        <v>352</v>
      </c>
      <c r="J1405" s="28" t="s">
        <v>1619</v>
      </c>
      <c r="K1405" s="28" t="s">
        <v>45</v>
      </c>
      <c r="L1405" s="28"/>
      <c r="M1405" s="4" t="s">
        <v>600</v>
      </c>
    </row>
    <row r="1406" spans="1:13" x14ac:dyDescent="0.25">
      <c r="A1406" s="28" t="s">
        <v>1436</v>
      </c>
      <c r="B1406" s="28" t="s">
        <v>0</v>
      </c>
      <c r="C1406" s="28" t="s">
        <v>102</v>
      </c>
      <c r="D1406" s="28" t="s">
        <v>103</v>
      </c>
      <c r="E1406" s="28" t="s">
        <v>59</v>
      </c>
      <c r="F1406" s="29">
        <v>43402</v>
      </c>
      <c r="G1406" s="29">
        <v>43549</v>
      </c>
      <c r="H1406" s="30">
        <v>0.61111111111111105</v>
      </c>
      <c r="I1406" s="28" t="s">
        <v>39</v>
      </c>
      <c r="J1406" s="28" t="s">
        <v>787</v>
      </c>
      <c r="K1406" s="28" t="s">
        <v>45</v>
      </c>
      <c r="L1406" s="28"/>
      <c r="M1406" s="4" t="s">
        <v>600</v>
      </c>
    </row>
    <row r="1407" spans="1:13" x14ac:dyDescent="0.25">
      <c r="A1407" s="28" t="s">
        <v>1436</v>
      </c>
      <c r="B1407" s="28" t="s">
        <v>0</v>
      </c>
      <c r="C1407" s="28" t="s">
        <v>119</v>
      </c>
      <c r="D1407" s="28" t="s">
        <v>120</v>
      </c>
      <c r="E1407" s="28" t="s">
        <v>20</v>
      </c>
      <c r="F1407" s="29">
        <v>43411</v>
      </c>
      <c r="G1407" s="29">
        <v>43551</v>
      </c>
      <c r="H1407" s="30">
        <v>0.62152777777777779</v>
      </c>
      <c r="I1407" s="28" t="s">
        <v>14</v>
      </c>
      <c r="J1407" s="28" t="s">
        <v>1563</v>
      </c>
      <c r="K1407" s="28" t="s">
        <v>16</v>
      </c>
      <c r="L1407" s="28"/>
      <c r="M1407" s="4" t="s">
        <v>600</v>
      </c>
    </row>
    <row r="1408" spans="1:13" x14ac:dyDescent="0.25">
      <c r="A1408" s="28" t="s">
        <v>1436</v>
      </c>
      <c r="B1408" s="28" t="s">
        <v>0</v>
      </c>
      <c r="C1408" s="28" t="s">
        <v>119</v>
      </c>
      <c r="D1408" s="28" t="s">
        <v>120</v>
      </c>
      <c r="E1408" s="28" t="s">
        <v>18</v>
      </c>
      <c r="F1408" s="29">
        <v>43408</v>
      </c>
      <c r="G1408" s="29">
        <v>43548</v>
      </c>
      <c r="H1408" s="30">
        <v>0.63541666666666663</v>
      </c>
      <c r="I1408" s="28" t="s">
        <v>14</v>
      </c>
      <c r="J1408" s="28" t="s">
        <v>1564</v>
      </c>
      <c r="K1408" s="28" t="s">
        <v>16</v>
      </c>
      <c r="M1408" s="4" t="s">
        <v>600</v>
      </c>
    </row>
    <row r="1409" spans="1:13" x14ac:dyDescent="0.25">
      <c r="A1409" s="28" t="s">
        <v>1436</v>
      </c>
      <c r="B1409" s="28" t="s">
        <v>0</v>
      </c>
      <c r="C1409" s="28" t="s">
        <v>123</v>
      </c>
      <c r="D1409" s="28" t="s">
        <v>124</v>
      </c>
      <c r="E1409" s="28" t="s">
        <v>20</v>
      </c>
      <c r="F1409" s="29">
        <v>43509</v>
      </c>
      <c r="G1409" s="29">
        <v>43551</v>
      </c>
      <c r="H1409" s="30">
        <v>0.57291666666666663</v>
      </c>
      <c r="I1409" s="28" t="s">
        <v>39</v>
      </c>
      <c r="J1409" s="28" t="s">
        <v>788</v>
      </c>
      <c r="K1409" s="28" t="s">
        <v>45</v>
      </c>
      <c r="M1409" s="4" t="s">
        <v>600</v>
      </c>
    </row>
    <row r="1410" spans="1:13" x14ac:dyDescent="0.25">
      <c r="A1410" s="28" t="s">
        <v>1436</v>
      </c>
      <c r="B1410" s="28" t="s">
        <v>0</v>
      </c>
      <c r="C1410" s="28" t="s">
        <v>123</v>
      </c>
      <c r="D1410" s="28" t="s">
        <v>124</v>
      </c>
      <c r="E1410" s="28" t="s">
        <v>18</v>
      </c>
      <c r="F1410" s="29">
        <v>43506</v>
      </c>
      <c r="G1410" s="29">
        <v>43548</v>
      </c>
      <c r="H1410" s="30">
        <v>0.62152777777777779</v>
      </c>
      <c r="I1410" s="28">
        <v>320</v>
      </c>
      <c r="J1410" s="28" t="s">
        <v>788</v>
      </c>
      <c r="K1410" s="28" t="s">
        <v>45</v>
      </c>
      <c r="M1410" s="4" t="s">
        <v>600</v>
      </c>
    </row>
    <row r="1411" spans="1:13" x14ac:dyDescent="0.25">
      <c r="A1411" s="28" t="s">
        <v>1436</v>
      </c>
      <c r="B1411" s="28" t="s">
        <v>0</v>
      </c>
      <c r="C1411" s="28" t="s">
        <v>137</v>
      </c>
      <c r="D1411" s="28" t="s">
        <v>138</v>
      </c>
      <c r="E1411" s="28" t="s">
        <v>144</v>
      </c>
      <c r="F1411" s="29">
        <v>43401</v>
      </c>
      <c r="G1411" s="29">
        <v>43554</v>
      </c>
      <c r="H1411" s="30">
        <v>0.3611111111111111</v>
      </c>
      <c r="I1411" s="28" t="s">
        <v>139</v>
      </c>
      <c r="J1411" s="28" t="s">
        <v>789</v>
      </c>
      <c r="K1411" s="28" t="s">
        <v>25</v>
      </c>
      <c r="M1411" s="4" t="s">
        <v>600</v>
      </c>
    </row>
    <row r="1412" spans="1:13" x14ac:dyDescent="0.25">
      <c r="A1412" s="28" t="s">
        <v>1436</v>
      </c>
      <c r="B1412" s="28" t="s">
        <v>0</v>
      </c>
      <c r="C1412" s="28" t="s">
        <v>137</v>
      </c>
      <c r="D1412" s="28" t="s">
        <v>138</v>
      </c>
      <c r="E1412" s="28" t="s">
        <v>13</v>
      </c>
      <c r="F1412" s="29">
        <v>43405</v>
      </c>
      <c r="G1412" s="29">
        <v>43552</v>
      </c>
      <c r="H1412" s="30">
        <v>0.71875</v>
      </c>
      <c r="I1412" s="28" t="s">
        <v>139</v>
      </c>
      <c r="J1412" s="28" t="s">
        <v>791</v>
      </c>
      <c r="K1412" s="28" t="s">
        <v>25</v>
      </c>
      <c r="M1412" s="4" t="s">
        <v>600</v>
      </c>
    </row>
    <row r="1413" spans="1:13" x14ac:dyDescent="0.25">
      <c r="A1413" s="28" t="s">
        <v>1436</v>
      </c>
      <c r="B1413" s="28" t="s">
        <v>0</v>
      </c>
      <c r="C1413" s="28" t="s">
        <v>137</v>
      </c>
      <c r="D1413" s="28" t="s">
        <v>138</v>
      </c>
      <c r="E1413" s="28" t="s">
        <v>19</v>
      </c>
      <c r="F1413" s="29">
        <v>43403</v>
      </c>
      <c r="G1413" s="29">
        <v>43550</v>
      </c>
      <c r="H1413" s="30">
        <v>0.72222222222222221</v>
      </c>
      <c r="I1413" s="28" t="s">
        <v>139</v>
      </c>
      <c r="J1413" s="28" t="s">
        <v>791</v>
      </c>
      <c r="K1413" s="28" t="s">
        <v>25</v>
      </c>
      <c r="M1413" s="4" t="s">
        <v>600</v>
      </c>
    </row>
    <row r="1414" spans="1:13" x14ac:dyDescent="0.25">
      <c r="A1414" s="28" t="s">
        <v>1436</v>
      </c>
      <c r="B1414" s="28" t="s">
        <v>0</v>
      </c>
      <c r="C1414" s="28" t="s">
        <v>137</v>
      </c>
      <c r="D1414" s="28" t="s">
        <v>138</v>
      </c>
      <c r="E1414" s="28" t="s">
        <v>20</v>
      </c>
      <c r="F1414" s="29">
        <v>43460</v>
      </c>
      <c r="G1414" s="29">
        <v>43551</v>
      </c>
      <c r="H1414" s="30">
        <v>0.72222222222222221</v>
      </c>
      <c r="I1414" s="28" t="s">
        <v>139</v>
      </c>
      <c r="J1414" s="28" t="s">
        <v>791</v>
      </c>
      <c r="K1414" s="28" t="s">
        <v>25</v>
      </c>
      <c r="M1414" s="4" t="s">
        <v>600</v>
      </c>
    </row>
    <row r="1415" spans="1:13" x14ac:dyDescent="0.25">
      <c r="A1415" s="28" t="s">
        <v>1436</v>
      </c>
      <c r="B1415" s="28" t="s">
        <v>0</v>
      </c>
      <c r="C1415" s="28" t="s">
        <v>137</v>
      </c>
      <c r="D1415" s="28" t="s">
        <v>138</v>
      </c>
      <c r="E1415" s="28" t="s">
        <v>48</v>
      </c>
      <c r="F1415" s="29">
        <v>43406</v>
      </c>
      <c r="G1415" s="29">
        <v>43553</v>
      </c>
      <c r="H1415" s="30">
        <v>0.77083333333333337</v>
      </c>
      <c r="I1415" s="28" t="s">
        <v>139</v>
      </c>
      <c r="J1415" s="28" t="s">
        <v>790</v>
      </c>
      <c r="K1415" s="28" t="s">
        <v>25</v>
      </c>
      <c r="M1415" s="4" t="s">
        <v>600</v>
      </c>
    </row>
    <row r="1416" spans="1:13" x14ac:dyDescent="0.25">
      <c r="A1416" s="28" t="s">
        <v>1436</v>
      </c>
      <c r="B1416" s="28" t="s">
        <v>0</v>
      </c>
      <c r="C1416" s="28" t="s">
        <v>137</v>
      </c>
      <c r="D1416" s="28" t="s">
        <v>138</v>
      </c>
      <c r="E1416" s="28" t="s">
        <v>52</v>
      </c>
      <c r="F1416" s="29">
        <v>43477</v>
      </c>
      <c r="G1416" s="29">
        <v>43554</v>
      </c>
      <c r="H1416" s="30">
        <v>0.77083333333333337</v>
      </c>
      <c r="I1416" s="28" t="s">
        <v>139</v>
      </c>
      <c r="J1416" s="28" t="s">
        <v>790</v>
      </c>
      <c r="K1416" s="28" t="s">
        <v>25</v>
      </c>
      <c r="M1416" s="4" t="s">
        <v>600</v>
      </c>
    </row>
    <row r="1417" spans="1:13" x14ac:dyDescent="0.25">
      <c r="A1417" s="28" t="s">
        <v>1436</v>
      </c>
      <c r="B1417" s="28" t="s">
        <v>0</v>
      </c>
      <c r="C1417" s="28" t="s">
        <v>137</v>
      </c>
      <c r="D1417" s="28" t="s">
        <v>138</v>
      </c>
      <c r="E1417" s="28" t="s">
        <v>59</v>
      </c>
      <c r="F1417" s="29">
        <v>43402</v>
      </c>
      <c r="G1417" s="29">
        <v>43549</v>
      </c>
      <c r="H1417" s="30">
        <v>0.77777777777777779</v>
      </c>
      <c r="I1417" s="28" t="s">
        <v>139</v>
      </c>
      <c r="J1417" s="28" t="s">
        <v>791</v>
      </c>
      <c r="K1417" s="28" t="s">
        <v>25</v>
      </c>
      <c r="M1417" s="4" t="s">
        <v>600</v>
      </c>
    </row>
    <row r="1418" spans="1:13" x14ac:dyDescent="0.25">
      <c r="A1418" s="28" t="s">
        <v>1436</v>
      </c>
      <c r="B1418" s="28" t="s">
        <v>0</v>
      </c>
      <c r="C1418" s="28" t="s">
        <v>137</v>
      </c>
      <c r="D1418" s="28" t="s">
        <v>138</v>
      </c>
      <c r="E1418" s="28" t="s">
        <v>18</v>
      </c>
      <c r="F1418" s="29">
        <v>43478</v>
      </c>
      <c r="G1418" s="29">
        <v>43520</v>
      </c>
      <c r="H1418" s="30">
        <v>0.80208333333333337</v>
      </c>
      <c r="I1418" s="28" t="s">
        <v>139</v>
      </c>
      <c r="J1418" s="28" t="s">
        <v>791</v>
      </c>
      <c r="K1418" s="28" t="s">
        <v>25</v>
      </c>
      <c r="M1418" s="4" t="s">
        <v>600</v>
      </c>
    </row>
    <row r="1419" spans="1:13" x14ac:dyDescent="0.25">
      <c r="A1419" s="28" t="s">
        <v>1436</v>
      </c>
      <c r="B1419" s="28" t="s">
        <v>0</v>
      </c>
      <c r="C1419" s="28" t="s">
        <v>137</v>
      </c>
      <c r="D1419" s="28" t="s">
        <v>138</v>
      </c>
      <c r="E1419" s="28" t="s">
        <v>48</v>
      </c>
      <c r="F1419" s="29">
        <v>43448</v>
      </c>
      <c r="G1419" s="29">
        <v>43553</v>
      </c>
      <c r="H1419" s="30">
        <v>0.81944444444444453</v>
      </c>
      <c r="I1419" s="28" t="s">
        <v>139</v>
      </c>
      <c r="J1419" s="28" t="s">
        <v>791</v>
      </c>
      <c r="K1419" s="28" t="s">
        <v>25</v>
      </c>
      <c r="M1419" s="4" t="s">
        <v>600</v>
      </c>
    </row>
    <row r="1420" spans="1:13" x14ac:dyDescent="0.25">
      <c r="A1420" s="28" t="s">
        <v>1436</v>
      </c>
      <c r="B1420" s="28" t="s">
        <v>0</v>
      </c>
      <c r="C1420" s="28" t="s">
        <v>137</v>
      </c>
      <c r="D1420" s="28" t="s">
        <v>138</v>
      </c>
      <c r="E1420" s="28" t="s">
        <v>755</v>
      </c>
      <c r="F1420" s="29">
        <v>43402</v>
      </c>
      <c r="G1420" s="29">
        <v>43554</v>
      </c>
      <c r="H1420" s="30">
        <v>0.88541666666666663</v>
      </c>
      <c r="I1420" s="28" t="s">
        <v>139</v>
      </c>
      <c r="J1420" s="28" t="s">
        <v>792</v>
      </c>
      <c r="K1420" s="28" t="s">
        <v>25</v>
      </c>
      <c r="M1420" s="4" t="s">
        <v>600</v>
      </c>
    </row>
    <row r="1421" spans="1:13" x14ac:dyDescent="0.25">
      <c r="A1421" s="28" t="s">
        <v>1436</v>
      </c>
      <c r="B1421" s="28" t="s">
        <v>0</v>
      </c>
      <c r="C1421" s="28" t="s">
        <v>137</v>
      </c>
      <c r="D1421" s="28" t="s">
        <v>138</v>
      </c>
      <c r="E1421" s="28" t="s">
        <v>13</v>
      </c>
      <c r="F1421" s="29">
        <v>43447</v>
      </c>
      <c r="G1421" s="29">
        <v>43552</v>
      </c>
      <c r="H1421" s="30">
        <v>0.88541666666666663</v>
      </c>
      <c r="I1421" s="28" t="s">
        <v>139</v>
      </c>
      <c r="J1421" s="28" t="s">
        <v>792</v>
      </c>
      <c r="K1421" s="28" t="s">
        <v>25</v>
      </c>
      <c r="M1421" s="4" t="s">
        <v>600</v>
      </c>
    </row>
    <row r="1422" spans="1:13" x14ac:dyDescent="0.25">
      <c r="A1422" s="28" t="s">
        <v>1436</v>
      </c>
      <c r="B1422" s="28" t="s">
        <v>0</v>
      </c>
      <c r="C1422" s="28" t="s">
        <v>137</v>
      </c>
      <c r="D1422" s="28" t="s">
        <v>138</v>
      </c>
      <c r="E1422" s="28" t="s">
        <v>20</v>
      </c>
      <c r="F1422" s="29">
        <v>43474</v>
      </c>
      <c r="G1422" s="29">
        <v>43523</v>
      </c>
      <c r="H1422" s="30">
        <v>0.88541666666666663</v>
      </c>
      <c r="I1422" s="28" t="s">
        <v>139</v>
      </c>
      <c r="J1422" s="28" t="s">
        <v>792</v>
      </c>
      <c r="K1422" s="28" t="s">
        <v>25</v>
      </c>
      <c r="M1422" s="4" t="s">
        <v>600</v>
      </c>
    </row>
    <row r="1423" spans="1:13" x14ac:dyDescent="0.25">
      <c r="A1423" s="28" t="s">
        <v>1436</v>
      </c>
      <c r="B1423" s="28" t="s">
        <v>0</v>
      </c>
      <c r="C1423" s="28" t="s">
        <v>137</v>
      </c>
      <c r="D1423" s="28" t="s">
        <v>138</v>
      </c>
      <c r="E1423" s="28" t="s">
        <v>48</v>
      </c>
      <c r="F1423" s="29">
        <v>43455</v>
      </c>
      <c r="G1423" s="29">
        <v>43553</v>
      </c>
      <c r="H1423" s="30">
        <v>0.88888888888888884</v>
      </c>
      <c r="I1423" s="28" t="s">
        <v>141</v>
      </c>
      <c r="J1423" s="28" t="s">
        <v>792</v>
      </c>
      <c r="K1423" s="28" t="s">
        <v>25</v>
      </c>
      <c r="M1423" s="4" t="s">
        <v>600</v>
      </c>
    </row>
    <row r="1424" spans="1:13" x14ac:dyDescent="0.25">
      <c r="A1424" s="28" t="s">
        <v>1436</v>
      </c>
      <c r="B1424" s="28" t="s">
        <v>0</v>
      </c>
      <c r="C1424" s="28" t="s">
        <v>137</v>
      </c>
      <c r="D1424" s="28" t="s">
        <v>138</v>
      </c>
      <c r="E1424" s="28" t="s">
        <v>18</v>
      </c>
      <c r="F1424" s="29">
        <v>43478</v>
      </c>
      <c r="G1424" s="29">
        <v>43520</v>
      </c>
      <c r="H1424" s="30">
        <v>0.89236111111111116</v>
      </c>
      <c r="I1424" s="28" t="s">
        <v>141</v>
      </c>
      <c r="J1424" s="28" t="s">
        <v>792</v>
      </c>
      <c r="K1424" s="28" t="s">
        <v>25</v>
      </c>
      <c r="M1424" s="4" t="s">
        <v>600</v>
      </c>
    </row>
    <row r="1425" spans="1:13" x14ac:dyDescent="0.25">
      <c r="A1425" s="28" t="s">
        <v>1436</v>
      </c>
      <c r="B1425" s="28" t="s">
        <v>0</v>
      </c>
      <c r="C1425" s="28" t="s">
        <v>177</v>
      </c>
      <c r="D1425" s="28" t="s">
        <v>178</v>
      </c>
      <c r="E1425" s="28" t="s">
        <v>22</v>
      </c>
      <c r="F1425" s="29">
        <v>43407</v>
      </c>
      <c r="G1425" s="29">
        <v>43554</v>
      </c>
      <c r="H1425" s="30">
        <v>0.53819444444444442</v>
      </c>
      <c r="I1425" s="28">
        <v>319</v>
      </c>
      <c r="J1425" s="28" t="s">
        <v>1620</v>
      </c>
      <c r="K1425" s="28" t="s">
        <v>45</v>
      </c>
      <c r="M1425" s="4" t="s">
        <v>600</v>
      </c>
    </row>
    <row r="1426" spans="1:13" x14ac:dyDescent="0.25">
      <c r="A1426" s="28" t="s">
        <v>1436</v>
      </c>
      <c r="B1426" s="28" t="s">
        <v>0</v>
      </c>
      <c r="C1426" s="28" t="s">
        <v>177</v>
      </c>
      <c r="D1426" s="28" t="s">
        <v>178</v>
      </c>
      <c r="E1426" s="28" t="s">
        <v>22</v>
      </c>
      <c r="F1426" s="29">
        <v>43498</v>
      </c>
      <c r="G1426" s="29">
        <v>43519</v>
      </c>
      <c r="H1426" s="30">
        <v>0.55902777777777779</v>
      </c>
      <c r="I1426" s="28" t="s">
        <v>352</v>
      </c>
      <c r="J1426" s="28" t="s">
        <v>1621</v>
      </c>
      <c r="K1426" s="28" t="s">
        <v>45</v>
      </c>
      <c r="M1426" s="4" t="s">
        <v>600</v>
      </c>
    </row>
    <row r="1427" spans="1:13" x14ac:dyDescent="0.25">
      <c r="A1427" s="28" t="s">
        <v>1436</v>
      </c>
      <c r="B1427" s="28" t="s">
        <v>0</v>
      </c>
      <c r="C1427" s="28" t="s">
        <v>177</v>
      </c>
      <c r="D1427" s="28" t="s">
        <v>178</v>
      </c>
      <c r="E1427" s="28" t="s">
        <v>19</v>
      </c>
      <c r="F1427" s="29">
        <v>43410</v>
      </c>
      <c r="G1427" s="29">
        <v>43508</v>
      </c>
      <c r="H1427" s="30">
        <v>0.625</v>
      </c>
      <c r="I1427" s="28" t="s">
        <v>104</v>
      </c>
      <c r="J1427" s="28" t="s">
        <v>1622</v>
      </c>
      <c r="K1427" s="28" t="s">
        <v>45</v>
      </c>
      <c r="M1427" s="4" t="s">
        <v>600</v>
      </c>
    </row>
    <row r="1428" spans="1:13" x14ac:dyDescent="0.25">
      <c r="A1428" s="28" t="s">
        <v>1436</v>
      </c>
      <c r="B1428" s="28" t="s">
        <v>0</v>
      </c>
      <c r="C1428" s="28" t="s">
        <v>180</v>
      </c>
      <c r="D1428" s="28" t="s">
        <v>181</v>
      </c>
      <c r="E1428" s="28" t="s">
        <v>59</v>
      </c>
      <c r="F1428" s="29">
        <v>43409</v>
      </c>
      <c r="G1428" s="29">
        <v>43549</v>
      </c>
      <c r="H1428" s="30">
        <v>0.625</v>
      </c>
      <c r="I1428" s="28">
        <v>320</v>
      </c>
      <c r="J1428" s="28" t="s">
        <v>793</v>
      </c>
      <c r="K1428" s="28" t="s">
        <v>45</v>
      </c>
      <c r="M1428" s="4" t="s">
        <v>600</v>
      </c>
    </row>
    <row r="1429" spans="1:13" x14ac:dyDescent="0.25">
      <c r="A1429" s="28" t="s">
        <v>1436</v>
      </c>
      <c r="B1429" s="28" t="s">
        <v>0</v>
      </c>
      <c r="C1429" s="28" t="s">
        <v>208</v>
      </c>
      <c r="D1429" s="28" t="s">
        <v>209</v>
      </c>
      <c r="E1429" s="28" t="s">
        <v>22</v>
      </c>
      <c r="F1429" s="29">
        <v>43421</v>
      </c>
      <c r="G1429" s="29">
        <v>43554</v>
      </c>
      <c r="H1429" s="30">
        <v>0.53472222222222221</v>
      </c>
      <c r="I1429" s="28">
        <v>320</v>
      </c>
      <c r="J1429" s="28" t="s">
        <v>794</v>
      </c>
      <c r="K1429" s="28" t="s">
        <v>38</v>
      </c>
      <c r="M1429" s="4" t="s">
        <v>600</v>
      </c>
    </row>
    <row r="1430" spans="1:13" x14ac:dyDescent="0.25">
      <c r="A1430" s="28" t="s">
        <v>1436</v>
      </c>
      <c r="B1430" s="28" t="s">
        <v>0</v>
      </c>
      <c r="C1430" s="28" t="s">
        <v>208</v>
      </c>
      <c r="D1430" s="28" t="s">
        <v>209</v>
      </c>
      <c r="E1430" s="28" t="s">
        <v>19</v>
      </c>
      <c r="F1430" s="29">
        <v>43466</v>
      </c>
      <c r="G1430" s="29">
        <v>43550</v>
      </c>
      <c r="H1430" s="30">
        <v>0.60416666666666663</v>
      </c>
      <c r="I1430" s="28">
        <v>320</v>
      </c>
      <c r="J1430" s="28" t="s">
        <v>794</v>
      </c>
      <c r="K1430" s="28" t="s">
        <v>38</v>
      </c>
      <c r="M1430" s="4" t="s">
        <v>600</v>
      </c>
    </row>
    <row r="1431" spans="1:13" x14ac:dyDescent="0.25">
      <c r="A1431" s="28" t="s">
        <v>1436</v>
      </c>
      <c r="B1431" s="28" t="s">
        <v>0</v>
      </c>
      <c r="C1431" s="28" t="s">
        <v>222</v>
      </c>
      <c r="D1431" s="28" t="s">
        <v>223</v>
      </c>
      <c r="E1431" s="28" t="s">
        <v>144</v>
      </c>
      <c r="F1431" s="29">
        <v>43401</v>
      </c>
      <c r="G1431" s="29">
        <v>43554</v>
      </c>
      <c r="H1431" s="30">
        <v>0.60069444444444442</v>
      </c>
      <c r="I1431" s="28">
        <v>320</v>
      </c>
      <c r="J1431" s="28" t="s">
        <v>796</v>
      </c>
      <c r="K1431" s="28" t="s">
        <v>25</v>
      </c>
      <c r="M1431" s="4" t="s">
        <v>600</v>
      </c>
    </row>
    <row r="1432" spans="1:13" x14ac:dyDescent="0.25">
      <c r="A1432" s="28" t="s">
        <v>1436</v>
      </c>
      <c r="B1432" s="28" t="s">
        <v>0</v>
      </c>
      <c r="C1432" s="28" t="s">
        <v>246</v>
      </c>
      <c r="D1432" s="28" t="s">
        <v>247</v>
      </c>
      <c r="E1432" s="28" t="s">
        <v>20</v>
      </c>
      <c r="F1432" s="29">
        <v>43404</v>
      </c>
      <c r="G1432" s="29">
        <v>43551</v>
      </c>
      <c r="H1432" s="30">
        <v>0.60416666666666663</v>
      </c>
      <c r="I1432" s="28">
        <v>320</v>
      </c>
      <c r="J1432" s="28" t="s">
        <v>797</v>
      </c>
      <c r="K1432" s="28" t="s">
        <v>45</v>
      </c>
      <c r="M1432" s="4" t="s">
        <v>600</v>
      </c>
    </row>
    <row r="1433" spans="1:13" x14ac:dyDescent="0.25">
      <c r="A1433" s="28" t="s">
        <v>1436</v>
      </c>
      <c r="B1433" s="28" t="s">
        <v>0</v>
      </c>
      <c r="C1433" s="28" t="s">
        <v>258</v>
      </c>
      <c r="D1433" s="28" t="s">
        <v>259</v>
      </c>
      <c r="E1433" s="28" t="s">
        <v>20</v>
      </c>
      <c r="F1433" s="29">
        <v>43502</v>
      </c>
      <c r="G1433" s="29">
        <v>43551</v>
      </c>
      <c r="H1433" s="30">
        <v>0.66666666666666663</v>
      </c>
      <c r="I1433" s="28">
        <v>319</v>
      </c>
      <c r="J1433" s="28" t="s">
        <v>1623</v>
      </c>
      <c r="K1433" s="28" t="s">
        <v>45</v>
      </c>
      <c r="M1433" s="4" t="s">
        <v>600</v>
      </c>
    </row>
    <row r="1434" spans="1:13" x14ac:dyDescent="0.25">
      <c r="A1434" s="28" t="s">
        <v>1436</v>
      </c>
      <c r="B1434" s="28" t="s">
        <v>0</v>
      </c>
      <c r="C1434" s="28" t="s">
        <v>289</v>
      </c>
      <c r="D1434" s="28" t="s">
        <v>290</v>
      </c>
      <c r="E1434" s="28" t="s">
        <v>22</v>
      </c>
      <c r="F1434" s="29">
        <v>43407</v>
      </c>
      <c r="G1434" s="29">
        <v>43554</v>
      </c>
      <c r="H1434" s="30">
        <v>0.51736111111111105</v>
      </c>
      <c r="I1434" s="28" t="s">
        <v>352</v>
      </c>
      <c r="J1434" s="28" t="s">
        <v>1624</v>
      </c>
      <c r="K1434" s="28" t="s">
        <v>45</v>
      </c>
      <c r="M1434" s="4" t="s">
        <v>600</v>
      </c>
    </row>
    <row r="1435" spans="1:13" x14ac:dyDescent="0.25">
      <c r="A1435" s="28" t="s">
        <v>1436</v>
      </c>
      <c r="B1435" s="28" t="s">
        <v>0</v>
      </c>
      <c r="C1435" s="28" t="s">
        <v>289</v>
      </c>
      <c r="D1435" s="28" t="s">
        <v>290</v>
      </c>
      <c r="E1435" s="28" t="s">
        <v>19</v>
      </c>
      <c r="F1435" s="29">
        <v>43403</v>
      </c>
      <c r="G1435" s="29">
        <v>43550</v>
      </c>
      <c r="H1435" s="30">
        <v>0.64583333333333337</v>
      </c>
      <c r="I1435" s="28">
        <v>320</v>
      </c>
      <c r="J1435" s="28" t="s">
        <v>798</v>
      </c>
      <c r="K1435" s="28" t="s">
        <v>45</v>
      </c>
      <c r="M1435" s="4" t="s">
        <v>600</v>
      </c>
    </row>
    <row r="1436" spans="1:13" x14ac:dyDescent="0.25">
      <c r="A1436" s="28" t="s">
        <v>1436</v>
      </c>
      <c r="B1436" s="28" t="s">
        <v>0</v>
      </c>
      <c r="C1436" s="28" t="s">
        <v>292</v>
      </c>
      <c r="D1436" s="28" t="s">
        <v>293</v>
      </c>
      <c r="E1436" s="28" t="s">
        <v>20</v>
      </c>
      <c r="F1436" s="29">
        <v>43404</v>
      </c>
      <c r="G1436" s="29">
        <v>43551</v>
      </c>
      <c r="H1436" s="30">
        <v>0.33333333333333331</v>
      </c>
      <c r="I1436" s="28" t="s">
        <v>139</v>
      </c>
      <c r="J1436" s="28" t="s">
        <v>799</v>
      </c>
      <c r="K1436" s="28" t="s">
        <v>25</v>
      </c>
      <c r="M1436" s="4" t="s">
        <v>600</v>
      </c>
    </row>
    <row r="1437" spans="1:13" x14ac:dyDescent="0.25">
      <c r="A1437" s="28" t="s">
        <v>1436</v>
      </c>
      <c r="B1437" s="28" t="s">
        <v>0</v>
      </c>
      <c r="C1437" s="28" t="s">
        <v>292</v>
      </c>
      <c r="D1437" s="28" t="s">
        <v>293</v>
      </c>
      <c r="E1437" s="28" t="s">
        <v>22</v>
      </c>
      <c r="F1437" s="29">
        <v>43407</v>
      </c>
      <c r="G1437" s="29">
        <v>43519</v>
      </c>
      <c r="H1437" s="30">
        <v>0.33333333333333331</v>
      </c>
      <c r="I1437" s="28" t="s">
        <v>139</v>
      </c>
      <c r="J1437" s="28" t="s">
        <v>799</v>
      </c>
      <c r="K1437" s="28" t="s">
        <v>25</v>
      </c>
      <c r="M1437" s="4" t="s">
        <v>600</v>
      </c>
    </row>
    <row r="1438" spans="1:13" x14ac:dyDescent="0.25">
      <c r="A1438" s="28" t="s">
        <v>1436</v>
      </c>
      <c r="B1438" s="28" t="s">
        <v>0</v>
      </c>
      <c r="C1438" s="28" t="s">
        <v>292</v>
      </c>
      <c r="D1438" s="28" t="s">
        <v>293</v>
      </c>
      <c r="E1438" s="28" t="s">
        <v>1847</v>
      </c>
      <c r="F1438" s="29">
        <v>43473</v>
      </c>
      <c r="G1438" s="29">
        <v>43552</v>
      </c>
      <c r="H1438" s="30">
        <v>0.33333333333333331</v>
      </c>
      <c r="I1438" s="28" t="s">
        <v>139</v>
      </c>
      <c r="J1438" s="28" t="s">
        <v>799</v>
      </c>
      <c r="K1438" s="28" t="s">
        <v>25</v>
      </c>
      <c r="M1438" s="4" t="s">
        <v>600</v>
      </c>
    </row>
    <row r="1439" spans="1:13" x14ac:dyDescent="0.25">
      <c r="A1439" s="28" t="s">
        <v>1436</v>
      </c>
      <c r="B1439" s="28" t="s">
        <v>0</v>
      </c>
      <c r="C1439" s="28" t="s">
        <v>292</v>
      </c>
      <c r="D1439" s="28" t="s">
        <v>293</v>
      </c>
      <c r="E1439" s="28" t="s">
        <v>48</v>
      </c>
      <c r="F1439" s="29">
        <v>43504</v>
      </c>
      <c r="G1439" s="29">
        <v>43518</v>
      </c>
      <c r="H1439" s="30">
        <v>0.33333333333333331</v>
      </c>
      <c r="I1439" s="28" t="s">
        <v>139</v>
      </c>
      <c r="J1439" s="28" t="s">
        <v>799</v>
      </c>
      <c r="K1439" s="28" t="s">
        <v>25</v>
      </c>
      <c r="M1439" s="4" t="s">
        <v>600</v>
      </c>
    </row>
    <row r="1440" spans="1:13" x14ac:dyDescent="0.25">
      <c r="A1440" s="28" t="s">
        <v>1436</v>
      </c>
      <c r="B1440" s="28" t="s">
        <v>0</v>
      </c>
      <c r="C1440" s="28" t="s">
        <v>292</v>
      </c>
      <c r="D1440" s="28" t="s">
        <v>293</v>
      </c>
      <c r="E1440" s="28" t="s">
        <v>144</v>
      </c>
      <c r="F1440" s="29">
        <v>43401</v>
      </c>
      <c r="G1440" s="29">
        <v>43554</v>
      </c>
      <c r="H1440" s="30">
        <v>0.35416666666666669</v>
      </c>
      <c r="I1440" s="28" t="s">
        <v>139</v>
      </c>
      <c r="J1440" s="28" t="s">
        <v>800</v>
      </c>
      <c r="K1440" s="28" t="s">
        <v>25</v>
      </c>
      <c r="M1440" s="4" t="s">
        <v>600</v>
      </c>
    </row>
    <row r="1441" spans="1:13" x14ac:dyDescent="0.25">
      <c r="A1441" s="28" t="s">
        <v>1436</v>
      </c>
      <c r="B1441" s="28" t="s">
        <v>0</v>
      </c>
      <c r="C1441" s="28" t="s">
        <v>292</v>
      </c>
      <c r="D1441" s="28" t="s">
        <v>293</v>
      </c>
      <c r="E1441" s="28" t="s">
        <v>144</v>
      </c>
      <c r="F1441" s="29">
        <v>43401</v>
      </c>
      <c r="G1441" s="29">
        <v>43554</v>
      </c>
      <c r="H1441" s="30">
        <v>0.36805555555555558</v>
      </c>
      <c r="I1441" s="28" t="s">
        <v>139</v>
      </c>
      <c r="J1441" s="28" t="s">
        <v>801</v>
      </c>
      <c r="K1441" s="28" t="s">
        <v>25</v>
      </c>
      <c r="M1441" s="4" t="s">
        <v>600</v>
      </c>
    </row>
    <row r="1442" spans="1:13" x14ac:dyDescent="0.25">
      <c r="A1442" s="28" t="s">
        <v>1436</v>
      </c>
      <c r="B1442" s="28" t="s">
        <v>0</v>
      </c>
      <c r="C1442" s="28" t="s">
        <v>292</v>
      </c>
      <c r="D1442" s="28" t="s">
        <v>293</v>
      </c>
      <c r="E1442" s="28" t="s">
        <v>805</v>
      </c>
      <c r="F1442" s="29">
        <v>43404</v>
      </c>
      <c r="G1442" s="29">
        <v>43553</v>
      </c>
      <c r="H1442" s="30">
        <v>0.375</v>
      </c>
      <c r="I1442" s="28" t="s">
        <v>139</v>
      </c>
      <c r="J1442" s="28" t="s">
        <v>803</v>
      </c>
      <c r="K1442" s="28" t="s">
        <v>25</v>
      </c>
      <c r="M1442" s="4" t="s">
        <v>600</v>
      </c>
    </row>
    <row r="1443" spans="1:13" x14ac:dyDescent="0.25">
      <c r="A1443" s="28" t="s">
        <v>1436</v>
      </c>
      <c r="B1443" s="28" t="s">
        <v>0</v>
      </c>
      <c r="C1443" s="28" t="s">
        <v>292</v>
      </c>
      <c r="D1443" s="28" t="s">
        <v>293</v>
      </c>
      <c r="E1443" s="28" t="s">
        <v>755</v>
      </c>
      <c r="F1443" s="29">
        <v>43472</v>
      </c>
      <c r="G1443" s="29">
        <v>43554</v>
      </c>
      <c r="H1443" s="30">
        <v>0.375</v>
      </c>
      <c r="I1443" s="28" t="s">
        <v>139</v>
      </c>
      <c r="J1443" s="28" t="s">
        <v>803</v>
      </c>
      <c r="K1443" s="28" t="s">
        <v>25</v>
      </c>
      <c r="M1443" s="4" t="s">
        <v>600</v>
      </c>
    </row>
    <row r="1444" spans="1:13" x14ac:dyDescent="0.25">
      <c r="A1444" s="28" t="s">
        <v>1436</v>
      </c>
      <c r="B1444" s="28" t="s">
        <v>0</v>
      </c>
      <c r="C1444" s="28" t="s">
        <v>292</v>
      </c>
      <c r="D1444" s="28" t="s">
        <v>293</v>
      </c>
      <c r="E1444" s="28" t="s">
        <v>18</v>
      </c>
      <c r="F1444" s="29">
        <v>43478</v>
      </c>
      <c r="G1444" s="29">
        <v>43520</v>
      </c>
      <c r="H1444" s="30">
        <v>0.375</v>
      </c>
      <c r="I1444" s="28" t="s">
        <v>139</v>
      </c>
      <c r="J1444" s="28" t="s">
        <v>803</v>
      </c>
      <c r="K1444" s="28" t="s">
        <v>25</v>
      </c>
      <c r="M1444" s="4" t="s">
        <v>600</v>
      </c>
    </row>
    <row r="1445" spans="1:13" x14ac:dyDescent="0.25">
      <c r="A1445" s="28" t="s">
        <v>1436</v>
      </c>
      <c r="B1445" s="28" t="s">
        <v>0</v>
      </c>
      <c r="C1445" s="28" t="s">
        <v>292</v>
      </c>
      <c r="D1445" s="28" t="s">
        <v>293</v>
      </c>
      <c r="E1445" s="28" t="s">
        <v>393</v>
      </c>
      <c r="F1445" s="29">
        <v>43472</v>
      </c>
      <c r="G1445" s="29">
        <v>43554</v>
      </c>
      <c r="H1445" s="30">
        <v>0.39583333333333331</v>
      </c>
      <c r="I1445" s="28" t="s">
        <v>139</v>
      </c>
      <c r="J1445" s="28" t="s">
        <v>804</v>
      </c>
      <c r="K1445" s="28" t="s">
        <v>25</v>
      </c>
      <c r="M1445" s="4" t="s">
        <v>600</v>
      </c>
    </row>
    <row r="1446" spans="1:13" x14ac:dyDescent="0.25">
      <c r="A1446" s="28" t="s">
        <v>1436</v>
      </c>
      <c r="B1446" s="28" t="s">
        <v>0</v>
      </c>
      <c r="C1446" s="28" t="s">
        <v>292</v>
      </c>
      <c r="D1446" s="28" t="s">
        <v>293</v>
      </c>
      <c r="E1446" s="28" t="s">
        <v>19</v>
      </c>
      <c r="F1446" s="29">
        <v>43473</v>
      </c>
      <c r="G1446" s="29">
        <v>43522</v>
      </c>
      <c r="H1446" s="30">
        <v>0.39583333333333331</v>
      </c>
      <c r="I1446" s="28" t="s">
        <v>139</v>
      </c>
      <c r="J1446" s="28" t="s">
        <v>804</v>
      </c>
      <c r="K1446" s="28" t="s">
        <v>25</v>
      </c>
      <c r="M1446" s="4" t="s">
        <v>600</v>
      </c>
    </row>
    <row r="1447" spans="1:13" x14ac:dyDescent="0.25">
      <c r="A1447" s="28" t="s">
        <v>1436</v>
      </c>
      <c r="B1447" s="28" t="s">
        <v>0</v>
      </c>
      <c r="C1447" s="28" t="s">
        <v>292</v>
      </c>
      <c r="D1447" s="28" t="s">
        <v>293</v>
      </c>
      <c r="E1447" s="28" t="s">
        <v>672</v>
      </c>
      <c r="F1447" s="29">
        <v>43402</v>
      </c>
      <c r="G1447" s="29">
        <v>43554</v>
      </c>
      <c r="H1447" s="30">
        <v>0.41666666666666669</v>
      </c>
      <c r="I1447" s="28" t="s">
        <v>139</v>
      </c>
      <c r="J1447" s="28" t="s">
        <v>806</v>
      </c>
      <c r="K1447" s="28" t="s">
        <v>25</v>
      </c>
      <c r="M1447" s="4" t="s">
        <v>600</v>
      </c>
    </row>
    <row r="1448" spans="1:13" x14ac:dyDescent="0.25">
      <c r="A1448" s="28" t="s">
        <v>1436</v>
      </c>
      <c r="B1448" s="28" t="s">
        <v>0</v>
      </c>
      <c r="C1448" s="28" t="s">
        <v>292</v>
      </c>
      <c r="D1448" s="28" t="s">
        <v>293</v>
      </c>
      <c r="E1448" s="28" t="s">
        <v>19</v>
      </c>
      <c r="F1448" s="29">
        <v>43466</v>
      </c>
      <c r="G1448" s="29">
        <v>43550</v>
      </c>
      <c r="H1448" s="30">
        <v>0.41666666666666669</v>
      </c>
      <c r="I1448" s="28" t="s">
        <v>139</v>
      </c>
      <c r="J1448" s="28" t="s">
        <v>806</v>
      </c>
      <c r="K1448" s="28" t="s">
        <v>25</v>
      </c>
      <c r="M1448" s="4" t="s">
        <v>600</v>
      </c>
    </row>
    <row r="1449" spans="1:13" x14ac:dyDescent="0.25">
      <c r="A1449" s="28" t="s">
        <v>1436</v>
      </c>
      <c r="B1449" s="28" t="s">
        <v>0</v>
      </c>
      <c r="C1449" s="28" t="s">
        <v>292</v>
      </c>
      <c r="D1449" s="28" t="s">
        <v>293</v>
      </c>
      <c r="E1449" s="28" t="s">
        <v>228</v>
      </c>
      <c r="F1449" s="29">
        <v>43468</v>
      </c>
      <c r="G1449" s="29">
        <v>43552</v>
      </c>
      <c r="H1449" s="30">
        <v>0.41666666666666669</v>
      </c>
      <c r="I1449" s="28" t="s">
        <v>139</v>
      </c>
      <c r="J1449" s="28" t="s">
        <v>806</v>
      </c>
      <c r="K1449" s="28" t="s">
        <v>25</v>
      </c>
      <c r="M1449" s="4" t="s">
        <v>600</v>
      </c>
    </row>
    <row r="1450" spans="1:13" x14ac:dyDescent="0.25">
      <c r="A1450" s="28" t="s">
        <v>1436</v>
      </c>
      <c r="B1450" s="28" t="s">
        <v>0</v>
      </c>
      <c r="C1450" s="28" t="s">
        <v>292</v>
      </c>
      <c r="D1450" s="28" t="s">
        <v>293</v>
      </c>
      <c r="E1450" s="28" t="s">
        <v>48</v>
      </c>
      <c r="F1450" s="29">
        <v>43511</v>
      </c>
      <c r="G1450" s="29">
        <v>43553</v>
      </c>
      <c r="H1450" s="30">
        <v>0.41666666666666669</v>
      </c>
      <c r="I1450" s="28" t="s">
        <v>139</v>
      </c>
      <c r="J1450" s="28" t="s">
        <v>806</v>
      </c>
      <c r="K1450" s="28" t="s">
        <v>25</v>
      </c>
      <c r="M1450" s="4" t="s">
        <v>600</v>
      </c>
    </row>
    <row r="1451" spans="1:13" x14ac:dyDescent="0.25">
      <c r="A1451" s="28" t="s">
        <v>1436</v>
      </c>
      <c r="B1451" s="28" t="s">
        <v>0</v>
      </c>
      <c r="C1451" s="28" t="s">
        <v>292</v>
      </c>
      <c r="D1451" s="28" t="s">
        <v>293</v>
      </c>
      <c r="E1451" s="28" t="s">
        <v>144</v>
      </c>
      <c r="F1451" s="29">
        <v>43401</v>
      </c>
      <c r="G1451" s="29">
        <v>43554</v>
      </c>
      <c r="H1451" s="30">
        <v>0.44444444444444442</v>
      </c>
      <c r="I1451" s="28" t="s">
        <v>139</v>
      </c>
      <c r="J1451" s="28" t="s">
        <v>807</v>
      </c>
      <c r="K1451" s="28" t="s">
        <v>25</v>
      </c>
      <c r="M1451" s="4" t="s">
        <v>600</v>
      </c>
    </row>
    <row r="1452" spans="1:13" x14ac:dyDescent="0.25">
      <c r="A1452" s="28" t="s">
        <v>1436</v>
      </c>
      <c r="B1452" s="28" t="s">
        <v>0</v>
      </c>
      <c r="C1452" s="28" t="s">
        <v>292</v>
      </c>
      <c r="D1452" s="28" t="s">
        <v>293</v>
      </c>
      <c r="E1452" s="28" t="s">
        <v>163</v>
      </c>
      <c r="F1452" s="29">
        <v>43402</v>
      </c>
      <c r="G1452" s="29">
        <v>43552</v>
      </c>
      <c r="H1452" s="30">
        <v>0.45833333333333331</v>
      </c>
      <c r="I1452" s="28" t="s">
        <v>139</v>
      </c>
      <c r="J1452" s="28" t="s">
        <v>809</v>
      </c>
      <c r="K1452" s="28" t="s">
        <v>25</v>
      </c>
      <c r="M1452" s="4" t="s">
        <v>600</v>
      </c>
    </row>
    <row r="1453" spans="1:13" x14ac:dyDescent="0.25">
      <c r="A1453" s="28" t="s">
        <v>1436</v>
      </c>
      <c r="B1453" s="28" t="s">
        <v>0</v>
      </c>
      <c r="C1453" s="28" t="s">
        <v>292</v>
      </c>
      <c r="D1453" s="28" t="s">
        <v>293</v>
      </c>
      <c r="E1453" s="28" t="s">
        <v>48</v>
      </c>
      <c r="F1453" s="29">
        <v>43406</v>
      </c>
      <c r="G1453" s="29">
        <v>43553</v>
      </c>
      <c r="H1453" s="30">
        <v>0.45833333333333331</v>
      </c>
      <c r="I1453" s="28" t="s">
        <v>139</v>
      </c>
      <c r="J1453" s="28" t="s">
        <v>808</v>
      </c>
      <c r="K1453" s="28" t="s">
        <v>25</v>
      </c>
      <c r="M1453" s="4" t="s">
        <v>600</v>
      </c>
    </row>
    <row r="1454" spans="1:13" x14ac:dyDescent="0.25">
      <c r="A1454" s="28" t="s">
        <v>1436</v>
      </c>
      <c r="B1454" s="28" t="s">
        <v>0</v>
      </c>
      <c r="C1454" s="28" t="s">
        <v>292</v>
      </c>
      <c r="D1454" s="28" t="s">
        <v>293</v>
      </c>
      <c r="E1454" s="28" t="s">
        <v>19</v>
      </c>
      <c r="F1454" s="29">
        <v>43466</v>
      </c>
      <c r="G1454" s="29">
        <v>43550</v>
      </c>
      <c r="H1454" s="30">
        <v>0.45833333333333331</v>
      </c>
      <c r="I1454" s="28" t="s">
        <v>139</v>
      </c>
      <c r="J1454" s="28" t="s">
        <v>809</v>
      </c>
      <c r="K1454" s="28" t="s">
        <v>25</v>
      </c>
      <c r="M1454" s="4" t="s">
        <v>600</v>
      </c>
    </row>
    <row r="1455" spans="1:13" x14ac:dyDescent="0.25">
      <c r="A1455" s="28" t="s">
        <v>1436</v>
      </c>
      <c r="B1455" s="28" t="s">
        <v>0</v>
      </c>
      <c r="C1455" s="28" t="s">
        <v>292</v>
      </c>
      <c r="D1455" s="28" t="s">
        <v>293</v>
      </c>
      <c r="E1455" s="28" t="s">
        <v>22</v>
      </c>
      <c r="F1455" s="29">
        <v>43477</v>
      </c>
      <c r="G1455" s="29">
        <v>43519</v>
      </c>
      <c r="H1455" s="30">
        <v>0.45833333333333331</v>
      </c>
      <c r="I1455" s="28" t="s">
        <v>139</v>
      </c>
      <c r="J1455" s="28" t="s">
        <v>809</v>
      </c>
      <c r="K1455" s="28" t="s">
        <v>25</v>
      </c>
      <c r="M1455" s="4" t="s">
        <v>600</v>
      </c>
    </row>
    <row r="1456" spans="1:13" x14ac:dyDescent="0.25">
      <c r="A1456" s="28" t="s">
        <v>1436</v>
      </c>
      <c r="B1456" s="28" t="s">
        <v>0</v>
      </c>
      <c r="C1456" s="28" t="s">
        <v>292</v>
      </c>
      <c r="D1456" s="28" t="s">
        <v>293</v>
      </c>
      <c r="E1456" s="28" t="s">
        <v>18</v>
      </c>
      <c r="F1456" s="29">
        <v>43478</v>
      </c>
      <c r="G1456" s="29">
        <v>43548</v>
      </c>
      <c r="H1456" s="30">
        <v>0.45833333333333331</v>
      </c>
      <c r="I1456" s="28" t="s">
        <v>139</v>
      </c>
      <c r="J1456" s="28" t="s">
        <v>809</v>
      </c>
      <c r="K1456" s="28" t="s">
        <v>25</v>
      </c>
      <c r="M1456" s="4" t="s">
        <v>600</v>
      </c>
    </row>
    <row r="1457" spans="1:13" x14ac:dyDescent="0.25">
      <c r="A1457" s="28" t="s">
        <v>1436</v>
      </c>
      <c r="B1457" s="28" t="s">
        <v>0</v>
      </c>
      <c r="C1457" s="28" t="s">
        <v>292</v>
      </c>
      <c r="D1457" s="28" t="s">
        <v>293</v>
      </c>
      <c r="E1457" s="28" t="s">
        <v>52</v>
      </c>
      <c r="F1457" s="29">
        <v>43401</v>
      </c>
      <c r="G1457" s="29">
        <v>43554</v>
      </c>
      <c r="H1457" s="30">
        <v>0.47916666666666669</v>
      </c>
      <c r="I1457" s="28" t="s">
        <v>139</v>
      </c>
      <c r="J1457" s="28" t="s">
        <v>1625</v>
      </c>
      <c r="K1457" s="28" t="s">
        <v>25</v>
      </c>
      <c r="M1457" s="4" t="s">
        <v>600</v>
      </c>
    </row>
    <row r="1458" spans="1:13" x14ac:dyDescent="0.25">
      <c r="A1458" s="28" t="s">
        <v>1436</v>
      </c>
      <c r="B1458" s="28" t="s">
        <v>0</v>
      </c>
      <c r="C1458" s="28" t="s">
        <v>292</v>
      </c>
      <c r="D1458" s="28" t="s">
        <v>293</v>
      </c>
      <c r="E1458" s="28" t="s">
        <v>235</v>
      </c>
      <c r="F1458" s="29">
        <v>43402</v>
      </c>
      <c r="G1458" s="29">
        <v>43552</v>
      </c>
      <c r="H1458" s="30">
        <v>0.5</v>
      </c>
      <c r="I1458" s="28" t="s">
        <v>139</v>
      </c>
      <c r="J1458" s="28" t="s">
        <v>811</v>
      </c>
      <c r="K1458" s="28" t="s">
        <v>25</v>
      </c>
      <c r="M1458" s="4" t="s">
        <v>600</v>
      </c>
    </row>
    <row r="1459" spans="1:13" x14ac:dyDescent="0.25">
      <c r="A1459" s="28" t="s">
        <v>1436</v>
      </c>
      <c r="B1459" s="28" t="s">
        <v>0</v>
      </c>
      <c r="C1459" s="28" t="s">
        <v>292</v>
      </c>
      <c r="D1459" s="28" t="s">
        <v>293</v>
      </c>
      <c r="E1459" s="28" t="s">
        <v>929</v>
      </c>
      <c r="F1459" s="29">
        <v>43402</v>
      </c>
      <c r="G1459" s="29">
        <v>43553</v>
      </c>
      <c r="H1459" s="30">
        <v>0.51041666666666663</v>
      </c>
      <c r="I1459" s="28" t="s">
        <v>139</v>
      </c>
      <c r="J1459" s="28" t="s">
        <v>812</v>
      </c>
      <c r="K1459" s="28" t="s">
        <v>25</v>
      </c>
      <c r="M1459" s="4" t="s">
        <v>600</v>
      </c>
    </row>
    <row r="1460" spans="1:13" x14ac:dyDescent="0.25">
      <c r="A1460" s="28" t="s">
        <v>1436</v>
      </c>
      <c r="B1460" s="28" t="s">
        <v>0</v>
      </c>
      <c r="C1460" s="28" t="s">
        <v>292</v>
      </c>
      <c r="D1460" s="28" t="s">
        <v>293</v>
      </c>
      <c r="E1460" s="28" t="s">
        <v>19</v>
      </c>
      <c r="F1460" s="29">
        <v>43403</v>
      </c>
      <c r="G1460" s="29">
        <v>43522</v>
      </c>
      <c r="H1460" s="30">
        <v>0.51041666666666663</v>
      </c>
      <c r="I1460" s="28" t="s">
        <v>139</v>
      </c>
      <c r="J1460" s="28" t="s">
        <v>812</v>
      </c>
      <c r="K1460" s="28" t="s">
        <v>25</v>
      </c>
      <c r="M1460" s="4" t="s">
        <v>600</v>
      </c>
    </row>
    <row r="1461" spans="1:13" x14ac:dyDescent="0.25">
      <c r="A1461" s="28" t="s">
        <v>1436</v>
      </c>
      <c r="B1461" s="28" t="s">
        <v>0</v>
      </c>
      <c r="C1461" s="28" t="s">
        <v>292</v>
      </c>
      <c r="D1461" s="28" t="s">
        <v>293</v>
      </c>
      <c r="E1461" s="28" t="s">
        <v>13</v>
      </c>
      <c r="F1461" s="29">
        <v>43475</v>
      </c>
      <c r="G1461" s="29">
        <v>43552</v>
      </c>
      <c r="H1461" s="30">
        <v>0.51041666666666663</v>
      </c>
      <c r="I1461" s="28" t="s">
        <v>139</v>
      </c>
      <c r="J1461" s="28" t="s">
        <v>812</v>
      </c>
      <c r="K1461" s="28" t="s">
        <v>25</v>
      </c>
      <c r="M1461" s="4" t="s">
        <v>600</v>
      </c>
    </row>
    <row r="1462" spans="1:13" x14ac:dyDescent="0.25">
      <c r="A1462" s="28" t="s">
        <v>1436</v>
      </c>
      <c r="B1462" s="28" t="s">
        <v>0</v>
      </c>
      <c r="C1462" s="28" t="s">
        <v>292</v>
      </c>
      <c r="D1462" s="28" t="s">
        <v>293</v>
      </c>
      <c r="E1462" s="28" t="s">
        <v>22</v>
      </c>
      <c r="F1462" s="29">
        <v>43407</v>
      </c>
      <c r="G1462" s="29">
        <v>43554</v>
      </c>
      <c r="H1462" s="30">
        <v>0.52083333333333337</v>
      </c>
      <c r="I1462" s="28" t="s">
        <v>139</v>
      </c>
      <c r="J1462" s="28" t="s">
        <v>813</v>
      </c>
      <c r="K1462" s="28" t="s">
        <v>25</v>
      </c>
      <c r="M1462" s="4" t="s">
        <v>600</v>
      </c>
    </row>
    <row r="1463" spans="1:13" x14ac:dyDescent="0.25">
      <c r="A1463" s="28" t="s">
        <v>1436</v>
      </c>
      <c r="B1463" s="28" t="s">
        <v>0</v>
      </c>
      <c r="C1463" s="28" t="s">
        <v>292</v>
      </c>
      <c r="D1463" s="28" t="s">
        <v>293</v>
      </c>
      <c r="E1463" s="28" t="s">
        <v>143</v>
      </c>
      <c r="F1463" s="29">
        <v>43401</v>
      </c>
      <c r="G1463" s="29">
        <v>43553</v>
      </c>
      <c r="H1463" s="30">
        <v>0.54166666666666663</v>
      </c>
      <c r="I1463" s="28" t="s">
        <v>139</v>
      </c>
      <c r="J1463" s="28" t="s">
        <v>813</v>
      </c>
      <c r="K1463" s="28" t="s">
        <v>25</v>
      </c>
      <c r="M1463" s="4" t="s">
        <v>600</v>
      </c>
    </row>
    <row r="1464" spans="1:13" x14ac:dyDescent="0.25">
      <c r="A1464" s="28" t="s">
        <v>1436</v>
      </c>
      <c r="B1464" s="28" t="s">
        <v>0</v>
      </c>
      <c r="C1464" s="28" t="s">
        <v>292</v>
      </c>
      <c r="D1464" s="28" t="s">
        <v>293</v>
      </c>
      <c r="E1464" s="28" t="s">
        <v>52</v>
      </c>
      <c r="F1464" s="29">
        <v>43401</v>
      </c>
      <c r="G1464" s="29">
        <v>43554</v>
      </c>
      <c r="H1464" s="30">
        <v>0.5625</v>
      </c>
      <c r="I1464" s="28" t="s">
        <v>139</v>
      </c>
      <c r="J1464" s="28" t="s">
        <v>812</v>
      </c>
      <c r="K1464" s="28" t="s">
        <v>25</v>
      </c>
      <c r="M1464" s="4" t="s">
        <v>600</v>
      </c>
    </row>
    <row r="1465" spans="1:13" x14ac:dyDescent="0.25">
      <c r="A1465" s="28" t="s">
        <v>1436</v>
      </c>
      <c r="B1465" s="28" t="s">
        <v>0</v>
      </c>
      <c r="C1465" s="28" t="s">
        <v>292</v>
      </c>
      <c r="D1465" s="28" t="s">
        <v>293</v>
      </c>
      <c r="E1465" s="28" t="s">
        <v>1503</v>
      </c>
      <c r="F1465" s="29">
        <v>43403</v>
      </c>
      <c r="G1465" s="29">
        <v>43554</v>
      </c>
      <c r="H1465" s="30">
        <v>0.58333333333333337</v>
      </c>
      <c r="I1465" s="28" t="s">
        <v>139</v>
      </c>
      <c r="J1465" s="28" t="s">
        <v>815</v>
      </c>
      <c r="K1465" s="28" t="s">
        <v>25</v>
      </c>
      <c r="M1465" s="4" t="s">
        <v>600</v>
      </c>
    </row>
    <row r="1466" spans="1:13" x14ac:dyDescent="0.25">
      <c r="A1466" s="28" t="s">
        <v>1436</v>
      </c>
      <c r="B1466" s="28" t="s">
        <v>0</v>
      </c>
      <c r="C1466" s="28" t="s">
        <v>292</v>
      </c>
      <c r="D1466" s="28" t="s">
        <v>293</v>
      </c>
      <c r="E1466" s="28" t="s">
        <v>101</v>
      </c>
      <c r="F1466" s="29">
        <v>43472</v>
      </c>
      <c r="G1466" s="29">
        <v>43549</v>
      </c>
      <c r="H1466" s="30">
        <v>0.58333333333333337</v>
      </c>
      <c r="I1466" s="28" t="s">
        <v>139</v>
      </c>
      <c r="J1466" s="28" t="s">
        <v>815</v>
      </c>
      <c r="K1466" s="28" t="s">
        <v>25</v>
      </c>
      <c r="M1466" s="4" t="s">
        <v>600</v>
      </c>
    </row>
    <row r="1467" spans="1:13" x14ac:dyDescent="0.25">
      <c r="A1467" s="28" t="s">
        <v>1436</v>
      </c>
      <c r="B1467" s="28" t="s">
        <v>0</v>
      </c>
      <c r="C1467" s="28" t="s">
        <v>292</v>
      </c>
      <c r="D1467" s="28" t="s">
        <v>293</v>
      </c>
      <c r="E1467" s="28" t="s">
        <v>143</v>
      </c>
      <c r="F1467" s="29">
        <v>43401</v>
      </c>
      <c r="G1467" s="29">
        <v>43553</v>
      </c>
      <c r="H1467" s="30">
        <v>0.625</v>
      </c>
      <c r="I1467" s="28" t="s">
        <v>139</v>
      </c>
      <c r="J1467" s="28" t="s">
        <v>816</v>
      </c>
      <c r="K1467" s="28" t="s">
        <v>25</v>
      </c>
      <c r="M1467" s="4" t="s">
        <v>600</v>
      </c>
    </row>
    <row r="1468" spans="1:13" x14ac:dyDescent="0.25">
      <c r="A1468" s="28" t="s">
        <v>1436</v>
      </c>
      <c r="B1468" s="28" t="s">
        <v>0</v>
      </c>
      <c r="C1468" s="28" t="s">
        <v>292</v>
      </c>
      <c r="D1468" s="28" t="s">
        <v>293</v>
      </c>
      <c r="E1468" s="28" t="s">
        <v>1933</v>
      </c>
      <c r="F1468" s="29">
        <v>43402</v>
      </c>
      <c r="G1468" s="29">
        <v>43553</v>
      </c>
      <c r="H1468" s="30">
        <v>0.63541666666666663</v>
      </c>
      <c r="I1468" s="28" t="s">
        <v>139</v>
      </c>
      <c r="J1468" s="28" t="s">
        <v>819</v>
      </c>
      <c r="K1468" s="28" t="s">
        <v>25</v>
      </c>
      <c r="M1468" s="4" t="s">
        <v>600</v>
      </c>
    </row>
    <row r="1469" spans="1:13" x14ac:dyDescent="0.25">
      <c r="A1469" s="28" t="s">
        <v>1436</v>
      </c>
      <c r="B1469" s="28" t="s">
        <v>0</v>
      </c>
      <c r="C1469" s="28" t="s">
        <v>292</v>
      </c>
      <c r="D1469" s="28" t="s">
        <v>293</v>
      </c>
      <c r="E1469" s="28" t="s">
        <v>13</v>
      </c>
      <c r="F1469" s="29">
        <v>43475</v>
      </c>
      <c r="G1469" s="29">
        <v>43552</v>
      </c>
      <c r="H1469" s="30">
        <v>0.63541666666666663</v>
      </c>
      <c r="I1469" s="28" t="s">
        <v>139</v>
      </c>
      <c r="J1469" s="28" t="s">
        <v>819</v>
      </c>
      <c r="K1469" s="28" t="s">
        <v>25</v>
      </c>
      <c r="M1469" s="4" t="s">
        <v>600</v>
      </c>
    </row>
    <row r="1470" spans="1:13" x14ac:dyDescent="0.25">
      <c r="A1470" s="28" t="s">
        <v>1436</v>
      </c>
      <c r="B1470" s="28" t="s">
        <v>0</v>
      </c>
      <c r="C1470" s="28" t="s">
        <v>292</v>
      </c>
      <c r="D1470" s="28" t="s">
        <v>293</v>
      </c>
      <c r="E1470" s="28" t="s">
        <v>144</v>
      </c>
      <c r="F1470" s="29">
        <v>43401</v>
      </c>
      <c r="G1470" s="29">
        <v>43554</v>
      </c>
      <c r="H1470" s="30">
        <v>0.63888888888888895</v>
      </c>
      <c r="I1470" s="28" t="s">
        <v>139</v>
      </c>
      <c r="J1470" s="28" t="s">
        <v>817</v>
      </c>
      <c r="K1470" s="28" t="s">
        <v>25</v>
      </c>
      <c r="M1470" s="4" t="s">
        <v>600</v>
      </c>
    </row>
    <row r="1471" spans="1:13" x14ac:dyDescent="0.25">
      <c r="A1471" s="28" t="s">
        <v>1436</v>
      </c>
      <c r="B1471" s="28" t="s">
        <v>0</v>
      </c>
      <c r="C1471" s="28" t="s">
        <v>292</v>
      </c>
      <c r="D1471" s="28" t="s">
        <v>293</v>
      </c>
      <c r="E1471" s="28" t="s">
        <v>30</v>
      </c>
      <c r="F1471" s="29">
        <v>43402</v>
      </c>
      <c r="G1471" s="29">
        <v>43554</v>
      </c>
      <c r="H1471" s="30">
        <v>0.66666666666666663</v>
      </c>
      <c r="I1471" s="28" t="s">
        <v>139</v>
      </c>
      <c r="J1471" s="28" t="s">
        <v>818</v>
      </c>
      <c r="K1471" s="28" t="s">
        <v>25</v>
      </c>
      <c r="M1471" s="4" t="s">
        <v>600</v>
      </c>
    </row>
    <row r="1472" spans="1:13" x14ac:dyDescent="0.25">
      <c r="A1472" s="28" t="s">
        <v>1436</v>
      </c>
      <c r="B1472" s="28" t="s">
        <v>0</v>
      </c>
      <c r="C1472" s="28" t="s">
        <v>292</v>
      </c>
      <c r="D1472" s="28" t="s">
        <v>293</v>
      </c>
      <c r="E1472" s="28" t="s">
        <v>18</v>
      </c>
      <c r="F1472" s="29">
        <v>43478</v>
      </c>
      <c r="G1472" s="29">
        <v>43548</v>
      </c>
      <c r="H1472" s="30">
        <v>0.66666666666666663</v>
      </c>
      <c r="I1472" s="28" t="s">
        <v>139</v>
      </c>
      <c r="J1472" s="28" t="s">
        <v>818</v>
      </c>
      <c r="K1472" s="28" t="s">
        <v>25</v>
      </c>
      <c r="M1472" s="4" t="s">
        <v>600</v>
      </c>
    </row>
    <row r="1473" spans="1:13" x14ac:dyDescent="0.25">
      <c r="A1473" s="28" t="s">
        <v>1436</v>
      </c>
      <c r="B1473" s="28" t="s">
        <v>0</v>
      </c>
      <c r="C1473" s="28" t="s">
        <v>292</v>
      </c>
      <c r="D1473" s="28" t="s">
        <v>293</v>
      </c>
      <c r="E1473" s="28" t="s">
        <v>391</v>
      </c>
      <c r="F1473" s="29">
        <v>43403</v>
      </c>
      <c r="G1473" s="29">
        <v>43552</v>
      </c>
      <c r="H1473" s="30">
        <v>0.70833333333333337</v>
      </c>
      <c r="I1473" s="28" t="s">
        <v>139</v>
      </c>
      <c r="J1473" s="28" t="s">
        <v>820</v>
      </c>
      <c r="K1473" s="28" t="s">
        <v>25</v>
      </c>
      <c r="M1473" s="4" t="s">
        <v>600</v>
      </c>
    </row>
    <row r="1474" spans="1:13" x14ac:dyDescent="0.25">
      <c r="A1474" s="28" t="s">
        <v>1436</v>
      </c>
      <c r="B1474" s="28" t="s">
        <v>0</v>
      </c>
      <c r="C1474" s="28" t="s">
        <v>292</v>
      </c>
      <c r="D1474" s="28" t="s">
        <v>293</v>
      </c>
      <c r="E1474" s="28" t="s">
        <v>48</v>
      </c>
      <c r="F1474" s="29">
        <v>43448</v>
      </c>
      <c r="G1474" s="29">
        <v>43553</v>
      </c>
      <c r="H1474" s="30">
        <v>0.70833333333333337</v>
      </c>
      <c r="I1474" s="28" t="s">
        <v>139</v>
      </c>
      <c r="J1474" s="28" t="s">
        <v>820</v>
      </c>
      <c r="K1474" s="28" t="s">
        <v>25</v>
      </c>
      <c r="M1474" s="4" t="s">
        <v>600</v>
      </c>
    </row>
    <row r="1475" spans="1:13" x14ac:dyDescent="0.25">
      <c r="A1475" s="28" t="s">
        <v>1436</v>
      </c>
      <c r="B1475" s="28" t="s">
        <v>0</v>
      </c>
      <c r="C1475" s="28" t="s">
        <v>292</v>
      </c>
      <c r="D1475" s="28" t="s">
        <v>293</v>
      </c>
      <c r="E1475" s="28" t="s">
        <v>59</v>
      </c>
      <c r="F1475" s="29">
        <v>43472</v>
      </c>
      <c r="G1475" s="29">
        <v>43549</v>
      </c>
      <c r="H1475" s="30">
        <v>0.70833333333333337</v>
      </c>
      <c r="I1475" s="28" t="s">
        <v>139</v>
      </c>
      <c r="J1475" s="28" t="s">
        <v>820</v>
      </c>
      <c r="K1475" s="28" t="s">
        <v>25</v>
      </c>
      <c r="M1475" s="4" t="s">
        <v>600</v>
      </c>
    </row>
    <row r="1476" spans="1:13" x14ac:dyDescent="0.25">
      <c r="A1476" s="28" t="s">
        <v>1436</v>
      </c>
      <c r="B1476" s="28" t="s">
        <v>0</v>
      </c>
      <c r="C1476" s="28" t="s">
        <v>292</v>
      </c>
      <c r="D1476" s="28" t="s">
        <v>293</v>
      </c>
      <c r="E1476" s="28" t="s">
        <v>151</v>
      </c>
      <c r="F1476" s="29">
        <v>43401</v>
      </c>
      <c r="G1476" s="29">
        <v>43553</v>
      </c>
      <c r="H1476" s="30">
        <v>0.71875</v>
      </c>
      <c r="I1476" s="28" t="s">
        <v>139</v>
      </c>
      <c r="J1476" s="28" t="s">
        <v>822</v>
      </c>
      <c r="K1476" s="28" t="s">
        <v>25</v>
      </c>
      <c r="M1476" s="4" t="s">
        <v>600</v>
      </c>
    </row>
    <row r="1477" spans="1:13" x14ac:dyDescent="0.25">
      <c r="A1477" s="28" t="s">
        <v>1436</v>
      </c>
      <c r="B1477" s="28" t="s">
        <v>0</v>
      </c>
      <c r="C1477" s="28" t="s">
        <v>292</v>
      </c>
      <c r="D1477" s="28" t="s">
        <v>293</v>
      </c>
      <c r="E1477" s="28" t="s">
        <v>897</v>
      </c>
      <c r="F1477" s="29">
        <v>43402</v>
      </c>
      <c r="G1477" s="29">
        <v>43553</v>
      </c>
      <c r="H1477" s="30">
        <v>0.75</v>
      </c>
      <c r="I1477" s="28" t="s">
        <v>139</v>
      </c>
      <c r="J1477" s="28" t="s">
        <v>821</v>
      </c>
      <c r="K1477" s="28" t="s">
        <v>25</v>
      </c>
      <c r="M1477" s="4" t="s">
        <v>600</v>
      </c>
    </row>
    <row r="1478" spans="1:13" x14ac:dyDescent="0.25">
      <c r="A1478" s="28" t="s">
        <v>1436</v>
      </c>
      <c r="B1478" s="28" t="s">
        <v>0</v>
      </c>
      <c r="C1478" s="28" t="s">
        <v>292</v>
      </c>
      <c r="D1478" s="28" t="s">
        <v>293</v>
      </c>
      <c r="E1478" s="28" t="s">
        <v>19</v>
      </c>
      <c r="F1478" s="29">
        <v>43459</v>
      </c>
      <c r="G1478" s="29">
        <v>43550</v>
      </c>
      <c r="H1478" s="30">
        <v>0.75</v>
      </c>
      <c r="I1478" s="28" t="s">
        <v>139</v>
      </c>
      <c r="J1478" s="28" t="s">
        <v>821</v>
      </c>
      <c r="K1478" s="28" t="s">
        <v>25</v>
      </c>
      <c r="M1478" s="4" t="s">
        <v>600</v>
      </c>
    </row>
    <row r="1479" spans="1:13" x14ac:dyDescent="0.25">
      <c r="A1479" s="28" t="s">
        <v>1436</v>
      </c>
      <c r="B1479" s="28" t="s">
        <v>0</v>
      </c>
      <c r="C1479" s="28" t="s">
        <v>292</v>
      </c>
      <c r="D1479" s="28" t="s">
        <v>293</v>
      </c>
      <c r="E1479" s="28" t="s">
        <v>52</v>
      </c>
      <c r="F1479" s="29">
        <v>43471</v>
      </c>
      <c r="G1479" s="29">
        <v>43554</v>
      </c>
      <c r="H1479" s="30">
        <v>0.75</v>
      </c>
      <c r="I1479" s="28" t="s">
        <v>139</v>
      </c>
      <c r="J1479" s="28" t="s">
        <v>821</v>
      </c>
      <c r="K1479" s="28" t="s">
        <v>25</v>
      </c>
      <c r="M1479" s="4" t="s">
        <v>600</v>
      </c>
    </row>
    <row r="1480" spans="1:13" x14ac:dyDescent="0.25">
      <c r="A1480" s="28" t="s">
        <v>1436</v>
      </c>
      <c r="B1480" s="28" t="s">
        <v>0</v>
      </c>
      <c r="C1480" s="28" t="s">
        <v>292</v>
      </c>
      <c r="D1480" s="28" t="s">
        <v>293</v>
      </c>
      <c r="E1480" s="28" t="s">
        <v>1233</v>
      </c>
      <c r="F1480" s="29">
        <v>43401</v>
      </c>
      <c r="G1480" s="29">
        <v>43554</v>
      </c>
      <c r="H1480" s="30">
        <v>0.79166666666666663</v>
      </c>
      <c r="I1480" s="28" t="s">
        <v>139</v>
      </c>
      <c r="J1480" s="28" t="s">
        <v>824</v>
      </c>
      <c r="K1480" s="28" t="s">
        <v>25</v>
      </c>
      <c r="M1480" s="4" t="s">
        <v>600</v>
      </c>
    </row>
    <row r="1481" spans="1:13" x14ac:dyDescent="0.25">
      <c r="A1481" s="28" t="s">
        <v>1436</v>
      </c>
      <c r="B1481" s="28" t="s">
        <v>0</v>
      </c>
      <c r="C1481" s="28" t="s">
        <v>292</v>
      </c>
      <c r="D1481" s="28" t="s">
        <v>293</v>
      </c>
      <c r="E1481" s="28" t="s">
        <v>13</v>
      </c>
      <c r="F1481" s="29">
        <v>43447</v>
      </c>
      <c r="G1481" s="29">
        <v>43552</v>
      </c>
      <c r="H1481" s="30">
        <v>0.79166666666666663</v>
      </c>
      <c r="I1481" s="28" t="s">
        <v>139</v>
      </c>
      <c r="J1481" s="28" t="s">
        <v>824</v>
      </c>
      <c r="K1481" s="28" t="s">
        <v>25</v>
      </c>
      <c r="M1481" s="4" t="s">
        <v>600</v>
      </c>
    </row>
    <row r="1482" spans="1:13" x14ac:dyDescent="0.25">
      <c r="A1482" s="28" t="s">
        <v>1436</v>
      </c>
      <c r="B1482" s="28" t="s">
        <v>0</v>
      </c>
      <c r="C1482" s="28" t="s">
        <v>292</v>
      </c>
      <c r="D1482" s="28" t="s">
        <v>293</v>
      </c>
      <c r="E1482" s="28" t="s">
        <v>59</v>
      </c>
      <c r="F1482" s="29">
        <v>43465</v>
      </c>
      <c r="G1482" s="29">
        <v>43549</v>
      </c>
      <c r="H1482" s="30">
        <v>0.79166666666666663</v>
      </c>
      <c r="I1482" s="28" t="s">
        <v>139</v>
      </c>
      <c r="J1482" s="28" t="s">
        <v>824</v>
      </c>
      <c r="K1482" s="28" t="s">
        <v>25</v>
      </c>
      <c r="M1482" s="4" t="s">
        <v>600</v>
      </c>
    </row>
    <row r="1483" spans="1:13" x14ac:dyDescent="0.25">
      <c r="A1483" s="28" t="s">
        <v>1436</v>
      </c>
      <c r="B1483" s="28" t="s">
        <v>0</v>
      </c>
      <c r="C1483" s="28" t="s">
        <v>292</v>
      </c>
      <c r="D1483" s="28" t="s">
        <v>293</v>
      </c>
      <c r="E1483" s="28" t="s">
        <v>48</v>
      </c>
      <c r="F1483" s="29">
        <v>43448</v>
      </c>
      <c r="G1483" s="29">
        <v>43553</v>
      </c>
      <c r="H1483" s="30">
        <v>0.8125</v>
      </c>
      <c r="I1483" s="28" t="s">
        <v>139</v>
      </c>
      <c r="J1483" s="28" t="s">
        <v>823</v>
      </c>
      <c r="K1483" s="28" t="s">
        <v>25</v>
      </c>
      <c r="M1483" s="4" t="s">
        <v>600</v>
      </c>
    </row>
    <row r="1484" spans="1:13" x14ac:dyDescent="0.25">
      <c r="A1484" s="28" t="s">
        <v>1436</v>
      </c>
      <c r="B1484" s="28" t="s">
        <v>0</v>
      </c>
      <c r="C1484" s="28" t="s">
        <v>292</v>
      </c>
      <c r="D1484" s="28" t="s">
        <v>293</v>
      </c>
      <c r="E1484" s="28" t="s">
        <v>144</v>
      </c>
      <c r="F1484" s="29">
        <v>43401</v>
      </c>
      <c r="G1484" s="29">
        <v>43554</v>
      </c>
      <c r="H1484" s="30">
        <v>0.83333333333333337</v>
      </c>
      <c r="I1484" s="28" t="s">
        <v>139</v>
      </c>
      <c r="J1484" s="28" t="s">
        <v>827</v>
      </c>
      <c r="K1484" s="28" t="s">
        <v>25</v>
      </c>
      <c r="M1484" s="4" t="s">
        <v>600</v>
      </c>
    </row>
    <row r="1485" spans="1:13" x14ac:dyDescent="0.25">
      <c r="A1485" s="28" t="s">
        <v>1436</v>
      </c>
      <c r="B1485" s="28" t="s">
        <v>0</v>
      </c>
      <c r="C1485" s="28" t="s">
        <v>292</v>
      </c>
      <c r="D1485" s="28" t="s">
        <v>293</v>
      </c>
      <c r="E1485" s="28" t="s">
        <v>897</v>
      </c>
      <c r="F1485" s="29">
        <v>43402</v>
      </c>
      <c r="G1485" s="29">
        <v>43553</v>
      </c>
      <c r="H1485" s="30">
        <v>0.83333333333333337</v>
      </c>
      <c r="I1485" s="28" t="s">
        <v>139</v>
      </c>
      <c r="J1485" s="28" t="s">
        <v>825</v>
      </c>
      <c r="K1485" s="28" t="s">
        <v>25</v>
      </c>
      <c r="M1485" s="4" t="s">
        <v>600</v>
      </c>
    </row>
    <row r="1486" spans="1:13" x14ac:dyDescent="0.25">
      <c r="A1486" s="28" t="s">
        <v>1436</v>
      </c>
      <c r="B1486" s="28" t="s">
        <v>0</v>
      </c>
      <c r="C1486" s="28" t="s">
        <v>292</v>
      </c>
      <c r="D1486" s="28" t="s">
        <v>293</v>
      </c>
      <c r="E1486" s="28" t="s">
        <v>667</v>
      </c>
      <c r="F1486" s="29">
        <v>43471</v>
      </c>
      <c r="G1486" s="29">
        <v>43554</v>
      </c>
      <c r="H1486" s="30">
        <v>0.83333333333333337</v>
      </c>
      <c r="I1486" s="28" t="s">
        <v>139</v>
      </c>
      <c r="J1486" s="28" t="s">
        <v>825</v>
      </c>
      <c r="K1486" s="28" t="s">
        <v>25</v>
      </c>
      <c r="M1486" s="4" t="s">
        <v>600</v>
      </c>
    </row>
    <row r="1487" spans="1:13" x14ac:dyDescent="0.25">
      <c r="A1487" s="28" t="s">
        <v>1436</v>
      </c>
      <c r="B1487" s="28" t="s">
        <v>0</v>
      </c>
      <c r="C1487" s="28" t="s">
        <v>292</v>
      </c>
      <c r="D1487" s="28" t="s">
        <v>293</v>
      </c>
      <c r="E1487" s="28" t="s">
        <v>841</v>
      </c>
      <c r="F1487" s="29">
        <v>43401</v>
      </c>
      <c r="G1487" s="29">
        <v>43554</v>
      </c>
      <c r="H1487" s="30">
        <v>0.84375</v>
      </c>
      <c r="I1487" s="28" t="s">
        <v>139</v>
      </c>
      <c r="J1487" s="28" t="s">
        <v>826</v>
      </c>
      <c r="K1487" s="28" t="s">
        <v>25</v>
      </c>
      <c r="M1487" s="4" t="s">
        <v>600</v>
      </c>
    </row>
    <row r="1488" spans="1:13" x14ac:dyDescent="0.25">
      <c r="A1488" s="28" t="s">
        <v>1436</v>
      </c>
      <c r="B1488" s="28" t="s">
        <v>0</v>
      </c>
      <c r="C1488" s="28" t="s">
        <v>292</v>
      </c>
      <c r="D1488" s="28" t="s">
        <v>293</v>
      </c>
      <c r="E1488" s="28" t="s">
        <v>20</v>
      </c>
      <c r="F1488" s="29">
        <v>43453</v>
      </c>
      <c r="G1488" s="29">
        <v>43551</v>
      </c>
      <c r="H1488" s="30">
        <v>0.84375</v>
      </c>
      <c r="I1488" s="28" t="s">
        <v>139</v>
      </c>
      <c r="J1488" s="28" t="s">
        <v>826</v>
      </c>
      <c r="K1488" s="28" t="s">
        <v>25</v>
      </c>
      <c r="M1488" s="4" t="s">
        <v>600</v>
      </c>
    </row>
    <row r="1489" spans="1:13" x14ac:dyDescent="0.25">
      <c r="A1489" s="28" t="s">
        <v>1436</v>
      </c>
      <c r="B1489" s="28" t="s">
        <v>0</v>
      </c>
      <c r="C1489" s="28" t="s">
        <v>292</v>
      </c>
      <c r="D1489" s="28" t="s">
        <v>293</v>
      </c>
      <c r="E1489" s="28" t="s">
        <v>22</v>
      </c>
      <c r="F1489" s="29">
        <v>43407</v>
      </c>
      <c r="G1489" s="29">
        <v>43519</v>
      </c>
      <c r="H1489" s="30">
        <v>0.875</v>
      </c>
      <c r="I1489" s="28" t="s">
        <v>139</v>
      </c>
      <c r="J1489" s="28" t="s">
        <v>810</v>
      </c>
      <c r="K1489" s="28" t="s">
        <v>25</v>
      </c>
      <c r="M1489" s="4" t="s">
        <v>600</v>
      </c>
    </row>
    <row r="1490" spans="1:13" x14ac:dyDescent="0.25">
      <c r="A1490" s="28" t="s">
        <v>1436</v>
      </c>
      <c r="B1490" s="28" t="s">
        <v>0</v>
      </c>
      <c r="C1490" s="28" t="s">
        <v>292</v>
      </c>
      <c r="D1490" s="28" t="s">
        <v>293</v>
      </c>
      <c r="E1490" s="28" t="s">
        <v>48</v>
      </c>
      <c r="F1490" s="29">
        <v>43406</v>
      </c>
      <c r="G1490" s="29">
        <v>43553</v>
      </c>
      <c r="H1490" s="30">
        <v>0.88194444444444453</v>
      </c>
      <c r="I1490" s="28" t="s">
        <v>139</v>
      </c>
      <c r="J1490" s="28" t="s">
        <v>810</v>
      </c>
      <c r="K1490" s="28" t="s">
        <v>25</v>
      </c>
      <c r="M1490" s="4" t="s">
        <v>600</v>
      </c>
    </row>
    <row r="1491" spans="1:13" x14ac:dyDescent="0.25">
      <c r="A1491" s="28" t="s">
        <v>1436</v>
      </c>
      <c r="B1491" s="28" t="s">
        <v>0</v>
      </c>
      <c r="C1491" s="28" t="s">
        <v>292</v>
      </c>
      <c r="D1491" s="28" t="s">
        <v>293</v>
      </c>
      <c r="E1491" s="28" t="s">
        <v>18</v>
      </c>
      <c r="F1491" s="29">
        <v>43478</v>
      </c>
      <c r="G1491" s="29">
        <v>43548</v>
      </c>
      <c r="H1491" s="30">
        <v>0.88194444444444453</v>
      </c>
      <c r="I1491" s="28" t="s">
        <v>139</v>
      </c>
      <c r="J1491" s="28" t="s">
        <v>810</v>
      </c>
      <c r="K1491" s="28" t="s">
        <v>25</v>
      </c>
      <c r="M1491" s="4" t="s">
        <v>600</v>
      </c>
    </row>
    <row r="1492" spans="1:13" x14ac:dyDescent="0.25">
      <c r="A1492" s="28" t="s">
        <v>1436</v>
      </c>
      <c r="B1492" s="28" t="s">
        <v>0</v>
      </c>
      <c r="C1492" s="28" t="s">
        <v>318</v>
      </c>
      <c r="D1492" s="28" t="s">
        <v>319</v>
      </c>
      <c r="E1492" s="28" t="s">
        <v>18</v>
      </c>
      <c r="F1492" s="29">
        <v>43401</v>
      </c>
      <c r="G1492" s="29">
        <v>43548</v>
      </c>
      <c r="H1492" s="30">
        <v>0.47222222222222227</v>
      </c>
      <c r="I1492" s="28">
        <v>320</v>
      </c>
      <c r="J1492" s="28" t="s">
        <v>1627</v>
      </c>
      <c r="K1492" s="28" t="s">
        <v>34</v>
      </c>
      <c r="M1492" s="4" t="s">
        <v>600</v>
      </c>
    </row>
    <row r="1493" spans="1:13" x14ac:dyDescent="0.25">
      <c r="A1493" s="28" t="s">
        <v>1436</v>
      </c>
      <c r="B1493" s="28" t="s">
        <v>0</v>
      </c>
      <c r="C1493" s="28" t="s">
        <v>318</v>
      </c>
      <c r="D1493" s="28" t="s">
        <v>319</v>
      </c>
      <c r="E1493" s="28" t="s">
        <v>13</v>
      </c>
      <c r="F1493" s="29">
        <v>43510</v>
      </c>
      <c r="G1493" s="29">
        <v>43552</v>
      </c>
      <c r="H1493" s="30">
        <v>0.47222222222222227</v>
      </c>
      <c r="I1493" s="28">
        <v>320</v>
      </c>
      <c r="J1493" s="28" t="s">
        <v>1627</v>
      </c>
      <c r="K1493" s="28" t="s">
        <v>34</v>
      </c>
      <c r="M1493" s="4" t="s">
        <v>600</v>
      </c>
    </row>
    <row r="1494" spans="1:13" x14ac:dyDescent="0.25">
      <c r="A1494" s="28" t="s">
        <v>1436</v>
      </c>
      <c r="B1494" s="28" t="s">
        <v>0</v>
      </c>
      <c r="C1494" s="28" t="s">
        <v>318</v>
      </c>
      <c r="D1494" s="28" t="s">
        <v>319</v>
      </c>
      <c r="E1494" s="28" t="s">
        <v>13</v>
      </c>
      <c r="F1494" s="29">
        <v>43454</v>
      </c>
      <c r="G1494" s="29">
        <v>43552</v>
      </c>
      <c r="H1494" s="30">
        <v>0.57291666666666663</v>
      </c>
      <c r="I1494" s="28">
        <v>319</v>
      </c>
      <c r="J1494" s="28" t="s">
        <v>1626</v>
      </c>
      <c r="K1494" s="28" t="s">
        <v>34</v>
      </c>
      <c r="M1494" s="4" t="s">
        <v>600</v>
      </c>
    </row>
    <row r="1495" spans="1:13" x14ac:dyDescent="0.25">
      <c r="A1495" s="31" t="s">
        <v>1436</v>
      </c>
      <c r="B1495" s="31" t="s">
        <v>0</v>
      </c>
      <c r="C1495" s="31" t="s">
        <v>469</v>
      </c>
      <c r="D1495" s="31" t="s">
        <v>470</v>
      </c>
      <c r="E1495" s="31" t="s">
        <v>59</v>
      </c>
      <c r="F1495" s="32">
        <v>43409</v>
      </c>
      <c r="G1495" s="32">
        <v>43549</v>
      </c>
      <c r="H1495" s="33">
        <v>0.62152777777777779</v>
      </c>
      <c r="I1495" s="31" t="s">
        <v>14</v>
      </c>
      <c r="J1495" s="31" t="s">
        <v>1628</v>
      </c>
      <c r="K1495" s="31" t="s">
        <v>25</v>
      </c>
      <c r="M1495" s="4" t="s">
        <v>293</v>
      </c>
    </row>
    <row r="1496" spans="1:13" x14ac:dyDescent="0.25">
      <c r="A1496" s="31" t="s">
        <v>1436</v>
      </c>
      <c r="B1496" s="31" t="s">
        <v>0</v>
      </c>
      <c r="C1496" s="31" t="s">
        <v>469</v>
      </c>
      <c r="D1496" s="31" t="s">
        <v>470</v>
      </c>
      <c r="E1496" s="31" t="s">
        <v>795</v>
      </c>
      <c r="F1496" s="32">
        <v>43508</v>
      </c>
      <c r="G1496" s="32">
        <v>43552</v>
      </c>
      <c r="H1496" s="33">
        <v>0.79166666666666663</v>
      </c>
      <c r="I1496" s="31" t="s">
        <v>14</v>
      </c>
      <c r="J1496" s="31" t="s">
        <v>1629</v>
      </c>
      <c r="K1496" s="31" t="s">
        <v>25</v>
      </c>
      <c r="M1496" s="4" t="s">
        <v>293</v>
      </c>
    </row>
    <row r="1497" spans="1:13" x14ac:dyDescent="0.25">
      <c r="A1497" s="31" t="s">
        <v>1436</v>
      </c>
      <c r="B1497" s="31" t="s">
        <v>0</v>
      </c>
      <c r="C1497" s="31" t="s">
        <v>23</v>
      </c>
      <c r="D1497" s="31" t="s">
        <v>24</v>
      </c>
      <c r="E1497" s="31" t="s">
        <v>13</v>
      </c>
      <c r="F1497" s="32">
        <v>43475</v>
      </c>
      <c r="G1497" s="32">
        <v>43552</v>
      </c>
      <c r="H1497" s="33">
        <v>0.3888888888888889</v>
      </c>
      <c r="I1497" s="31">
        <v>320</v>
      </c>
      <c r="J1497" s="31" t="s">
        <v>1903</v>
      </c>
      <c r="K1497" s="31" t="s">
        <v>25</v>
      </c>
      <c r="M1497" s="4" t="s">
        <v>293</v>
      </c>
    </row>
    <row r="1498" spans="1:13" x14ac:dyDescent="0.25">
      <c r="A1498" s="31" t="s">
        <v>1436</v>
      </c>
      <c r="B1498" s="31" t="s">
        <v>0</v>
      </c>
      <c r="C1498" s="31" t="s">
        <v>23</v>
      </c>
      <c r="D1498" s="31" t="s">
        <v>24</v>
      </c>
      <c r="E1498" s="31" t="s">
        <v>22</v>
      </c>
      <c r="F1498" s="32">
        <v>43477</v>
      </c>
      <c r="G1498" s="32">
        <v>43554</v>
      </c>
      <c r="H1498" s="33">
        <v>0.3923611111111111</v>
      </c>
      <c r="I1498" s="31">
        <v>320</v>
      </c>
      <c r="J1498" s="31" t="s">
        <v>1903</v>
      </c>
      <c r="K1498" s="31" t="s">
        <v>25</v>
      </c>
      <c r="M1498" s="4" t="s">
        <v>293</v>
      </c>
    </row>
    <row r="1499" spans="1:13" x14ac:dyDescent="0.25">
      <c r="A1499" s="31" t="s">
        <v>1436</v>
      </c>
      <c r="B1499" s="31" t="s">
        <v>0</v>
      </c>
      <c r="C1499" s="31" t="s">
        <v>23</v>
      </c>
      <c r="D1499" s="31" t="s">
        <v>24</v>
      </c>
      <c r="E1499" s="31" t="s">
        <v>19</v>
      </c>
      <c r="F1499" s="32">
        <v>43501</v>
      </c>
      <c r="G1499" s="32">
        <v>43550</v>
      </c>
      <c r="H1499" s="33">
        <v>0.3923611111111111</v>
      </c>
      <c r="I1499" s="31">
        <v>320</v>
      </c>
      <c r="J1499" s="31" t="s">
        <v>1903</v>
      </c>
      <c r="K1499" s="31" t="s">
        <v>25</v>
      </c>
      <c r="M1499" s="4" t="s">
        <v>293</v>
      </c>
    </row>
    <row r="1500" spans="1:13" x14ac:dyDescent="0.25">
      <c r="A1500" s="31" t="s">
        <v>1436</v>
      </c>
      <c r="B1500" s="31" t="s">
        <v>0</v>
      </c>
      <c r="C1500" s="31" t="s">
        <v>23</v>
      </c>
      <c r="D1500" s="31" t="s">
        <v>24</v>
      </c>
      <c r="E1500" s="31" t="s">
        <v>13</v>
      </c>
      <c r="F1500" s="32">
        <v>43405</v>
      </c>
      <c r="G1500" s="32">
        <v>43517</v>
      </c>
      <c r="H1500" s="33">
        <v>0.53472222222222221</v>
      </c>
      <c r="I1500" s="31" t="s">
        <v>14</v>
      </c>
      <c r="J1500" s="31" t="s">
        <v>952</v>
      </c>
      <c r="K1500" s="31" t="s">
        <v>25</v>
      </c>
      <c r="M1500" s="4" t="s">
        <v>293</v>
      </c>
    </row>
    <row r="1501" spans="1:13" x14ac:dyDescent="0.25">
      <c r="A1501" s="31" t="s">
        <v>1436</v>
      </c>
      <c r="B1501" s="31" t="s">
        <v>0</v>
      </c>
      <c r="C1501" s="31" t="s">
        <v>1934</v>
      </c>
      <c r="D1501" s="31" t="s">
        <v>1935</v>
      </c>
      <c r="E1501" s="31" t="s">
        <v>19</v>
      </c>
      <c r="F1501" s="32">
        <v>43508</v>
      </c>
      <c r="G1501" s="32">
        <v>43550</v>
      </c>
      <c r="H1501" s="33">
        <v>0.64930555555555558</v>
      </c>
      <c r="I1501" s="31" t="s">
        <v>141</v>
      </c>
      <c r="J1501" s="31" t="s">
        <v>1936</v>
      </c>
      <c r="K1501" s="31" t="s">
        <v>25</v>
      </c>
      <c r="M1501" s="4" t="s">
        <v>293</v>
      </c>
    </row>
    <row r="1502" spans="1:13" x14ac:dyDescent="0.25">
      <c r="A1502" s="31" t="s">
        <v>1436</v>
      </c>
      <c r="B1502" s="31" t="s">
        <v>0</v>
      </c>
      <c r="C1502" s="31" t="s">
        <v>27</v>
      </c>
      <c r="D1502" s="31" t="s">
        <v>28</v>
      </c>
      <c r="E1502" s="31" t="s">
        <v>393</v>
      </c>
      <c r="F1502" s="32">
        <v>43402</v>
      </c>
      <c r="G1502" s="32">
        <v>43554</v>
      </c>
      <c r="H1502" s="33">
        <v>0.29166666666666669</v>
      </c>
      <c r="I1502" s="31">
        <v>321</v>
      </c>
      <c r="J1502" s="31" t="s">
        <v>830</v>
      </c>
      <c r="K1502" s="31" t="s">
        <v>25</v>
      </c>
      <c r="M1502" s="4" t="s">
        <v>293</v>
      </c>
    </row>
    <row r="1503" spans="1:13" x14ac:dyDescent="0.25">
      <c r="A1503" s="31" t="s">
        <v>1436</v>
      </c>
      <c r="B1503" s="31" t="s">
        <v>0</v>
      </c>
      <c r="C1503" s="31" t="s">
        <v>27</v>
      </c>
      <c r="D1503" s="31" t="s">
        <v>28</v>
      </c>
      <c r="E1503" s="31" t="s">
        <v>19</v>
      </c>
      <c r="F1503" s="32">
        <v>43473</v>
      </c>
      <c r="G1503" s="32">
        <v>43550</v>
      </c>
      <c r="H1503" s="33">
        <v>0.29166666666666669</v>
      </c>
      <c r="I1503" s="31">
        <v>321</v>
      </c>
      <c r="J1503" s="31" t="s">
        <v>830</v>
      </c>
      <c r="K1503" s="31" t="s">
        <v>25</v>
      </c>
      <c r="M1503" s="4" t="s">
        <v>293</v>
      </c>
    </row>
    <row r="1504" spans="1:13" x14ac:dyDescent="0.25">
      <c r="A1504" s="31" t="s">
        <v>1436</v>
      </c>
      <c r="B1504" s="31" t="s">
        <v>0</v>
      </c>
      <c r="C1504" s="31" t="s">
        <v>27</v>
      </c>
      <c r="D1504" s="31" t="s">
        <v>28</v>
      </c>
      <c r="E1504" s="31" t="s">
        <v>1509</v>
      </c>
      <c r="F1504" s="32">
        <v>43401</v>
      </c>
      <c r="G1504" s="32">
        <v>43554</v>
      </c>
      <c r="H1504" s="33">
        <v>0.39583333333333331</v>
      </c>
      <c r="I1504" s="31" t="s">
        <v>14</v>
      </c>
      <c r="J1504" s="31" t="s">
        <v>831</v>
      </c>
      <c r="K1504" s="31" t="s">
        <v>25</v>
      </c>
      <c r="M1504" s="4" t="s">
        <v>293</v>
      </c>
    </row>
    <row r="1505" spans="1:13" x14ac:dyDescent="0.25">
      <c r="A1505" s="31" t="s">
        <v>1436</v>
      </c>
      <c r="B1505" s="31" t="s">
        <v>0</v>
      </c>
      <c r="C1505" s="31" t="s">
        <v>27</v>
      </c>
      <c r="D1505" s="31" t="s">
        <v>28</v>
      </c>
      <c r="E1505" s="31" t="s">
        <v>59</v>
      </c>
      <c r="F1505" s="32">
        <v>43430</v>
      </c>
      <c r="G1505" s="32">
        <v>43549</v>
      </c>
      <c r="H1505" s="33">
        <v>0.39583333333333331</v>
      </c>
      <c r="I1505" s="31" t="s">
        <v>14</v>
      </c>
      <c r="J1505" s="31" t="s">
        <v>831</v>
      </c>
      <c r="K1505" s="31" t="s">
        <v>25</v>
      </c>
      <c r="M1505" s="4" t="s">
        <v>293</v>
      </c>
    </row>
    <row r="1506" spans="1:13" x14ac:dyDescent="0.25">
      <c r="A1506" s="31" t="s">
        <v>1436</v>
      </c>
      <c r="B1506" s="31" t="s">
        <v>0</v>
      </c>
      <c r="C1506" s="31" t="s">
        <v>27</v>
      </c>
      <c r="D1506" s="31" t="s">
        <v>28</v>
      </c>
      <c r="E1506" s="31" t="s">
        <v>54</v>
      </c>
      <c r="F1506" s="32">
        <v>43467</v>
      </c>
      <c r="G1506" s="32">
        <v>43551</v>
      </c>
      <c r="H1506" s="33">
        <v>0.39583333333333331</v>
      </c>
      <c r="I1506" s="31" t="s">
        <v>14</v>
      </c>
      <c r="J1506" s="31" t="s">
        <v>831</v>
      </c>
      <c r="K1506" s="31" t="s">
        <v>25</v>
      </c>
      <c r="M1506" s="4" t="s">
        <v>293</v>
      </c>
    </row>
    <row r="1507" spans="1:13" x14ac:dyDescent="0.25">
      <c r="A1507" s="31" t="s">
        <v>1436</v>
      </c>
      <c r="B1507" s="31" t="s">
        <v>0</v>
      </c>
      <c r="C1507" s="31" t="s">
        <v>27</v>
      </c>
      <c r="D1507" s="31" t="s">
        <v>28</v>
      </c>
      <c r="E1507" s="31" t="s">
        <v>48</v>
      </c>
      <c r="F1507" s="32">
        <v>43434</v>
      </c>
      <c r="G1507" s="32">
        <v>43553</v>
      </c>
      <c r="H1507" s="33">
        <v>0.4513888888888889</v>
      </c>
      <c r="I1507" s="31" t="s">
        <v>14</v>
      </c>
      <c r="J1507" s="31" t="s">
        <v>831</v>
      </c>
      <c r="K1507" s="31" t="s">
        <v>25</v>
      </c>
      <c r="M1507" s="4" t="s">
        <v>293</v>
      </c>
    </row>
    <row r="1508" spans="1:13" x14ac:dyDescent="0.25">
      <c r="A1508" s="31" t="s">
        <v>1436</v>
      </c>
      <c r="B1508" s="31" t="s">
        <v>0</v>
      </c>
      <c r="C1508" s="31" t="s">
        <v>27</v>
      </c>
      <c r="D1508" s="31" t="s">
        <v>28</v>
      </c>
      <c r="E1508" s="31" t="s">
        <v>1261</v>
      </c>
      <c r="F1508" s="32">
        <v>43402</v>
      </c>
      <c r="G1508" s="32">
        <v>43554</v>
      </c>
      <c r="H1508" s="33">
        <v>0.46527777777777773</v>
      </c>
      <c r="I1508" s="31" t="s">
        <v>14</v>
      </c>
      <c r="J1508" s="31" t="s">
        <v>832</v>
      </c>
      <c r="K1508" s="31" t="s">
        <v>25</v>
      </c>
      <c r="M1508" s="4" t="s">
        <v>293</v>
      </c>
    </row>
    <row r="1509" spans="1:13" x14ac:dyDescent="0.25">
      <c r="A1509" s="31" t="s">
        <v>1436</v>
      </c>
      <c r="B1509" s="31" t="s">
        <v>0</v>
      </c>
      <c r="C1509" s="31" t="s">
        <v>27</v>
      </c>
      <c r="D1509" s="31" t="s">
        <v>28</v>
      </c>
      <c r="E1509" s="31" t="s">
        <v>18</v>
      </c>
      <c r="F1509" s="32">
        <v>43401</v>
      </c>
      <c r="G1509" s="32">
        <v>43548</v>
      </c>
      <c r="H1509" s="33">
        <v>0.47916666666666669</v>
      </c>
      <c r="I1509" s="31" t="s">
        <v>14</v>
      </c>
      <c r="J1509" s="31" t="s">
        <v>832</v>
      </c>
      <c r="K1509" s="31" t="s">
        <v>25</v>
      </c>
      <c r="M1509" s="4" t="s">
        <v>293</v>
      </c>
    </row>
    <row r="1510" spans="1:13" x14ac:dyDescent="0.25">
      <c r="A1510" s="31" t="s">
        <v>1436</v>
      </c>
      <c r="B1510" s="31" t="s">
        <v>0</v>
      </c>
      <c r="C1510" s="31" t="s">
        <v>27</v>
      </c>
      <c r="D1510" s="31" t="s">
        <v>28</v>
      </c>
      <c r="E1510" s="31" t="s">
        <v>1241</v>
      </c>
      <c r="F1510" s="32">
        <v>43401</v>
      </c>
      <c r="G1510" s="32">
        <v>43554</v>
      </c>
      <c r="H1510" s="33">
        <v>0.63888888888888895</v>
      </c>
      <c r="I1510" s="31">
        <v>321</v>
      </c>
      <c r="J1510" s="31" t="s">
        <v>833</v>
      </c>
      <c r="K1510" s="31" t="s">
        <v>25</v>
      </c>
      <c r="M1510" s="4" t="s">
        <v>293</v>
      </c>
    </row>
    <row r="1511" spans="1:13" x14ac:dyDescent="0.25">
      <c r="A1511" s="31" t="s">
        <v>1436</v>
      </c>
      <c r="B1511" s="31" t="s">
        <v>0</v>
      </c>
      <c r="C1511" s="31" t="s">
        <v>27</v>
      </c>
      <c r="D1511" s="31" t="s">
        <v>28</v>
      </c>
      <c r="E1511" s="31" t="s">
        <v>146</v>
      </c>
      <c r="F1511" s="32">
        <v>43466</v>
      </c>
      <c r="G1511" s="32">
        <v>43550</v>
      </c>
      <c r="H1511" s="33">
        <v>0.63888888888888895</v>
      </c>
      <c r="I1511" s="31">
        <v>321</v>
      </c>
      <c r="J1511" s="31" t="s">
        <v>833</v>
      </c>
      <c r="K1511" s="31" t="s">
        <v>25</v>
      </c>
      <c r="L1511" s="31"/>
      <c r="M1511" s="4" t="s">
        <v>293</v>
      </c>
    </row>
    <row r="1512" spans="1:13" x14ac:dyDescent="0.25">
      <c r="A1512" s="31" t="s">
        <v>1436</v>
      </c>
      <c r="B1512" s="31" t="s">
        <v>0</v>
      </c>
      <c r="C1512" s="31" t="s">
        <v>27</v>
      </c>
      <c r="D1512" s="31" t="s">
        <v>28</v>
      </c>
      <c r="E1512" s="31" t="s">
        <v>48</v>
      </c>
      <c r="F1512" s="32">
        <v>43406</v>
      </c>
      <c r="G1512" s="32">
        <v>43553</v>
      </c>
      <c r="H1512" s="33">
        <v>0.85069444444444453</v>
      </c>
      <c r="I1512" s="31">
        <v>320</v>
      </c>
      <c r="J1512" s="31" t="s">
        <v>834</v>
      </c>
      <c r="K1512" s="31" t="s">
        <v>25</v>
      </c>
      <c r="L1512" s="31"/>
      <c r="M1512" s="4" t="s">
        <v>293</v>
      </c>
    </row>
    <row r="1513" spans="1:13" x14ac:dyDescent="0.25">
      <c r="A1513" s="31" t="s">
        <v>1436</v>
      </c>
      <c r="B1513" s="31" t="s">
        <v>0</v>
      </c>
      <c r="C1513" s="31" t="s">
        <v>27</v>
      </c>
      <c r="D1513" s="31" t="s">
        <v>28</v>
      </c>
      <c r="E1513" s="31" t="s">
        <v>18</v>
      </c>
      <c r="F1513" s="32">
        <v>43464</v>
      </c>
      <c r="G1513" s="32">
        <v>43548</v>
      </c>
      <c r="H1513" s="33">
        <v>0.85069444444444453</v>
      </c>
      <c r="I1513" s="31">
        <v>320</v>
      </c>
      <c r="J1513" s="31" t="s">
        <v>834</v>
      </c>
      <c r="K1513" s="31" t="s">
        <v>25</v>
      </c>
      <c r="L1513" s="31"/>
      <c r="M1513" s="4" t="s">
        <v>293</v>
      </c>
    </row>
    <row r="1514" spans="1:13" x14ac:dyDescent="0.25">
      <c r="A1514" s="31" t="s">
        <v>1436</v>
      </c>
      <c r="B1514" s="31" t="s">
        <v>0</v>
      </c>
      <c r="C1514" s="31" t="s">
        <v>27</v>
      </c>
      <c r="D1514" s="31" t="s">
        <v>28</v>
      </c>
      <c r="E1514" s="31" t="s">
        <v>59</v>
      </c>
      <c r="F1514" s="32">
        <v>43500</v>
      </c>
      <c r="G1514" s="32">
        <v>43507</v>
      </c>
      <c r="H1514" s="33">
        <v>0.85069444444444453</v>
      </c>
      <c r="I1514" s="31">
        <v>320</v>
      </c>
      <c r="J1514" s="31" t="s">
        <v>834</v>
      </c>
      <c r="K1514" s="31" t="s">
        <v>25</v>
      </c>
      <c r="L1514" s="31"/>
      <c r="M1514" s="4" t="s">
        <v>293</v>
      </c>
    </row>
    <row r="1515" spans="1:13" x14ac:dyDescent="0.25">
      <c r="A1515" s="31" t="s">
        <v>1436</v>
      </c>
      <c r="B1515" s="31" t="s">
        <v>0</v>
      </c>
      <c r="C1515" s="31" t="s">
        <v>50</v>
      </c>
      <c r="D1515" s="31" t="s">
        <v>51</v>
      </c>
      <c r="E1515" s="31" t="s">
        <v>59</v>
      </c>
      <c r="F1515" s="32">
        <v>43409</v>
      </c>
      <c r="G1515" s="32">
        <v>43549</v>
      </c>
      <c r="H1515" s="33">
        <v>0.2986111111111111</v>
      </c>
      <c r="I1515" s="31" t="s">
        <v>14</v>
      </c>
      <c r="J1515" s="31" t="s">
        <v>836</v>
      </c>
      <c r="K1515" s="31" t="s">
        <v>25</v>
      </c>
      <c r="L1515" s="31"/>
      <c r="M1515" s="4" t="s">
        <v>293</v>
      </c>
    </row>
    <row r="1516" spans="1:13" x14ac:dyDescent="0.25">
      <c r="A1516" s="31" t="s">
        <v>1436</v>
      </c>
      <c r="B1516" s="31" t="s">
        <v>0</v>
      </c>
      <c r="C1516" s="31" t="s">
        <v>50</v>
      </c>
      <c r="D1516" s="31" t="s">
        <v>51</v>
      </c>
      <c r="E1516" s="31" t="s">
        <v>84</v>
      </c>
      <c r="F1516" s="32">
        <v>43408</v>
      </c>
      <c r="G1516" s="32">
        <v>43551</v>
      </c>
      <c r="H1516" s="33">
        <v>0.31597222222222221</v>
      </c>
      <c r="I1516" s="31" t="s">
        <v>14</v>
      </c>
      <c r="J1516" s="31" t="s">
        <v>836</v>
      </c>
      <c r="K1516" s="31" t="s">
        <v>25</v>
      </c>
      <c r="L1516" s="31"/>
      <c r="M1516" s="4" t="s">
        <v>293</v>
      </c>
    </row>
    <row r="1517" spans="1:13" x14ac:dyDescent="0.25">
      <c r="A1517" s="31" t="s">
        <v>1436</v>
      </c>
      <c r="B1517" s="31" t="s">
        <v>0</v>
      </c>
      <c r="C1517" s="31" t="s">
        <v>50</v>
      </c>
      <c r="D1517" s="31" t="s">
        <v>51</v>
      </c>
      <c r="E1517" s="31" t="s">
        <v>672</v>
      </c>
      <c r="F1517" s="32">
        <v>43402</v>
      </c>
      <c r="G1517" s="32">
        <v>43554</v>
      </c>
      <c r="H1517" s="33">
        <v>0.39930555555555558</v>
      </c>
      <c r="I1517" s="31">
        <v>320</v>
      </c>
      <c r="J1517" s="31" t="s">
        <v>835</v>
      </c>
      <c r="K1517" s="31" t="s">
        <v>25</v>
      </c>
      <c r="L1517" s="31"/>
      <c r="M1517" s="4" t="s">
        <v>293</v>
      </c>
    </row>
    <row r="1518" spans="1:13" x14ac:dyDescent="0.25">
      <c r="A1518" s="31" t="s">
        <v>1436</v>
      </c>
      <c r="B1518" s="31" t="s">
        <v>0</v>
      </c>
      <c r="C1518" s="31" t="s">
        <v>50</v>
      </c>
      <c r="D1518" s="31" t="s">
        <v>51</v>
      </c>
      <c r="E1518" s="31" t="s">
        <v>48</v>
      </c>
      <c r="F1518" s="32">
        <v>43406</v>
      </c>
      <c r="G1518" s="32">
        <v>43518</v>
      </c>
      <c r="H1518" s="33">
        <v>0.39930555555555558</v>
      </c>
      <c r="I1518" s="31">
        <v>320</v>
      </c>
      <c r="J1518" s="31" t="s">
        <v>835</v>
      </c>
      <c r="K1518" s="31" t="s">
        <v>25</v>
      </c>
      <c r="L1518" s="31"/>
      <c r="M1518" s="4" t="s">
        <v>293</v>
      </c>
    </row>
    <row r="1519" spans="1:13" x14ac:dyDescent="0.25">
      <c r="A1519" s="31" t="s">
        <v>1436</v>
      </c>
      <c r="B1519" s="31" t="s">
        <v>0</v>
      </c>
      <c r="C1519" s="31" t="s">
        <v>50</v>
      </c>
      <c r="D1519" s="31" t="s">
        <v>51</v>
      </c>
      <c r="E1519" s="31" t="s">
        <v>20</v>
      </c>
      <c r="F1519" s="32">
        <v>43474</v>
      </c>
      <c r="G1519" s="32">
        <v>43523</v>
      </c>
      <c r="H1519" s="33">
        <v>0.43055555555555558</v>
      </c>
      <c r="I1519" s="31">
        <v>320</v>
      </c>
      <c r="J1519" s="31" t="s">
        <v>835</v>
      </c>
      <c r="K1519" s="31" t="s">
        <v>25</v>
      </c>
      <c r="L1519" s="31"/>
      <c r="M1519" s="4" t="s">
        <v>293</v>
      </c>
    </row>
    <row r="1520" spans="1:13" x14ac:dyDescent="0.25">
      <c r="A1520" s="31" t="s">
        <v>1436</v>
      </c>
      <c r="B1520" s="31" t="s">
        <v>0</v>
      </c>
      <c r="C1520" s="31" t="s">
        <v>50</v>
      </c>
      <c r="D1520" s="31" t="s">
        <v>51</v>
      </c>
      <c r="E1520" s="31" t="s">
        <v>18</v>
      </c>
      <c r="F1520" s="32">
        <v>43436</v>
      </c>
      <c r="G1520" s="32">
        <v>43548</v>
      </c>
      <c r="H1520" s="33">
        <v>0.75694444444444453</v>
      </c>
      <c r="I1520" s="31">
        <v>320</v>
      </c>
      <c r="J1520" s="31" t="s">
        <v>835</v>
      </c>
      <c r="K1520" s="31" t="s">
        <v>25</v>
      </c>
      <c r="L1520" s="31"/>
      <c r="M1520" s="4" t="s">
        <v>293</v>
      </c>
    </row>
    <row r="1521" spans="1:13" x14ac:dyDescent="0.25">
      <c r="A1521" s="31" t="s">
        <v>1436</v>
      </c>
      <c r="B1521" s="31" t="s">
        <v>0</v>
      </c>
      <c r="C1521" s="31" t="s">
        <v>50</v>
      </c>
      <c r="D1521" s="31" t="s">
        <v>51</v>
      </c>
      <c r="E1521" s="31" t="s">
        <v>13</v>
      </c>
      <c r="F1521" s="32">
        <v>43405</v>
      </c>
      <c r="G1521" s="32">
        <v>43552</v>
      </c>
      <c r="H1521" s="33">
        <v>0.78125</v>
      </c>
      <c r="I1521" s="31">
        <v>320</v>
      </c>
      <c r="J1521" s="31" t="s">
        <v>835</v>
      </c>
      <c r="K1521" s="31" t="s">
        <v>25</v>
      </c>
      <c r="L1521" s="31"/>
      <c r="M1521" s="4" t="s">
        <v>293</v>
      </c>
    </row>
    <row r="1522" spans="1:13" x14ac:dyDescent="0.25">
      <c r="A1522" s="31" t="s">
        <v>1436</v>
      </c>
      <c r="B1522" s="31" t="s">
        <v>0</v>
      </c>
      <c r="C1522" s="31" t="s">
        <v>837</v>
      </c>
      <c r="D1522" s="31" t="s">
        <v>838</v>
      </c>
      <c r="E1522" s="31" t="s">
        <v>18</v>
      </c>
      <c r="F1522" s="32">
        <v>43471</v>
      </c>
      <c r="G1522" s="32">
        <v>43548</v>
      </c>
      <c r="H1522" s="33">
        <v>0.51388888888888895</v>
      </c>
      <c r="I1522" s="31">
        <v>343</v>
      </c>
      <c r="J1522" s="31" t="s">
        <v>839</v>
      </c>
      <c r="K1522" s="31" t="s">
        <v>840</v>
      </c>
      <c r="L1522" s="31"/>
      <c r="M1522" s="4" t="s">
        <v>293</v>
      </c>
    </row>
    <row r="1523" spans="1:13" x14ac:dyDescent="0.25">
      <c r="A1523" s="31" t="s">
        <v>1436</v>
      </c>
      <c r="B1523" s="31" t="s">
        <v>0</v>
      </c>
      <c r="C1523" s="31" t="s">
        <v>507</v>
      </c>
      <c r="D1523" s="31" t="s">
        <v>508</v>
      </c>
      <c r="E1523" s="31" t="s">
        <v>18</v>
      </c>
      <c r="F1523" s="32">
        <v>43401</v>
      </c>
      <c r="G1523" s="32">
        <v>43548</v>
      </c>
      <c r="H1523" s="33">
        <v>0.69097222222222221</v>
      </c>
      <c r="I1523" s="31" t="s">
        <v>139</v>
      </c>
      <c r="J1523" s="31" t="s">
        <v>1248</v>
      </c>
      <c r="K1523" s="31" t="s">
        <v>468</v>
      </c>
      <c r="L1523" s="31" t="s">
        <v>138</v>
      </c>
      <c r="M1523" s="4" t="s">
        <v>293</v>
      </c>
    </row>
    <row r="1524" spans="1:13" x14ac:dyDescent="0.25">
      <c r="A1524" s="31" t="s">
        <v>1436</v>
      </c>
      <c r="B1524" s="31" t="s">
        <v>0</v>
      </c>
      <c r="C1524" s="31" t="s">
        <v>507</v>
      </c>
      <c r="D1524" s="31" t="s">
        <v>508</v>
      </c>
      <c r="E1524" s="31" t="s">
        <v>48</v>
      </c>
      <c r="F1524" s="32">
        <v>43427</v>
      </c>
      <c r="G1524" s="32">
        <v>43539</v>
      </c>
      <c r="H1524" s="33">
        <v>0.69097222222222221</v>
      </c>
      <c r="I1524" s="31" t="s">
        <v>139</v>
      </c>
      <c r="J1524" s="31" t="s">
        <v>1248</v>
      </c>
      <c r="K1524" s="31" t="s">
        <v>468</v>
      </c>
      <c r="L1524" s="31" t="s">
        <v>138</v>
      </c>
      <c r="M1524" s="4" t="s">
        <v>293</v>
      </c>
    </row>
    <row r="1525" spans="1:13" x14ac:dyDescent="0.25">
      <c r="A1525" s="31" t="s">
        <v>1436</v>
      </c>
      <c r="B1525" s="31" t="s">
        <v>0</v>
      </c>
      <c r="C1525" s="31" t="s">
        <v>507</v>
      </c>
      <c r="D1525" s="31" t="s">
        <v>508</v>
      </c>
      <c r="E1525" s="31" t="s">
        <v>13</v>
      </c>
      <c r="F1525" s="32">
        <v>43405</v>
      </c>
      <c r="G1525" s="32">
        <v>43552</v>
      </c>
      <c r="H1525" s="33">
        <v>0.74305555555555547</v>
      </c>
      <c r="I1525" s="31" t="s">
        <v>139</v>
      </c>
      <c r="J1525" s="31" t="s">
        <v>1247</v>
      </c>
      <c r="K1525" s="31" t="s">
        <v>468</v>
      </c>
      <c r="L1525" s="31"/>
      <c r="M1525" s="4" t="s">
        <v>293</v>
      </c>
    </row>
    <row r="1526" spans="1:13" x14ac:dyDescent="0.25">
      <c r="A1526" s="31" t="s">
        <v>1436</v>
      </c>
      <c r="B1526" s="31" t="s">
        <v>0</v>
      </c>
      <c r="C1526" s="31" t="s">
        <v>507</v>
      </c>
      <c r="D1526" s="31" t="s">
        <v>508</v>
      </c>
      <c r="E1526" s="31" t="s">
        <v>22</v>
      </c>
      <c r="F1526" s="32">
        <v>43491</v>
      </c>
      <c r="G1526" s="32">
        <v>43554</v>
      </c>
      <c r="H1526" s="33">
        <v>0.74305555555555547</v>
      </c>
      <c r="I1526" s="31" t="s">
        <v>139</v>
      </c>
      <c r="J1526" s="31" t="s">
        <v>1247</v>
      </c>
      <c r="K1526" s="31" t="s">
        <v>468</v>
      </c>
      <c r="L1526" s="31"/>
      <c r="M1526" s="4" t="s">
        <v>293</v>
      </c>
    </row>
    <row r="1527" spans="1:13" x14ac:dyDescent="0.25">
      <c r="A1527" s="31" t="s">
        <v>1436</v>
      </c>
      <c r="B1527" s="31" t="s">
        <v>0</v>
      </c>
      <c r="C1527" s="31" t="s">
        <v>538</v>
      </c>
      <c r="D1527" s="31" t="s">
        <v>539</v>
      </c>
      <c r="E1527" s="31" t="s">
        <v>841</v>
      </c>
      <c r="F1527" s="32">
        <v>43401</v>
      </c>
      <c r="G1527" s="32">
        <v>43554</v>
      </c>
      <c r="H1527" s="33">
        <v>0.3298611111111111</v>
      </c>
      <c r="I1527" s="31" t="s">
        <v>139</v>
      </c>
      <c r="J1527" s="31" t="s">
        <v>842</v>
      </c>
      <c r="K1527" s="31" t="s">
        <v>25</v>
      </c>
      <c r="M1527" s="4" t="s">
        <v>293</v>
      </c>
    </row>
    <row r="1528" spans="1:13" x14ac:dyDescent="0.25">
      <c r="A1528" s="31" t="s">
        <v>1436</v>
      </c>
      <c r="B1528" s="31" t="s">
        <v>0</v>
      </c>
      <c r="C1528" s="31" t="s">
        <v>538</v>
      </c>
      <c r="D1528" s="31" t="s">
        <v>539</v>
      </c>
      <c r="E1528" s="31" t="s">
        <v>20</v>
      </c>
      <c r="F1528" s="32">
        <v>43495</v>
      </c>
      <c r="G1528" s="32">
        <v>43551</v>
      </c>
      <c r="H1528" s="33">
        <v>0.33333333333333331</v>
      </c>
      <c r="I1528" s="31" t="s">
        <v>139</v>
      </c>
      <c r="J1528" s="31" t="s">
        <v>842</v>
      </c>
      <c r="K1528" s="31" t="s">
        <v>25</v>
      </c>
      <c r="M1528" s="4" t="s">
        <v>293</v>
      </c>
    </row>
    <row r="1529" spans="1:13" x14ac:dyDescent="0.25">
      <c r="A1529" s="31" t="s">
        <v>1436</v>
      </c>
      <c r="B1529" s="31" t="s">
        <v>0</v>
      </c>
      <c r="C1529" s="31" t="s">
        <v>538</v>
      </c>
      <c r="D1529" s="31" t="s">
        <v>539</v>
      </c>
      <c r="E1529" s="31" t="s">
        <v>841</v>
      </c>
      <c r="F1529" s="32">
        <v>43473</v>
      </c>
      <c r="G1529" s="32">
        <v>43554</v>
      </c>
      <c r="H1529" s="33">
        <v>0.4236111111111111</v>
      </c>
      <c r="I1529" s="31" t="s">
        <v>139</v>
      </c>
      <c r="J1529" s="31" t="s">
        <v>843</v>
      </c>
      <c r="K1529" s="31" t="s">
        <v>25</v>
      </c>
      <c r="M1529" s="4" t="s">
        <v>293</v>
      </c>
    </row>
    <row r="1530" spans="1:13" x14ac:dyDescent="0.25">
      <c r="A1530" s="31" t="s">
        <v>1436</v>
      </c>
      <c r="B1530" s="31" t="s">
        <v>0</v>
      </c>
      <c r="C1530" s="31" t="s">
        <v>538</v>
      </c>
      <c r="D1530" s="31" t="s">
        <v>539</v>
      </c>
      <c r="E1530" s="31" t="s">
        <v>20</v>
      </c>
      <c r="F1530" s="32">
        <v>43404</v>
      </c>
      <c r="G1530" s="32">
        <v>43551</v>
      </c>
      <c r="H1530" s="33">
        <v>0.47916666666666669</v>
      </c>
      <c r="I1530" s="31" t="s">
        <v>139</v>
      </c>
      <c r="J1530" s="31" t="s">
        <v>843</v>
      </c>
      <c r="K1530" s="31" t="s">
        <v>25</v>
      </c>
      <c r="M1530" s="4" t="s">
        <v>293</v>
      </c>
    </row>
    <row r="1531" spans="1:13" x14ac:dyDescent="0.25">
      <c r="A1531" s="31" t="s">
        <v>1436</v>
      </c>
      <c r="B1531" s="31" t="s">
        <v>0</v>
      </c>
      <c r="C1531" s="31" t="s">
        <v>538</v>
      </c>
      <c r="D1531" s="31" t="s">
        <v>539</v>
      </c>
      <c r="E1531" s="31" t="s">
        <v>391</v>
      </c>
      <c r="F1531" s="32">
        <v>43403</v>
      </c>
      <c r="G1531" s="32">
        <v>43552</v>
      </c>
      <c r="H1531" s="33">
        <v>0.58333333333333337</v>
      </c>
      <c r="I1531" s="31" t="s">
        <v>139</v>
      </c>
      <c r="J1531" s="31" t="s">
        <v>844</v>
      </c>
      <c r="K1531" s="31" t="s">
        <v>25</v>
      </c>
      <c r="M1531" s="4" t="s">
        <v>293</v>
      </c>
    </row>
    <row r="1532" spans="1:13" x14ac:dyDescent="0.25">
      <c r="A1532" s="31" t="s">
        <v>1436</v>
      </c>
      <c r="B1532" s="31" t="s">
        <v>0</v>
      </c>
      <c r="C1532" s="31" t="s">
        <v>538</v>
      </c>
      <c r="D1532" s="31" t="s">
        <v>539</v>
      </c>
      <c r="E1532" s="31" t="s">
        <v>672</v>
      </c>
      <c r="F1532" s="32">
        <v>43472</v>
      </c>
      <c r="G1532" s="32">
        <v>43554</v>
      </c>
      <c r="H1532" s="33">
        <v>0.58333333333333337</v>
      </c>
      <c r="I1532" s="31" t="s">
        <v>139</v>
      </c>
      <c r="J1532" s="31" t="s">
        <v>844</v>
      </c>
      <c r="K1532" s="31" t="s">
        <v>25</v>
      </c>
      <c r="M1532" s="4" t="s">
        <v>293</v>
      </c>
    </row>
    <row r="1533" spans="1:13" x14ac:dyDescent="0.25">
      <c r="A1533" s="31" t="s">
        <v>1436</v>
      </c>
      <c r="B1533" s="31" t="s">
        <v>0</v>
      </c>
      <c r="C1533" s="31" t="s">
        <v>538</v>
      </c>
      <c r="D1533" s="31" t="s">
        <v>539</v>
      </c>
      <c r="E1533" s="31" t="s">
        <v>48</v>
      </c>
      <c r="F1533" s="32">
        <v>43406</v>
      </c>
      <c r="G1533" s="32">
        <v>43553</v>
      </c>
      <c r="H1533" s="33">
        <v>0.59027777777777779</v>
      </c>
      <c r="I1533" s="31" t="s">
        <v>139</v>
      </c>
      <c r="J1533" s="31" t="s">
        <v>844</v>
      </c>
      <c r="K1533" s="31" t="s">
        <v>25</v>
      </c>
      <c r="M1533" s="4" t="s">
        <v>293</v>
      </c>
    </row>
    <row r="1534" spans="1:13" x14ac:dyDescent="0.25">
      <c r="A1534" s="31" t="s">
        <v>1436</v>
      </c>
      <c r="B1534" s="31" t="s">
        <v>0</v>
      </c>
      <c r="C1534" s="31" t="s">
        <v>538</v>
      </c>
      <c r="D1534" s="31" t="s">
        <v>539</v>
      </c>
      <c r="E1534" s="31" t="s">
        <v>18</v>
      </c>
      <c r="F1534" s="32">
        <v>43471</v>
      </c>
      <c r="G1534" s="32">
        <v>43548</v>
      </c>
      <c r="H1534" s="33">
        <v>0.63194444444444442</v>
      </c>
      <c r="I1534" s="31" t="s">
        <v>139</v>
      </c>
      <c r="J1534" s="31" t="s">
        <v>844</v>
      </c>
      <c r="K1534" s="31" t="s">
        <v>25</v>
      </c>
      <c r="M1534" s="4" t="s">
        <v>293</v>
      </c>
    </row>
    <row r="1535" spans="1:13" x14ac:dyDescent="0.25">
      <c r="A1535" s="31" t="s">
        <v>1436</v>
      </c>
      <c r="B1535" s="31" t="s">
        <v>0</v>
      </c>
      <c r="C1535" s="31" t="s">
        <v>538</v>
      </c>
      <c r="D1535" s="31" t="s">
        <v>539</v>
      </c>
      <c r="E1535" s="31" t="s">
        <v>144</v>
      </c>
      <c r="F1535" s="32">
        <v>43430</v>
      </c>
      <c r="G1535" s="32">
        <v>43554</v>
      </c>
      <c r="H1535" s="33">
        <v>0.67361111111111116</v>
      </c>
      <c r="I1535" s="31" t="s">
        <v>139</v>
      </c>
      <c r="J1535" s="31" t="s">
        <v>845</v>
      </c>
      <c r="K1535" s="31" t="s">
        <v>25</v>
      </c>
      <c r="M1535" s="4" t="s">
        <v>293</v>
      </c>
    </row>
    <row r="1536" spans="1:13" x14ac:dyDescent="0.25">
      <c r="A1536" s="31" t="s">
        <v>1436</v>
      </c>
      <c r="B1536" s="31" t="s">
        <v>0</v>
      </c>
      <c r="C1536" s="31" t="s">
        <v>538</v>
      </c>
      <c r="D1536" s="31" t="s">
        <v>539</v>
      </c>
      <c r="E1536" s="31" t="s">
        <v>143</v>
      </c>
      <c r="F1536" s="32">
        <v>43401</v>
      </c>
      <c r="G1536" s="32">
        <v>43553</v>
      </c>
      <c r="H1536" s="33">
        <v>0.6875</v>
      </c>
      <c r="I1536" s="31" t="s">
        <v>139</v>
      </c>
      <c r="J1536" s="31" t="s">
        <v>846</v>
      </c>
      <c r="K1536" s="31" t="s">
        <v>25</v>
      </c>
      <c r="M1536" s="4" t="s">
        <v>293</v>
      </c>
    </row>
    <row r="1537" spans="1:13" x14ac:dyDescent="0.25">
      <c r="A1537" s="31" t="s">
        <v>1436</v>
      </c>
      <c r="B1537" s="31" t="s">
        <v>0</v>
      </c>
      <c r="C1537" s="31" t="s">
        <v>538</v>
      </c>
      <c r="D1537" s="31" t="s">
        <v>539</v>
      </c>
      <c r="E1537" s="31" t="s">
        <v>22</v>
      </c>
      <c r="F1537" s="32">
        <v>43407</v>
      </c>
      <c r="G1537" s="32">
        <v>43554</v>
      </c>
      <c r="H1537" s="33">
        <v>0.70138888888888884</v>
      </c>
      <c r="I1537" s="31" t="s">
        <v>139</v>
      </c>
      <c r="J1537" s="31" t="s">
        <v>846</v>
      </c>
      <c r="K1537" s="31" t="s">
        <v>25</v>
      </c>
      <c r="M1537" s="4" t="s">
        <v>293</v>
      </c>
    </row>
    <row r="1538" spans="1:13" x14ac:dyDescent="0.25">
      <c r="A1538" s="31" t="s">
        <v>1436</v>
      </c>
      <c r="B1538" s="31" t="s">
        <v>0</v>
      </c>
      <c r="C1538" s="31" t="s">
        <v>538</v>
      </c>
      <c r="D1538" s="31" t="s">
        <v>539</v>
      </c>
      <c r="E1538" s="31" t="s">
        <v>383</v>
      </c>
      <c r="F1538" s="32">
        <v>43402</v>
      </c>
      <c r="G1538" s="32">
        <v>43552</v>
      </c>
      <c r="H1538" s="33">
        <v>0.70486111111111116</v>
      </c>
      <c r="I1538" s="31" t="s">
        <v>139</v>
      </c>
      <c r="J1538" s="31" t="s">
        <v>846</v>
      </c>
      <c r="K1538" s="31" t="s">
        <v>25</v>
      </c>
      <c r="M1538" s="4" t="s">
        <v>293</v>
      </c>
    </row>
    <row r="1539" spans="1:13" x14ac:dyDescent="0.25">
      <c r="A1539" s="31" t="s">
        <v>1436</v>
      </c>
      <c r="B1539" s="31" t="s">
        <v>0</v>
      </c>
      <c r="C1539" s="31" t="s">
        <v>556</v>
      </c>
      <c r="D1539" s="31" t="s">
        <v>80</v>
      </c>
      <c r="E1539" s="31" t="s">
        <v>18</v>
      </c>
      <c r="F1539" s="32">
        <v>43401</v>
      </c>
      <c r="G1539" s="32">
        <v>43548</v>
      </c>
      <c r="H1539" s="33">
        <v>0.29166666666666669</v>
      </c>
      <c r="I1539" s="31" t="s">
        <v>139</v>
      </c>
      <c r="J1539" s="31" t="s">
        <v>847</v>
      </c>
      <c r="K1539" s="31" t="s">
        <v>25</v>
      </c>
      <c r="M1539" s="4" t="s">
        <v>293</v>
      </c>
    </row>
    <row r="1540" spans="1:13" x14ac:dyDescent="0.25">
      <c r="A1540" s="31" t="s">
        <v>1436</v>
      </c>
      <c r="B1540" s="31" t="s">
        <v>0</v>
      </c>
      <c r="C1540" s="31" t="s">
        <v>556</v>
      </c>
      <c r="D1540" s="31" t="s">
        <v>80</v>
      </c>
      <c r="E1540" s="31" t="s">
        <v>22</v>
      </c>
      <c r="F1540" s="32">
        <v>43407</v>
      </c>
      <c r="G1540" s="32">
        <v>43554</v>
      </c>
      <c r="H1540" s="33">
        <v>0.2951388888888889</v>
      </c>
      <c r="I1540" s="31" t="s">
        <v>139</v>
      </c>
      <c r="J1540" s="31" t="s">
        <v>847</v>
      </c>
      <c r="K1540" s="31" t="s">
        <v>25</v>
      </c>
      <c r="M1540" s="4" t="s">
        <v>293</v>
      </c>
    </row>
    <row r="1541" spans="1:13" x14ac:dyDescent="0.25">
      <c r="A1541" s="31" t="s">
        <v>1436</v>
      </c>
      <c r="B1541" s="31" t="s">
        <v>0</v>
      </c>
      <c r="C1541" s="31" t="s">
        <v>556</v>
      </c>
      <c r="D1541" s="31" t="s">
        <v>80</v>
      </c>
      <c r="E1541" s="31" t="s">
        <v>379</v>
      </c>
      <c r="F1541" s="32">
        <v>43402</v>
      </c>
      <c r="G1541" s="32">
        <v>43553</v>
      </c>
      <c r="H1541" s="33">
        <v>0.2986111111111111</v>
      </c>
      <c r="I1541" s="31" t="s">
        <v>139</v>
      </c>
      <c r="J1541" s="31" t="s">
        <v>847</v>
      </c>
      <c r="K1541" s="31" t="s">
        <v>25</v>
      </c>
      <c r="M1541" s="4" t="s">
        <v>293</v>
      </c>
    </row>
    <row r="1542" spans="1:13" x14ac:dyDescent="0.25">
      <c r="A1542" s="31" t="s">
        <v>1436</v>
      </c>
      <c r="B1542" s="31" t="s">
        <v>0</v>
      </c>
      <c r="C1542" s="31" t="s">
        <v>556</v>
      </c>
      <c r="D1542" s="31" t="s">
        <v>80</v>
      </c>
      <c r="E1542" s="31" t="s">
        <v>1527</v>
      </c>
      <c r="F1542" s="32">
        <v>43404</v>
      </c>
      <c r="G1542" s="32">
        <v>43554</v>
      </c>
      <c r="H1542" s="33">
        <v>0.41319444444444442</v>
      </c>
      <c r="I1542" s="31" t="s">
        <v>139</v>
      </c>
      <c r="J1542" s="31" t="s">
        <v>848</v>
      </c>
      <c r="K1542" s="31" t="s">
        <v>25</v>
      </c>
      <c r="M1542" s="4" t="s">
        <v>293</v>
      </c>
    </row>
    <row r="1543" spans="1:13" x14ac:dyDescent="0.25">
      <c r="A1543" s="31" t="s">
        <v>1436</v>
      </c>
      <c r="B1543" s="31" t="s">
        <v>0</v>
      </c>
      <c r="C1543" s="31" t="s">
        <v>556</v>
      </c>
      <c r="D1543" s="31" t="s">
        <v>80</v>
      </c>
      <c r="E1543" s="31" t="s">
        <v>59</v>
      </c>
      <c r="F1543" s="32">
        <v>43465</v>
      </c>
      <c r="G1543" s="32">
        <v>43549</v>
      </c>
      <c r="H1543" s="33">
        <v>0.41319444444444442</v>
      </c>
      <c r="I1543" s="31" t="s">
        <v>139</v>
      </c>
      <c r="J1543" s="31" t="s">
        <v>848</v>
      </c>
      <c r="K1543" s="31" t="s">
        <v>25</v>
      </c>
      <c r="M1543" s="4" t="s">
        <v>293</v>
      </c>
    </row>
    <row r="1544" spans="1:13" x14ac:dyDescent="0.25">
      <c r="A1544" s="31" t="s">
        <v>1436</v>
      </c>
      <c r="B1544" s="31" t="s">
        <v>0</v>
      </c>
      <c r="C1544" s="31" t="s">
        <v>556</v>
      </c>
      <c r="D1544" s="31" t="s">
        <v>80</v>
      </c>
      <c r="E1544" s="31" t="s">
        <v>976</v>
      </c>
      <c r="F1544" s="32">
        <v>43473</v>
      </c>
      <c r="G1544" s="32">
        <v>43550</v>
      </c>
      <c r="H1544" s="33">
        <v>0.41319444444444442</v>
      </c>
      <c r="I1544" s="31" t="s">
        <v>139</v>
      </c>
      <c r="J1544" s="31" t="s">
        <v>848</v>
      </c>
      <c r="K1544" s="31" t="s">
        <v>25</v>
      </c>
      <c r="M1544" s="4" t="s">
        <v>293</v>
      </c>
    </row>
    <row r="1545" spans="1:13" x14ac:dyDescent="0.25">
      <c r="A1545" s="31" t="s">
        <v>1436</v>
      </c>
      <c r="B1545" s="31" t="s">
        <v>0</v>
      </c>
      <c r="C1545" s="31" t="s">
        <v>556</v>
      </c>
      <c r="D1545" s="31" t="s">
        <v>80</v>
      </c>
      <c r="E1545" s="31" t="s">
        <v>13</v>
      </c>
      <c r="F1545" s="32">
        <v>43475</v>
      </c>
      <c r="G1545" s="32">
        <v>43552</v>
      </c>
      <c r="H1545" s="33">
        <v>0.4375</v>
      </c>
      <c r="I1545" s="31" t="s">
        <v>139</v>
      </c>
      <c r="J1545" s="31" t="s">
        <v>848</v>
      </c>
      <c r="K1545" s="31" t="s">
        <v>25</v>
      </c>
      <c r="M1545" s="4" t="s">
        <v>293</v>
      </c>
    </row>
    <row r="1546" spans="1:13" x14ac:dyDescent="0.25">
      <c r="A1546" s="31" t="s">
        <v>1436</v>
      </c>
      <c r="B1546" s="31" t="s">
        <v>0</v>
      </c>
      <c r="C1546" s="31" t="s">
        <v>556</v>
      </c>
      <c r="D1546" s="31" t="s">
        <v>80</v>
      </c>
      <c r="E1546" s="31" t="s">
        <v>48</v>
      </c>
      <c r="F1546" s="32">
        <v>43476</v>
      </c>
      <c r="G1546" s="32">
        <v>43518</v>
      </c>
      <c r="H1546" s="33">
        <v>0.52083333333333337</v>
      </c>
      <c r="I1546" s="31" t="s">
        <v>139</v>
      </c>
      <c r="J1546" s="31" t="s">
        <v>850</v>
      </c>
      <c r="K1546" s="31" t="s">
        <v>25</v>
      </c>
      <c r="M1546" s="4" t="s">
        <v>293</v>
      </c>
    </row>
    <row r="1547" spans="1:13" x14ac:dyDescent="0.25">
      <c r="A1547" s="31" t="s">
        <v>1436</v>
      </c>
      <c r="B1547" s="31" t="s">
        <v>0</v>
      </c>
      <c r="C1547" s="31" t="s">
        <v>556</v>
      </c>
      <c r="D1547" s="31" t="s">
        <v>80</v>
      </c>
      <c r="E1547" s="31" t="s">
        <v>22</v>
      </c>
      <c r="F1547" s="32">
        <v>43407</v>
      </c>
      <c r="G1547" s="32">
        <v>43554</v>
      </c>
      <c r="H1547" s="33">
        <v>0.52430555555555558</v>
      </c>
      <c r="I1547" s="31" t="s">
        <v>139</v>
      </c>
      <c r="J1547" s="31" t="s">
        <v>850</v>
      </c>
      <c r="K1547" s="31" t="s">
        <v>25</v>
      </c>
      <c r="M1547" s="4" t="s">
        <v>293</v>
      </c>
    </row>
    <row r="1548" spans="1:13" x14ac:dyDescent="0.25">
      <c r="A1548" s="31" t="s">
        <v>1436</v>
      </c>
      <c r="B1548" s="31" t="s">
        <v>0</v>
      </c>
      <c r="C1548" s="31" t="s">
        <v>556</v>
      </c>
      <c r="D1548" s="31" t="s">
        <v>80</v>
      </c>
      <c r="E1548" s="31" t="s">
        <v>18</v>
      </c>
      <c r="F1548" s="32">
        <v>43499</v>
      </c>
      <c r="G1548" s="32">
        <v>43548</v>
      </c>
      <c r="H1548" s="33">
        <v>0.55902777777777779</v>
      </c>
      <c r="I1548" s="31" t="s">
        <v>139</v>
      </c>
      <c r="J1548" s="31" t="s">
        <v>850</v>
      </c>
      <c r="K1548" s="31" t="s">
        <v>25</v>
      </c>
      <c r="M1548" s="4" t="s">
        <v>293</v>
      </c>
    </row>
    <row r="1549" spans="1:13" x14ac:dyDescent="0.25">
      <c r="A1549" s="31" t="s">
        <v>1436</v>
      </c>
      <c r="B1549" s="31" t="s">
        <v>0</v>
      </c>
      <c r="C1549" s="31" t="s">
        <v>556</v>
      </c>
      <c r="D1549" s="31" t="s">
        <v>80</v>
      </c>
      <c r="E1549" s="31" t="s">
        <v>167</v>
      </c>
      <c r="F1549" s="32">
        <v>43402</v>
      </c>
      <c r="G1549" s="32">
        <v>43551</v>
      </c>
      <c r="H1549" s="33">
        <v>0.59722222222222221</v>
      </c>
      <c r="I1549" s="31" t="s">
        <v>139</v>
      </c>
      <c r="J1549" s="31" t="s">
        <v>851</v>
      </c>
      <c r="K1549" s="31" t="s">
        <v>25</v>
      </c>
      <c r="M1549" s="4" t="s">
        <v>293</v>
      </c>
    </row>
    <row r="1550" spans="1:13" x14ac:dyDescent="0.25">
      <c r="A1550" s="31" t="s">
        <v>1436</v>
      </c>
      <c r="B1550" s="31" t="s">
        <v>0</v>
      </c>
      <c r="C1550" s="31" t="s">
        <v>556</v>
      </c>
      <c r="D1550" s="31" t="s">
        <v>80</v>
      </c>
      <c r="E1550" s="31" t="s">
        <v>13</v>
      </c>
      <c r="F1550" s="32">
        <v>43461</v>
      </c>
      <c r="G1550" s="32">
        <v>43552</v>
      </c>
      <c r="H1550" s="33">
        <v>0.59722222222222221</v>
      </c>
      <c r="I1550" s="31" t="s">
        <v>139</v>
      </c>
      <c r="J1550" s="31" t="s">
        <v>851</v>
      </c>
      <c r="K1550" s="31" t="s">
        <v>25</v>
      </c>
      <c r="M1550" s="4" t="s">
        <v>293</v>
      </c>
    </row>
    <row r="1551" spans="1:13" x14ac:dyDescent="0.25">
      <c r="A1551" s="31" t="s">
        <v>1436</v>
      </c>
      <c r="B1551" s="31" t="s">
        <v>0</v>
      </c>
      <c r="C1551" s="31" t="s">
        <v>556</v>
      </c>
      <c r="D1551" s="31" t="s">
        <v>80</v>
      </c>
      <c r="E1551" s="31" t="s">
        <v>48</v>
      </c>
      <c r="F1551" s="32">
        <v>43406</v>
      </c>
      <c r="G1551" s="32">
        <v>43553</v>
      </c>
      <c r="H1551" s="33">
        <v>0.63541666666666663</v>
      </c>
      <c r="I1551" s="31" t="s">
        <v>139</v>
      </c>
      <c r="J1551" s="31" t="s">
        <v>851</v>
      </c>
      <c r="K1551" s="31" t="s">
        <v>25</v>
      </c>
      <c r="M1551" s="4" t="s">
        <v>293</v>
      </c>
    </row>
    <row r="1552" spans="1:13" x14ac:dyDescent="0.25">
      <c r="A1552" s="31" t="s">
        <v>1436</v>
      </c>
      <c r="B1552" s="31" t="s">
        <v>0</v>
      </c>
      <c r="C1552" s="31" t="s">
        <v>556</v>
      </c>
      <c r="D1552" s="31" t="s">
        <v>80</v>
      </c>
      <c r="E1552" s="31" t="s">
        <v>13</v>
      </c>
      <c r="F1552" s="32">
        <v>43475</v>
      </c>
      <c r="G1552" s="32">
        <v>43552</v>
      </c>
      <c r="H1552" s="33">
        <v>0.64583333333333337</v>
      </c>
      <c r="I1552" s="31" t="s">
        <v>139</v>
      </c>
      <c r="J1552" s="31" t="s">
        <v>852</v>
      </c>
      <c r="K1552" s="31" t="s">
        <v>25</v>
      </c>
      <c r="M1552" s="4" t="s">
        <v>293</v>
      </c>
    </row>
    <row r="1553" spans="1:13" x14ac:dyDescent="0.25">
      <c r="A1553" s="31" t="s">
        <v>1436</v>
      </c>
      <c r="B1553" s="31" t="s">
        <v>0</v>
      </c>
      <c r="C1553" s="31" t="s">
        <v>556</v>
      </c>
      <c r="D1553" s="31" t="s">
        <v>80</v>
      </c>
      <c r="E1553" s="31" t="s">
        <v>48</v>
      </c>
      <c r="F1553" s="32">
        <v>43406</v>
      </c>
      <c r="G1553" s="32">
        <v>43553</v>
      </c>
      <c r="H1553" s="33">
        <v>0.72916666666666663</v>
      </c>
      <c r="I1553" s="31" t="s">
        <v>139</v>
      </c>
      <c r="J1553" s="31" t="s">
        <v>849</v>
      </c>
      <c r="K1553" s="31" t="s">
        <v>25</v>
      </c>
      <c r="M1553" s="4" t="s">
        <v>293</v>
      </c>
    </row>
    <row r="1554" spans="1:13" x14ac:dyDescent="0.25">
      <c r="A1554" s="31" t="s">
        <v>1436</v>
      </c>
      <c r="B1554" s="31" t="s">
        <v>0</v>
      </c>
      <c r="C1554" s="31" t="s">
        <v>556</v>
      </c>
      <c r="D1554" s="31" t="s">
        <v>80</v>
      </c>
      <c r="E1554" s="31" t="s">
        <v>18</v>
      </c>
      <c r="F1554" s="32">
        <v>43478</v>
      </c>
      <c r="G1554" s="32">
        <v>43548</v>
      </c>
      <c r="H1554" s="33">
        <v>0.72916666666666663</v>
      </c>
      <c r="I1554" s="31" t="s">
        <v>139</v>
      </c>
      <c r="J1554" s="31" t="s">
        <v>851</v>
      </c>
      <c r="K1554" s="31" t="s">
        <v>25</v>
      </c>
      <c r="M1554" s="4" t="s">
        <v>293</v>
      </c>
    </row>
    <row r="1555" spans="1:13" x14ac:dyDescent="0.25">
      <c r="A1555" s="31" t="s">
        <v>1436</v>
      </c>
      <c r="B1555" s="31" t="s">
        <v>0</v>
      </c>
      <c r="C1555" s="31" t="s">
        <v>556</v>
      </c>
      <c r="D1555" s="31" t="s">
        <v>80</v>
      </c>
      <c r="E1555" s="31" t="s">
        <v>18</v>
      </c>
      <c r="F1555" s="32">
        <v>43506</v>
      </c>
      <c r="G1555" s="32">
        <v>43520</v>
      </c>
      <c r="H1555" s="33">
        <v>0.78472222222222221</v>
      </c>
      <c r="I1555" s="31" t="s">
        <v>139</v>
      </c>
      <c r="J1555" s="31" t="s">
        <v>854</v>
      </c>
      <c r="K1555" s="31" t="s">
        <v>25</v>
      </c>
      <c r="M1555" s="4" t="s">
        <v>293</v>
      </c>
    </row>
    <row r="1556" spans="1:13" x14ac:dyDescent="0.25">
      <c r="A1556" s="31" t="s">
        <v>1436</v>
      </c>
      <c r="B1556" s="31" t="s">
        <v>0</v>
      </c>
      <c r="C1556" s="31" t="s">
        <v>556</v>
      </c>
      <c r="D1556" s="31" t="s">
        <v>80</v>
      </c>
      <c r="E1556" s="31" t="s">
        <v>814</v>
      </c>
      <c r="F1556" s="32">
        <v>43402</v>
      </c>
      <c r="G1556" s="32">
        <v>43554</v>
      </c>
      <c r="H1556" s="33">
        <v>0.79861111111111116</v>
      </c>
      <c r="I1556" s="31" t="s">
        <v>139</v>
      </c>
      <c r="J1556" s="31" t="s">
        <v>854</v>
      </c>
      <c r="K1556" s="31" t="s">
        <v>25</v>
      </c>
      <c r="M1556" s="4" t="s">
        <v>293</v>
      </c>
    </row>
    <row r="1557" spans="1:13" x14ac:dyDescent="0.25">
      <c r="A1557" s="31" t="s">
        <v>1436</v>
      </c>
      <c r="B1557" s="31" t="s">
        <v>0</v>
      </c>
      <c r="C1557" s="31" t="s">
        <v>556</v>
      </c>
      <c r="D1557" s="31" t="s">
        <v>80</v>
      </c>
      <c r="E1557" s="31" t="s">
        <v>48</v>
      </c>
      <c r="F1557" s="32">
        <v>43497</v>
      </c>
      <c r="G1557" s="32">
        <v>43518</v>
      </c>
      <c r="H1557" s="33">
        <v>0.79861111111111116</v>
      </c>
      <c r="I1557" s="31" t="s">
        <v>139</v>
      </c>
      <c r="J1557" s="31" t="s">
        <v>854</v>
      </c>
      <c r="K1557" s="31" t="s">
        <v>25</v>
      </c>
      <c r="M1557" s="4" t="s">
        <v>293</v>
      </c>
    </row>
    <row r="1558" spans="1:13" x14ac:dyDescent="0.25">
      <c r="A1558" s="31" t="s">
        <v>1436</v>
      </c>
      <c r="B1558" s="31" t="s">
        <v>0</v>
      </c>
      <c r="C1558" s="31" t="s">
        <v>556</v>
      </c>
      <c r="D1558" s="31" t="s">
        <v>80</v>
      </c>
      <c r="E1558" s="31" t="s">
        <v>144</v>
      </c>
      <c r="F1558" s="32">
        <v>43430</v>
      </c>
      <c r="G1558" s="32">
        <v>43554</v>
      </c>
      <c r="H1558" s="33">
        <v>0.8125</v>
      </c>
      <c r="I1558" s="31" t="s">
        <v>139</v>
      </c>
      <c r="J1558" s="31" t="s">
        <v>853</v>
      </c>
      <c r="K1558" s="31" t="s">
        <v>25</v>
      </c>
      <c r="M1558" s="4" t="s">
        <v>293</v>
      </c>
    </row>
    <row r="1559" spans="1:13" x14ac:dyDescent="0.25">
      <c r="A1559" s="31" t="s">
        <v>1436</v>
      </c>
      <c r="B1559" s="31" t="s">
        <v>0</v>
      </c>
      <c r="C1559" s="31" t="s">
        <v>556</v>
      </c>
      <c r="D1559" s="31" t="s">
        <v>80</v>
      </c>
      <c r="E1559" s="31" t="s">
        <v>48</v>
      </c>
      <c r="F1559" s="32">
        <v>43406</v>
      </c>
      <c r="G1559" s="32">
        <v>43553</v>
      </c>
      <c r="H1559" s="33">
        <v>0.85416666666666663</v>
      </c>
      <c r="I1559" s="31" t="s">
        <v>139</v>
      </c>
      <c r="J1559" s="31" t="s">
        <v>852</v>
      </c>
      <c r="K1559" s="31" t="s">
        <v>25</v>
      </c>
      <c r="M1559" s="4" t="s">
        <v>293</v>
      </c>
    </row>
    <row r="1560" spans="1:13" x14ac:dyDescent="0.25">
      <c r="A1560" s="31" t="s">
        <v>1436</v>
      </c>
      <c r="B1560" s="31" t="s">
        <v>0</v>
      </c>
      <c r="C1560" s="31" t="s">
        <v>556</v>
      </c>
      <c r="D1560" s="31" t="s">
        <v>80</v>
      </c>
      <c r="E1560" s="31" t="s">
        <v>18</v>
      </c>
      <c r="F1560" s="32">
        <v>43471</v>
      </c>
      <c r="G1560" s="32">
        <v>43548</v>
      </c>
      <c r="H1560" s="33">
        <v>0.85416666666666663</v>
      </c>
      <c r="I1560" s="31" t="s">
        <v>139</v>
      </c>
      <c r="J1560" s="31" t="s">
        <v>852</v>
      </c>
      <c r="K1560" s="31" t="s">
        <v>25</v>
      </c>
      <c r="M1560" s="4" t="s">
        <v>293</v>
      </c>
    </row>
    <row r="1561" spans="1:13" x14ac:dyDescent="0.25">
      <c r="A1561" s="31" t="s">
        <v>1436</v>
      </c>
      <c r="B1561" s="31" t="s">
        <v>0</v>
      </c>
      <c r="C1561" s="31" t="s">
        <v>580</v>
      </c>
      <c r="D1561" s="31" t="s">
        <v>503</v>
      </c>
      <c r="E1561" s="31" t="s">
        <v>22</v>
      </c>
      <c r="F1561" s="32">
        <v>43407</v>
      </c>
      <c r="G1561" s="32">
        <v>43554</v>
      </c>
      <c r="H1561" s="33">
        <v>0.62152777777777779</v>
      </c>
      <c r="I1561" s="31" t="s">
        <v>139</v>
      </c>
      <c r="J1561" s="31" t="s">
        <v>1272</v>
      </c>
      <c r="K1561" s="31" t="s">
        <v>582</v>
      </c>
      <c r="M1561" s="4" t="s">
        <v>293</v>
      </c>
    </row>
    <row r="1562" spans="1:13" x14ac:dyDescent="0.25">
      <c r="A1562" s="31" t="s">
        <v>1436</v>
      </c>
      <c r="B1562" s="31" t="s">
        <v>0</v>
      </c>
      <c r="C1562" s="31" t="s">
        <v>137</v>
      </c>
      <c r="D1562" s="31" t="s">
        <v>138</v>
      </c>
      <c r="E1562" s="31" t="s">
        <v>929</v>
      </c>
      <c r="F1562" s="32">
        <v>43402</v>
      </c>
      <c r="G1562" s="32">
        <v>43553</v>
      </c>
      <c r="H1562" s="33">
        <v>0.29166666666666669</v>
      </c>
      <c r="I1562" s="31" t="s">
        <v>141</v>
      </c>
      <c r="J1562" s="31" t="s">
        <v>855</v>
      </c>
      <c r="K1562" s="31" t="s">
        <v>25</v>
      </c>
      <c r="M1562" s="4" t="s">
        <v>293</v>
      </c>
    </row>
    <row r="1563" spans="1:13" x14ac:dyDescent="0.25">
      <c r="A1563" s="31" t="s">
        <v>1436</v>
      </c>
      <c r="B1563" s="31" t="s">
        <v>0</v>
      </c>
      <c r="C1563" s="31" t="s">
        <v>137</v>
      </c>
      <c r="D1563" s="31" t="s">
        <v>138</v>
      </c>
      <c r="E1563" s="31" t="s">
        <v>13</v>
      </c>
      <c r="F1563" s="32">
        <v>43405</v>
      </c>
      <c r="G1563" s="32">
        <v>43524</v>
      </c>
      <c r="H1563" s="33">
        <v>0.29166666666666669</v>
      </c>
      <c r="I1563" s="31" t="s">
        <v>141</v>
      </c>
      <c r="J1563" s="31" t="s">
        <v>855</v>
      </c>
      <c r="K1563" s="31" t="s">
        <v>25</v>
      </c>
      <c r="M1563" s="4" t="s">
        <v>293</v>
      </c>
    </row>
    <row r="1564" spans="1:13" x14ac:dyDescent="0.25">
      <c r="A1564" s="31" t="s">
        <v>1436</v>
      </c>
      <c r="B1564" s="31" t="s">
        <v>0</v>
      </c>
      <c r="C1564" s="31" t="s">
        <v>137</v>
      </c>
      <c r="D1564" s="31" t="s">
        <v>138</v>
      </c>
      <c r="E1564" s="31" t="s">
        <v>19</v>
      </c>
      <c r="F1564" s="32">
        <v>43473</v>
      </c>
      <c r="G1564" s="32">
        <v>43522</v>
      </c>
      <c r="H1564" s="33">
        <v>0.29166666666666669</v>
      </c>
      <c r="I1564" s="31" t="s">
        <v>141</v>
      </c>
      <c r="J1564" s="31" t="s">
        <v>855</v>
      </c>
      <c r="K1564" s="31" t="s">
        <v>25</v>
      </c>
      <c r="M1564" s="4" t="s">
        <v>293</v>
      </c>
    </row>
    <row r="1565" spans="1:13" x14ac:dyDescent="0.25">
      <c r="A1565" s="31" t="s">
        <v>1436</v>
      </c>
      <c r="B1565" s="31" t="s">
        <v>0</v>
      </c>
      <c r="C1565" s="31" t="s">
        <v>137</v>
      </c>
      <c r="D1565" s="31" t="s">
        <v>138</v>
      </c>
      <c r="E1565" s="31" t="s">
        <v>858</v>
      </c>
      <c r="F1565" s="32">
        <v>43434</v>
      </c>
      <c r="G1565" s="32">
        <v>43554</v>
      </c>
      <c r="H1565" s="33">
        <v>0.3125</v>
      </c>
      <c r="I1565" s="31" t="s">
        <v>139</v>
      </c>
      <c r="J1565" s="31" t="s">
        <v>859</v>
      </c>
      <c r="K1565" s="31" t="s">
        <v>25</v>
      </c>
      <c r="M1565" s="4" t="s">
        <v>293</v>
      </c>
    </row>
    <row r="1566" spans="1:13" x14ac:dyDescent="0.25">
      <c r="A1566" s="31" t="s">
        <v>1436</v>
      </c>
      <c r="B1566" s="31" t="s">
        <v>0</v>
      </c>
      <c r="C1566" s="31" t="s">
        <v>137</v>
      </c>
      <c r="D1566" s="31" t="s">
        <v>138</v>
      </c>
      <c r="E1566" s="31" t="s">
        <v>228</v>
      </c>
      <c r="F1566" s="32">
        <v>43474</v>
      </c>
      <c r="G1566" s="32">
        <v>43552</v>
      </c>
      <c r="H1566" s="33">
        <v>0.3125</v>
      </c>
      <c r="I1566" s="31" t="s">
        <v>139</v>
      </c>
      <c r="J1566" s="31" t="s">
        <v>1273</v>
      </c>
      <c r="K1566" s="31" t="s">
        <v>25</v>
      </c>
      <c r="M1566" s="4" t="s">
        <v>293</v>
      </c>
    </row>
    <row r="1567" spans="1:13" x14ac:dyDescent="0.25">
      <c r="A1567" s="31" t="s">
        <v>1436</v>
      </c>
      <c r="B1567" s="31" t="s">
        <v>0</v>
      </c>
      <c r="C1567" s="31" t="s">
        <v>137</v>
      </c>
      <c r="D1567" s="31" t="s">
        <v>138</v>
      </c>
      <c r="E1567" s="31" t="s">
        <v>659</v>
      </c>
      <c r="F1567" s="32">
        <v>43402</v>
      </c>
      <c r="G1567" s="32">
        <v>43554</v>
      </c>
      <c r="H1567" s="33">
        <v>0.33333333333333331</v>
      </c>
      <c r="I1567" s="31" t="s">
        <v>141</v>
      </c>
      <c r="J1567" s="31" t="s">
        <v>856</v>
      </c>
      <c r="K1567" s="31" t="s">
        <v>25</v>
      </c>
      <c r="M1567" s="4" t="s">
        <v>293</v>
      </c>
    </row>
    <row r="1568" spans="1:13" x14ac:dyDescent="0.25">
      <c r="A1568" s="31" t="s">
        <v>1436</v>
      </c>
      <c r="B1568" s="31" t="s">
        <v>0</v>
      </c>
      <c r="C1568" s="31" t="s">
        <v>137</v>
      </c>
      <c r="D1568" s="31" t="s">
        <v>138</v>
      </c>
      <c r="E1568" s="31" t="s">
        <v>1527</v>
      </c>
      <c r="F1568" s="32">
        <v>43404</v>
      </c>
      <c r="G1568" s="32">
        <v>43554</v>
      </c>
      <c r="H1568" s="33">
        <v>0.33333333333333331</v>
      </c>
      <c r="I1568" s="31" t="s">
        <v>139</v>
      </c>
      <c r="J1568" s="31" t="s">
        <v>857</v>
      </c>
      <c r="K1568" s="31" t="s">
        <v>25</v>
      </c>
      <c r="M1568" s="4" t="s">
        <v>293</v>
      </c>
    </row>
    <row r="1569" spans="1:13" x14ac:dyDescent="0.25">
      <c r="A1569" s="31" t="s">
        <v>1436</v>
      </c>
      <c r="B1569" s="31" t="s">
        <v>0</v>
      </c>
      <c r="C1569" s="31" t="s">
        <v>137</v>
      </c>
      <c r="D1569" s="31" t="s">
        <v>138</v>
      </c>
      <c r="E1569" s="31" t="s">
        <v>48</v>
      </c>
      <c r="F1569" s="32">
        <v>43441</v>
      </c>
      <c r="G1569" s="32">
        <v>43553</v>
      </c>
      <c r="H1569" s="33">
        <v>0.33333333333333331</v>
      </c>
      <c r="I1569" s="31" t="s">
        <v>141</v>
      </c>
      <c r="J1569" s="31" t="s">
        <v>856</v>
      </c>
      <c r="K1569" s="31" t="s">
        <v>25</v>
      </c>
      <c r="M1569" s="4" t="s">
        <v>293</v>
      </c>
    </row>
    <row r="1570" spans="1:13" x14ac:dyDescent="0.25">
      <c r="A1570" s="31" t="s">
        <v>1436</v>
      </c>
      <c r="B1570" s="31" t="s">
        <v>0</v>
      </c>
      <c r="C1570" s="31" t="s">
        <v>137</v>
      </c>
      <c r="D1570" s="31" t="s">
        <v>138</v>
      </c>
      <c r="E1570" s="31" t="s">
        <v>1848</v>
      </c>
      <c r="F1570" s="32">
        <v>43473</v>
      </c>
      <c r="G1570" s="32">
        <v>43552</v>
      </c>
      <c r="H1570" s="33">
        <v>0.33333333333333331</v>
      </c>
      <c r="I1570" s="31" t="s">
        <v>139</v>
      </c>
      <c r="J1570" s="31" t="s">
        <v>857</v>
      </c>
      <c r="K1570" s="31" t="s">
        <v>25</v>
      </c>
      <c r="M1570" s="4" t="s">
        <v>293</v>
      </c>
    </row>
    <row r="1571" spans="1:13" x14ac:dyDescent="0.25">
      <c r="A1571" s="31" t="s">
        <v>1436</v>
      </c>
      <c r="B1571" s="31" t="s">
        <v>0</v>
      </c>
      <c r="C1571" s="31" t="s">
        <v>137</v>
      </c>
      <c r="D1571" s="31" t="s">
        <v>138</v>
      </c>
      <c r="E1571" s="31" t="s">
        <v>795</v>
      </c>
      <c r="F1571" s="32">
        <v>43475</v>
      </c>
      <c r="G1571" s="32">
        <v>43552</v>
      </c>
      <c r="H1571" s="33">
        <v>0.33333333333333331</v>
      </c>
      <c r="I1571" s="31" t="s">
        <v>141</v>
      </c>
      <c r="J1571" s="31" t="s">
        <v>856</v>
      </c>
      <c r="K1571" s="31" t="s">
        <v>25</v>
      </c>
      <c r="M1571" s="4" t="s">
        <v>293</v>
      </c>
    </row>
    <row r="1572" spans="1:13" x14ac:dyDescent="0.25">
      <c r="A1572" s="31" t="s">
        <v>1436</v>
      </c>
      <c r="B1572" s="31" t="s">
        <v>0</v>
      </c>
      <c r="C1572" s="31" t="s">
        <v>137</v>
      </c>
      <c r="D1572" s="31" t="s">
        <v>138</v>
      </c>
      <c r="E1572" s="31" t="s">
        <v>805</v>
      </c>
      <c r="F1572" s="32">
        <v>43474</v>
      </c>
      <c r="G1572" s="32">
        <v>43553</v>
      </c>
      <c r="H1572" s="33">
        <v>0.35416666666666669</v>
      </c>
      <c r="I1572" s="31" t="s">
        <v>139</v>
      </c>
      <c r="J1572" s="31" t="s">
        <v>860</v>
      </c>
      <c r="K1572" s="31" t="s">
        <v>25</v>
      </c>
      <c r="M1572" s="4" t="s">
        <v>293</v>
      </c>
    </row>
    <row r="1573" spans="1:13" x14ac:dyDescent="0.25">
      <c r="A1573" s="31" t="s">
        <v>1436</v>
      </c>
      <c r="B1573" s="31" t="s">
        <v>0</v>
      </c>
      <c r="C1573" s="31" t="s">
        <v>137</v>
      </c>
      <c r="D1573" s="31" t="s">
        <v>138</v>
      </c>
      <c r="E1573" s="31" t="s">
        <v>146</v>
      </c>
      <c r="F1573" s="32">
        <v>43479</v>
      </c>
      <c r="G1573" s="32">
        <v>43522</v>
      </c>
      <c r="H1573" s="33">
        <v>0.35416666666666669</v>
      </c>
      <c r="I1573" s="31" t="s">
        <v>139</v>
      </c>
      <c r="J1573" s="31" t="s">
        <v>860</v>
      </c>
      <c r="K1573" s="31" t="s">
        <v>25</v>
      </c>
      <c r="M1573" s="4" t="s">
        <v>293</v>
      </c>
    </row>
    <row r="1574" spans="1:13" x14ac:dyDescent="0.25">
      <c r="A1574" s="31" t="s">
        <v>1436</v>
      </c>
      <c r="B1574" s="31" t="s">
        <v>0</v>
      </c>
      <c r="C1574" s="31" t="s">
        <v>137</v>
      </c>
      <c r="D1574" s="31" t="s">
        <v>138</v>
      </c>
      <c r="E1574" s="31" t="s">
        <v>190</v>
      </c>
      <c r="F1574" s="32">
        <v>43406</v>
      </c>
      <c r="G1574" s="32">
        <v>43554</v>
      </c>
      <c r="H1574" s="33">
        <v>0.375</v>
      </c>
      <c r="I1574" s="31" t="s">
        <v>141</v>
      </c>
      <c r="J1574" s="31" t="s">
        <v>861</v>
      </c>
      <c r="K1574" s="31" t="s">
        <v>25</v>
      </c>
      <c r="M1574" s="4" t="s">
        <v>293</v>
      </c>
    </row>
    <row r="1575" spans="1:13" x14ac:dyDescent="0.25">
      <c r="A1575" s="31" t="s">
        <v>1436</v>
      </c>
      <c r="B1575" s="31" t="s">
        <v>0</v>
      </c>
      <c r="C1575" s="31" t="s">
        <v>137</v>
      </c>
      <c r="D1575" s="31" t="s">
        <v>138</v>
      </c>
      <c r="E1575" s="31" t="s">
        <v>19</v>
      </c>
      <c r="F1575" s="32">
        <v>43473</v>
      </c>
      <c r="G1575" s="32">
        <v>43522</v>
      </c>
      <c r="H1575" s="33">
        <v>0.375</v>
      </c>
      <c r="I1575" s="31" t="s">
        <v>141</v>
      </c>
      <c r="J1575" s="31" t="s">
        <v>861</v>
      </c>
      <c r="K1575" s="31" t="s">
        <v>25</v>
      </c>
      <c r="M1575" s="4" t="s">
        <v>293</v>
      </c>
    </row>
    <row r="1576" spans="1:13" x14ac:dyDescent="0.25">
      <c r="A1576" s="31" t="s">
        <v>1436</v>
      </c>
      <c r="B1576" s="31" t="s">
        <v>0</v>
      </c>
      <c r="C1576" s="31" t="s">
        <v>137</v>
      </c>
      <c r="D1576" s="31" t="s">
        <v>138</v>
      </c>
      <c r="E1576" s="31" t="s">
        <v>298</v>
      </c>
      <c r="F1576" s="32">
        <v>43474</v>
      </c>
      <c r="G1576" s="32">
        <v>43551</v>
      </c>
      <c r="H1576" s="33">
        <v>0.375</v>
      </c>
      <c r="I1576" s="31" t="s">
        <v>141</v>
      </c>
      <c r="J1576" s="31" t="s">
        <v>861</v>
      </c>
      <c r="K1576" s="31" t="s">
        <v>25</v>
      </c>
      <c r="M1576" s="4" t="s">
        <v>293</v>
      </c>
    </row>
    <row r="1577" spans="1:13" x14ac:dyDescent="0.25">
      <c r="A1577" s="31" t="s">
        <v>1436</v>
      </c>
      <c r="B1577" s="31" t="s">
        <v>0</v>
      </c>
      <c r="C1577" s="31" t="s">
        <v>137</v>
      </c>
      <c r="D1577" s="31" t="s">
        <v>138</v>
      </c>
      <c r="E1577" s="31" t="s">
        <v>13</v>
      </c>
      <c r="F1577" s="32">
        <v>43503</v>
      </c>
      <c r="G1577" s="32">
        <v>43524</v>
      </c>
      <c r="H1577" s="33">
        <v>0.375</v>
      </c>
      <c r="I1577" s="31" t="s">
        <v>141</v>
      </c>
      <c r="J1577" s="31" t="s">
        <v>861</v>
      </c>
      <c r="K1577" s="31" t="s">
        <v>25</v>
      </c>
      <c r="M1577" s="4" t="s">
        <v>293</v>
      </c>
    </row>
    <row r="1578" spans="1:13" x14ac:dyDescent="0.25">
      <c r="A1578" s="31" t="s">
        <v>1436</v>
      </c>
      <c r="B1578" s="31" t="s">
        <v>0</v>
      </c>
      <c r="C1578" s="31" t="s">
        <v>137</v>
      </c>
      <c r="D1578" s="31" t="s">
        <v>138</v>
      </c>
      <c r="E1578" s="31" t="s">
        <v>20</v>
      </c>
      <c r="F1578" s="32">
        <v>43404</v>
      </c>
      <c r="G1578" s="32">
        <v>43551</v>
      </c>
      <c r="H1578" s="33">
        <v>0.39583333333333331</v>
      </c>
      <c r="I1578" s="31" t="s">
        <v>139</v>
      </c>
      <c r="J1578" s="31" t="s">
        <v>863</v>
      </c>
      <c r="K1578" s="31" t="s">
        <v>25</v>
      </c>
      <c r="M1578" s="4" t="s">
        <v>293</v>
      </c>
    </row>
    <row r="1579" spans="1:13" x14ac:dyDescent="0.25">
      <c r="A1579" s="31" t="s">
        <v>1436</v>
      </c>
      <c r="B1579" s="31" t="s">
        <v>0</v>
      </c>
      <c r="C1579" s="31" t="s">
        <v>137</v>
      </c>
      <c r="D1579" s="31" t="s">
        <v>138</v>
      </c>
      <c r="E1579" s="31" t="s">
        <v>13</v>
      </c>
      <c r="F1579" s="32">
        <v>43503</v>
      </c>
      <c r="G1579" s="32">
        <v>43524</v>
      </c>
      <c r="H1579" s="33">
        <v>0.39583333333333331</v>
      </c>
      <c r="I1579" s="31" t="s">
        <v>139</v>
      </c>
      <c r="J1579" s="31" t="s">
        <v>863</v>
      </c>
      <c r="K1579" s="31" t="s">
        <v>25</v>
      </c>
      <c r="M1579" s="4" t="s">
        <v>293</v>
      </c>
    </row>
    <row r="1580" spans="1:13" x14ac:dyDescent="0.25">
      <c r="A1580" s="31" t="s">
        <v>1436</v>
      </c>
      <c r="B1580" s="31" t="s">
        <v>0</v>
      </c>
      <c r="C1580" s="31" t="s">
        <v>137</v>
      </c>
      <c r="D1580" s="31" t="s">
        <v>138</v>
      </c>
      <c r="E1580" s="31" t="s">
        <v>1278</v>
      </c>
      <c r="F1580" s="32">
        <v>43401</v>
      </c>
      <c r="G1580" s="32">
        <v>43554</v>
      </c>
      <c r="H1580" s="33">
        <v>0.41666666666666669</v>
      </c>
      <c r="I1580" s="31" t="s">
        <v>139</v>
      </c>
      <c r="J1580" s="31" t="s">
        <v>865</v>
      </c>
      <c r="K1580" s="31" t="s">
        <v>25</v>
      </c>
      <c r="M1580" s="4" t="s">
        <v>293</v>
      </c>
    </row>
    <row r="1581" spans="1:13" x14ac:dyDescent="0.25">
      <c r="A1581" s="31" t="s">
        <v>1436</v>
      </c>
      <c r="B1581" s="31" t="s">
        <v>0</v>
      </c>
      <c r="C1581" s="31" t="s">
        <v>137</v>
      </c>
      <c r="D1581" s="31" t="s">
        <v>138</v>
      </c>
      <c r="E1581" s="31" t="s">
        <v>929</v>
      </c>
      <c r="F1581" s="32">
        <v>43402</v>
      </c>
      <c r="G1581" s="32">
        <v>43553</v>
      </c>
      <c r="H1581" s="33">
        <v>0.41666666666666669</v>
      </c>
      <c r="I1581" s="31" t="s">
        <v>141</v>
      </c>
      <c r="J1581" s="31" t="s">
        <v>864</v>
      </c>
      <c r="K1581" s="31" t="s">
        <v>25</v>
      </c>
      <c r="M1581" s="4" t="s">
        <v>293</v>
      </c>
    </row>
    <row r="1582" spans="1:13" x14ac:dyDescent="0.25">
      <c r="A1582" s="31" t="s">
        <v>1436</v>
      </c>
      <c r="B1582" s="31" t="s">
        <v>0</v>
      </c>
      <c r="C1582" s="31" t="s">
        <v>137</v>
      </c>
      <c r="D1582" s="31" t="s">
        <v>138</v>
      </c>
      <c r="E1582" s="31" t="s">
        <v>19</v>
      </c>
      <c r="F1582" s="32">
        <v>43473</v>
      </c>
      <c r="G1582" s="32">
        <v>43550</v>
      </c>
      <c r="H1582" s="33">
        <v>0.41666666666666669</v>
      </c>
      <c r="I1582" s="31" t="s">
        <v>139</v>
      </c>
      <c r="J1582" s="31" t="s">
        <v>865</v>
      </c>
      <c r="K1582" s="31" t="s">
        <v>25</v>
      </c>
      <c r="M1582" s="4" t="s">
        <v>293</v>
      </c>
    </row>
    <row r="1583" spans="1:13" x14ac:dyDescent="0.25">
      <c r="A1583" s="31" t="s">
        <v>1436</v>
      </c>
      <c r="B1583" s="31" t="s">
        <v>0</v>
      </c>
      <c r="C1583" s="31" t="s">
        <v>137</v>
      </c>
      <c r="D1583" s="31" t="s">
        <v>138</v>
      </c>
      <c r="E1583" s="31" t="s">
        <v>111</v>
      </c>
      <c r="F1583" s="32">
        <v>43475</v>
      </c>
      <c r="G1583" s="32">
        <v>43552</v>
      </c>
      <c r="H1583" s="33">
        <v>0.41666666666666669</v>
      </c>
      <c r="I1583" s="31" t="s">
        <v>141</v>
      </c>
      <c r="J1583" s="31" t="s">
        <v>864</v>
      </c>
      <c r="K1583" s="31" t="s">
        <v>25</v>
      </c>
      <c r="M1583" s="4" t="s">
        <v>293</v>
      </c>
    </row>
    <row r="1584" spans="1:13" x14ac:dyDescent="0.25">
      <c r="A1584" s="31" t="s">
        <v>1436</v>
      </c>
      <c r="B1584" s="31" t="s">
        <v>0</v>
      </c>
      <c r="C1584" s="31" t="s">
        <v>137</v>
      </c>
      <c r="D1584" s="31" t="s">
        <v>138</v>
      </c>
      <c r="E1584" s="31" t="s">
        <v>19</v>
      </c>
      <c r="F1584" s="32">
        <v>43480</v>
      </c>
      <c r="G1584" s="32">
        <v>43522</v>
      </c>
      <c r="H1584" s="33">
        <v>0.41666666666666669</v>
      </c>
      <c r="I1584" s="31" t="s">
        <v>141</v>
      </c>
      <c r="J1584" s="31" t="s">
        <v>864</v>
      </c>
      <c r="K1584" s="31" t="s">
        <v>25</v>
      </c>
      <c r="M1584" s="4" t="s">
        <v>293</v>
      </c>
    </row>
    <row r="1585" spans="1:13" x14ac:dyDescent="0.25">
      <c r="A1585" s="31" t="s">
        <v>1436</v>
      </c>
      <c r="B1585" s="31" t="s">
        <v>0</v>
      </c>
      <c r="C1585" s="31" t="s">
        <v>137</v>
      </c>
      <c r="D1585" s="31" t="s">
        <v>138</v>
      </c>
      <c r="E1585" s="31" t="s">
        <v>59</v>
      </c>
      <c r="F1585" s="32">
        <v>43402</v>
      </c>
      <c r="G1585" s="32">
        <v>43549</v>
      </c>
      <c r="H1585" s="33">
        <v>0.4201388888888889</v>
      </c>
      <c r="I1585" s="31" t="s">
        <v>139</v>
      </c>
      <c r="J1585" s="31" t="s">
        <v>865</v>
      </c>
      <c r="K1585" s="31" t="s">
        <v>25</v>
      </c>
      <c r="M1585" s="4" t="s">
        <v>293</v>
      </c>
    </row>
    <row r="1586" spans="1:13" x14ac:dyDescent="0.25">
      <c r="A1586" s="31" t="s">
        <v>1436</v>
      </c>
      <c r="B1586" s="31" t="s">
        <v>0</v>
      </c>
      <c r="C1586" s="31" t="s">
        <v>137</v>
      </c>
      <c r="D1586" s="31" t="s">
        <v>138</v>
      </c>
      <c r="E1586" s="31" t="s">
        <v>48</v>
      </c>
      <c r="F1586" s="32">
        <v>43469</v>
      </c>
      <c r="G1586" s="32">
        <v>43553</v>
      </c>
      <c r="H1586" s="33">
        <v>0.4201388888888889</v>
      </c>
      <c r="I1586" s="31" t="s">
        <v>139</v>
      </c>
      <c r="J1586" s="31" t="s">
        <v>865</v>
      </c>
      <c r="K1586" s="31" t="s">
        <v>25</v>
      </c>
      <c r="M1586" s="4" t="s">
        <v>293</v>
      </c>
    </row>
    <row r="1587" spans="1:13" x14ac:dyDescent="0.25">
      <c r="A1587" s="31" t="s">
        <v>1436</v>
      </c>
      <c r="B1587" s="31" t="s">
        <v>0</v>
      </c>
      <c r="C1587" s="31" t="s">
        <v>137</v>
      </c>
      <c r="D1587" s="31" t="s">
        <v>138</v>
      </c>
      <c r="E1587" s="31" t="s">
        <v>22</v>
      </c>
      <c r="F1587" s="32">
        <v>43477</v>
      </c>
      <c r="G1587" s="32">
        <v>43519</v>
      </c>
      <c r="H1587" s="33">
        <v>0.4236111111111111</v>
      </c>
      <c r="I1587" s="31" t="s">
        <v>139</v>
      </c>
      <c r="J1587" s="31" t="s">
        <v>863</v>
      </c>
      <c r="K1587" s="31" t="s">
        <v>25</v>
      </c>
      <c r="M1587" s="4" t="s">
        <v>293</v>
      </c>
    </row>
    <row r="1588" spans="1:13" x14ac:dyDescent="0.25">
      <c r="A1588" s="31" t="s">
        <v>1436</v>
      </c>
      <c r="B1588" s="31" t="s">
        <v>0</v>
      </c>
      <c r="C1588" s="31" t="s">
        <v>137</v>
      </c>
      <c r="D1588" s="31" t="s">
        <v>138</v>
      </c>
      <c r="E1588" s="31" t="s">
        <v>22</v>
      </c>
      <c r="F1588" s="32">
        <v>43477</v>
      </c>
      <c r="G1588" s="32">
        <v>43519</v>
      </c>
      <c r="H1588" s="33">
        <v>0.45833333333333331</v>
      </c>
      <c r="I1588" s="31" t="s">
        <v>139</v>
      </c>
      <c r="J1588" s="31" t="s">
        <v>864</v>
      </c>
      <c r="K1588" s="31" t="s">
        <v>25</v>
      </c>
      <c r="M1588" s="4" t="s">
        <v>293</v>
      </c>
    </row>
    <row r="1589" spans="1:13" x14ac:dyDescent="0.25">
      <c r="A1589" s="31" t="s">
        <v>1436</v>
      </c>
      <c r="B1589" s="31" t="s">
        <v>0</v>
      </c>
      <c r="C1589" s="31" t="s">
        <v>137</v>
      </c>
      <c r="D1589" s="31" t="s">
        <v>138</v>
      </c>
      <c r="E1589" s="31" t="s">
        <v>1241</v>
      </c>
      <c r="F1589" s="32">
        <v>43401</v>
      </c>
      <c r="G1589" s="32">
        <v>43554</v>
      </c>
      <c r="H1589" s="33">
        <v>0.47916666666666669</v>
      </c>
      <c r="I1589" s="31" t="s">
        <v>139</v>
      </c>
      <c r="J1589" s="31" t="s">
        <v>866</v>
      </c>
      <c r="K1589" s="31" t="s">
        <v>25</v>
      </c>
      <c r="M1589" s="4" t="s">
        <v>293</v>
      </c>
    </row>
    <row r="1590" spans="1:13" x14ac:dyDescent="0.25">
      <c r="A1590" s="31" t="s">
        <v>1436</v>
      </c>
      <c r="B1590" s="31" t="s">
        <v>0</v>
      </c>
      <c r="C1590" s="31" t="s">
        <v>137</v>
      </c>
      <c r="D1590" s="31" t="s">
        <v>138</v>
      </c>
      <c r="E1590" s="31" t="s">
        <v>59</v>
      </c>
      <c r="F1590" s="32">
        <v>43402</v>
      </c>
      <c r="G1590" s="32">
        <v>43521</v>
      </c>
      <c r="H1590" s="33">
        <v>0.47916666666666669</v>
      </c>
      <c r="I1590" s="31" t="s">
        <v>139</v>
      </c>
      <c r="J1590" s="31" t="s">
        <v>866</v>
      </c>
      <c r="K1590" s="31" t="s">
        <v>25</v>
      </c>
      <c r="M1590" s="4" t="s">
        <v>293</v>
      </c>
    </row>
    <row r="1591" spans="1:13" x14ac:dyDescent="0.25">
      <c r="A1591" s="31" t="s">
        <v>1436</v>
      </c>
      <c r="B1591" s="31" t="s">
        <v>0</v>
      </c>
      <c r="C1591" s="31" t="s">
        <v>137</v>
      </c>
      <c r="D1591" s="31" t="s">
        <v>138</v>
      </c>
      <c r="E1591" s="31" t="s">
        <v>19</v>
      </c>
      <c r="F1591" s="32">
        <v>43480</v>
      </c>
      <c r="G1591" s="32">
        <v>43522</v>
      </c>
      <c r="H1591" s="33">
        <v>0.47916666666666669</v>
      </c>
      <c r="I1591" s="31" t="s">
        <v>139</v>
      </c>
      <c r="J1591" s="31" t="s">
        <v>866</v>
      </c>
      <c r="K1591" s="31" t="s">
        <v>25</v>
      </c>
      <c r="M1591" s="4" t="s">
        <v>293</v>
      </c>
    </row>
    <row r="1592" spans="1:13" x14ac:dyDescent="0.25">
      <c r="A1592" s="31" t="s">
        <v>1436</v>
      </c>
      <c r="B1592" s="31" t="s">
        <v>0</v>
      </c>
      <c r="C1592" s="31" t="s">
        <v>137</v>
      </c>
      <c r="D1592" s="31" t="s">
        <v>138</v>
      </c>
      <c r="E1592" s="31" t="s">
        <v>144</v>
      </c>
      <c r="F1592" s="32">
        <v>43401</v>
      </c>
      <c r="G1592" s="32">
        <v>43554</v>
      </c>
      <c r="H1592" s="33">
        <v>0.5</v>
      </c>
      <c r="I1592" s="31" t="s">
        <v>139</v>
      </c>
      <c r="J1592" s="31" t="s">
        <v>867</v>
      </c>
      <c r="K1592" s="31" t="s">
        <v>25</v>
      </c>
      <c r="M1592" s="4" t="s">
        <v>293</v>
      </c>
    </row>
    <row r="1593" spans="1:13" x14ac:dyDescent="0.25">
      <c r="A1593" s="31" t="s">
        <v>1436</v>
      </c>
      <c r="B1593" s="31" t="s">
        <v>0</v>
      </c>
      <c r="C1593" s="31" t="s">
        <v>137</v>
      </c>
      <c r="D1593" s="31" t="s">
        <v>138</v>
      </c>
      <c r="E1593" s="31" t="s">
        <v>22</v>
      </c>
      <c r="F1593" s="32">
        <v>43407</v>
      </c>
      <c r="G1593" s="32">
        <v>43554</v>
      </c>
      <c r="H1593" s="33">
        <v>0.5</v>
      </c>
      <c r="I1593" s="31" t="s">
        <v>139</v>
      </c>
      <c r="J1593" s="31" t="s">
        <v>862</v>
      </c>
      <c r="K1593" s="31" t="s">
        <v>25</v>
      </c>
      <c r="M1593" s="4" t="s">
        <v>293</v>
      </c>
    </row>
    <row r="1594" spans="1:13" x14ac:dyDescent="0.25">
      <c r="A1594" s="31" t="s">
        <v>1436</v>
      </c>
      <c r="B1594" s="31" t="s">
        <v>0</v>
      </c>
      <c r="C1594" s="31" t="s">
        <v>137</v>
      </c>
      <c r="D1594" s="31" t="s">
        <v>138</v>
      </c>
      <c r="E1594" s="31" t="s">
        <v>13</v>
      </c>
      <c r="F1594" s="32">
        <v>43447</v>
      </c>
      <c r="G1594" s="32">
        <v>43552</v>
      </c>
      <c r="H1594" s="33">
        <v>0.5</v>
      </c>
      <c r="I1594" s="31" t="s">
        <v>139</v>
      </c>
      <c r="J1594" s="31" t="s">
        <v>862</v>
      </c>
      <c r="K1594" s="31" t="s">
        <v>25</v>
      </c>
      <c r="M1594" s="4" t="s">
        <v>293</v>
      </c>
    </row>
    <row r="1595" spans="1:13" x14ac:dyDescent="0.25">
      <c r="A1595" s="31" t="s">
        <v>1436</v>
      </c>
      <c r="B1595" s="31" t="s">
        <v>0</v>
      </c>
      <c r="C1595" s="31" t="s">
        <v>137</v>
      </c>
      <c r="D1595" s="31" t="s">
        <v>138</v>
      </c>
      <c r="E1595" s="31" t="s">
        <v>235</v>
      </c>
      <c r="F1595" s="32">
        <v>43402</v>
      </c>
      <c r="G1595" s="32">
        <v>43552</v>
      </c>
      <c r="H1595" s="33">
        <v>0.54166666666666663</v>
      </c>
      <c r="I1595" s="31" t="s">
        <v>139</v>
      </c>
      <c r="J1595" s="31" t="s">
        <v>868</v>
      </c>
      <c r="K1595" s="31" t="s">
        <v>25</v>
      </c>
      <c r="M1595" s="4" t="s">
        <v>293</v>
      </c>
    </row>
    <row r="1596" spans="1:13" x14ac:dyDescent="0.25">
      <c r="A1596" s="31" t="s">
        <v>1436</v>
      </c>
      <c r="B1596" s="31" t="s">
        <v>0</v>
      </c>
      <c r="C1596" s="31" t="s">
        <v>137</v>
      </c>
      <c r="D1596" s="31" t="s">
        <v>138</v>
      </c>
      <c r="E1596" s="31" t="s">
        <v>1250</v>
      </c>
      <c r="F1596" s="32">
        <v>43473</v>
      </c>
      <c r="G1596" s="32">
        <v>43553</v>
      </c>
      <c r="H1596" s="33">
        <v>0.54166666666666663</v>
      </c>
      <c r="I1596" s="31" t="s">
        <v>139</v>
      </c>
      <c r="J1596" s="31" t="s">
        <v>868</v>
      </c>
      <c r="K1596" s="31" t="s">
        <v>25</v>
      </c>
      <c r="M1596" s="4" t="s">
        <v>293</v>
      </c>
    </row>
    <row r="1597" spans="1:13" x14ac:dyDescent="0.25">
      <c r="A1597" s="31" t="s">
        <v>1436</v>
      </c>
      <c r="B1597" s="31" t="s">
        <v>0</v>
      </c>
      <c r="C1597" s="31" t="s">
        <v>137</v>
      </c>
      <c r="D1597" s="31" t="s">
        <v>138</v>
      </c>
      <c r="E1597" s="31" t="s">
        <v>48</v>
      </c>
      <c r="F1597" s="32">
        <v>43476</v>
      </c>
      <c r="G1597" s="32">
        <v>43518</v>
      </c>
      <c r="H1597" s="33">
        <v>0.5625</v>
      </c>
      <c r="I1597" s="31" t="s">
        <v>139</v>
      </c>
      <c r="J1597" s="31" t="s">
        <v>1274</v>
      </c>
      <c r="K1597" s="31" t="s">
        <v>25</v>
      </c>
      <c r="M1597" s="4" t="s">
        <v>293</v>
      </c>
    </row>
    <row r="1598" spans="1:13" x14ac:dyDescent="0.25">
      <c r="A1598" s="31" t="s">
        <v>1436</v>
      </c>
      <c r="B1598" s="31" t="s">
        <v>0</v>
      </c>
      <c r="C1598" s="31" t="s">
        <v>137</v>
      </c>
      <c r="D1598" s="31" t="s">
        <v>138</v>
      </c>
      <c r="E1598" s="31" t="s">
        <v>59</v>
      </c>
      <c r="F1598" s="32">
        <v>43479</v>
      </c>
      <c r="G1598" s="32">
        <v>43521</v>
      </c>
      <c r="H1598" s="33">
        <v>0.5625</v>
      </c>
      <c r="I1598" s="31" t="s">
        <v>139</v>
      </c>
      <c r="J1598" s="31" t="s">
        <v>1631</v>
      </c>
      <c r="K1598" s="31" t="s">
        <v>25</v>
      </c>
      <c r="M1598" s="4" t="s">
        <v>293</v>
      </c>
    </row>
    <row r="1599" spans="1:13" x14ac:dyDescent="0.25">
      <c r="A1599" s="31" t="s">
        <v>1436</v>
      </c>
      <c r="B1599" s="31" t="s">
        <v>0</v>
      </c>
      <c r="C1599" s="31" t="s">
        <v>137</v>
      </c>
      <c r="D1599" s="31" t="s">
        <v>138</v>
      </c>
      <c r="E1599" s="31" t="s">
        <v>795</v>
      </c>
      <c r="F1599" s="32">
        <v>43473</v>
      </c>
      <c r="G1599" s="32">
        <v>43552</v>
      </c>
      <c r="H1599" s="33">
        <v>0.56944444444444442</v>
      </c>
      <c r="I1599" s="31" t="s">
        <v>139</v>
      </c>
      <c r="J1599" s="31" t="s">
        <v>869</v>
      </c>
      <c r="K1599" s="31" t="s">
        <v>25</v>
      </c>
      <c r="M1599" s="4" t="s">
        <v>293</v>
      </c>
    </row>
    <row r="1600" spans="1:13" x14ac:dyDescent="0.25">
      <c r="A1600" s="31" t="s">
        <v>1436</v>
      </c>
      <c r="B1600" s="31" t="s">
        <v>0</v>
      </c>
      <c r="C1600" s="31" t="s">
        <v>137</v>
      </c>
      <c r="D1600" s="31" t="s">
        <v>138</v>
      </c>
      <c r="E1600" s="31" t="s">
        <v>1632</v>
      </c>
      <c r="F1600" s="32">
        <v>43401</v>
      </c>
      <c r="G1600" s="32">
        <v>43553</v>
      </c>
      <c r="H1600" s="33">
        <v>0.58333333333333337</v>
      </c>
      <c r="I1600" s="31" t="s">
        <v>139</v>
      </c>
      <c r="J1600" s="31" t="s">
        <v>870</v>
      </c>
      <c r="K1600" s="31" t="s">
        <v>25</v>
      </c>
      <c r="M1600" s="4" t="s">
        <v>293</v>
      </c>
    </row>
    <row r="1601" spans="1:13" x14ac:dyDescent="0.25">
      <c r="A1601" s="31" t="s">
        <v>1436</v>
      </c>
      <c r="B1601" s="31" t="s">
        <v>0</v>
      </c>
      <c r="C1601" s="31" t="s">
        <v>137</v>
      </c>
      <c r="D1601" s="31" t="s">
        <v>138</v>
      </c>
      <c r="E1601" s="31" t="s">
        <v>146</v>
      </c>
      <c r="F1601" s="32">
        <v>43466</v>
      </c>
      <c r="G1601" s="32">
        <v>43522</v>
      </c>
      <c r="H1601" s="33">
        <v>0.58333333333333337</v>
      </c>
      <c r="I1601" s="31" t="s">
        <v>139</v>
      </c>
      <c r="J1601" s="31" t="s">
        <v>870</v>
      </c>
      <c r="K1601" s="31" t="s">
        <v>25</v>
      </c>
      <c r="M1601" s="4" t="s">
        <v>293</v>
      </c>
    </row>
    <row r="1602" spans="1:13" x14ac:dyDescent="0.25">
      <c r="A1602" s="31" t="s">
        <v>1436</v>
      </c>
      <c r="B1602" s="31" t="s">
        <v>0</v>
      </c>
      <c r="C1602" s="31" t="s">
        <v>137</v>
      </c>
      <c r="D1602" s="31" t="s">
        <v>138</v>
      </c>
      <c r="E1602" s="31" t="s">
        <v>22</v>
      </c>
      <c r="F1602" s="32">
        <v>43477</v>
      </c>
      <c r="G1602" s="32">
        <v>43554</v>
      </c>
      <c r="H1602" s="33">
        <v>0.58333333333333337</v>
      </c>
      <c r="I1602" s="31" t="s">
        <v>139</v>
      </c>
      <c r="J1602" s="31" t="s">
        <v>870</v>
      </c>
      <c r="K1602" s="31" t="s">
        <v>25</v>
      </c>
      <c r="M1602" s="4" t="s">
        <v>293</v>
      </c>
    </row>
    <row r="1603" spans="1:13" x14ac:dyDescent="0.25">
      <c r="A1603" s="31" t="s">
        <v>1436</v>
      </c>
      <c r="B1603" s="31" t="s">
        <v>0</v>
      </c>
      <c r="C1603" s="31" t="s">
        <v>137</v>
      </c>
      <c r="D1603" s="31" t="s">
        <v>138</v>
      </c>
      <c r="E1603" s="31" t="s">
        <v>162</v>
      </c>
      <c r="F1603" s="32">
        <v>43402</v>
      </c>
      <c r="G1603" s="32">
        <v>43553</v>
      </c>
      <c r="H1603" s="33">
        <v>0.60416666666666663</v>
      </c>
      <c r="I1603" s="31" t="s">
        <v>139</v>
      </c>
      <c r="J1603" s="31" t="s">
        <v>871</v>
      </c>
      <c r="K1603" s="31" t="s">
        <v>25</v>
      </c>
      <c r="M1603" s="4" t="s">
        <v>293</v>
      </c>
    </row>
    <row r="1604" spans="1:13" x14ac:dyDescent="0.25">
      <c r="A1604" s="31" t="s">
        <v>1436</v>
      </c>
      <c r="B1604" s="31" t="s">
        <v>0</v>
      </c>
      <c r="C1604" s="31" t="s">
        <v>137</v>
      </c>
      <c r="D1604" s="31" t="s">
        <v>138</v>
      </c>
      <c r="E1604" s="31" t="s">
        <v>48</v>
      </c>
      <c r="F1604" s="32">
        <v>43476</v>
      </c>
      <c r="G1604" s="32">
        <v>43553</v>
      </c>
      <c r="H1604" s="33">
        <v>0.60416666666666663</v>
      </c>
      <c r="I1604" s="31" t="s">
        <v>139</v>
      </c>
      <c r="J1604" s="31" t="s">
        <v>872</v>
      </c>
      <c r="K1604" s="31" t="s">
        <v>25</v>
      </c>
      <c r="M1604" s="4" t="s">
        <v>293</v>
      </c>
    </row>
    <row r="1605" spans="1:13" x14ac:dyDescent="0.25">
      <c r="A1605" s="31" t="s">
        <v>1436</v>
      </c>
      <c r="B1605" s="31" t="s">
        <v>0</v>
      </c>
      <c r="C1605" s="31" t="s">
        <v>137</v>
      </c>
      <c r="D1605" s="31" t="s">
        <v>138</v>
      </c>
      <c r="E1605" s="31" t="s">
        <v>20</v>
      </c>
      <c r="F1605" s="32">
        <v>43404</v>
      </c>
      <c r="G1605" s="32">
        <v>43551</v>
      </c>
      <c r="H1605" s="33">
        <v>0.60763888888888895</v>
      </c>
      <c r="I1605" s="31" t="s">
        <v>139</v>
      </c>
      <c r="J1605" s="31" t="s">
        <v>871</v>
      </c>
      <c r="K1605" s="31" t="s">
        <v>25</v>
      </c>
      <c r="M1605" s="4" t="s">
        <v>293</v>
      </c>
    </row>
    <row r="1606" spans="1:13" x14ac:dyDescent="0.25">
      <c r="A1606" s="31" t="s">
        <v>1436</v>
      </c>
      <c r="B1606" s="31" t="s">
        <v>0</v>
      </c>
      <c r="C1606" s="31" t="s">
        <v>137</v>
      </c>
      <c r="D1606" s="31" t="s">
        <v>138</v>
      </c>
      <c r="E1606" s="31" t="s">
        <v>1454</v>
      </c>
      <c r="F1606" s="32">
        <v>43404</v>
      </c>
      <c r="G1606" s="32">
        <v>43554</v>
      </c>
      <c r="H1606" s="33">
        <v>0.625</v>
      </c>
      <c r="I1606" s="31" t="s">
        <v>139</v>
      </c>
      <c r="J1606" s="31" t="s">
        <v>873</v>
      </c>
      <c r="K1606" s="31" t="s">
        <v>25</v>
      </c>
      <c r="M1606" s="4" t="s">
        <v>293</v>
      </c>
    </row>
    <row r="1607" spans="1:13" x14ac:dyDescent="0.25">
      <c r="A1607" s="31" t="s">
        <v>1436</v>
      </c>
      <c r="B1607" s="31" t="s">
        <v>0</v>
      </c>
      <c r="C1607" s="31" t="s">
        <v>137</v>
      </c>
      <c r="D1607" s="31" t="s">
        <v>138</v>
      </c>
      <c r="E1607" s="31" t="s">
        <v>146</v>
      </c>
      <c r="F1607" s="32">
        <v>43473</v>
      </c>
      <c r="G1607" s="32">
        <v>43550</v>
      </c>
      <c r="H1607" s="33">
        <v>0.625</v>
      </c>
      <c r="I1607" s="31" t="s">
        <v>139</v>
      </c>
      <c r="J1607" s="31" t="s">
        <v>873</v>
      </c>
      <c r="K1607" s="31" t="s">
        <v>25</v>
      </c>
      <c r="M1607" s="4" t="s">
        <v>293</v>
      </c>
    </row>
    <row r="1608" spans="1:13" x14ac:dyDescent="0.25">
      <c r="A1608" s="31" t="s">
        <v>1436</v>
      </c>
      <c r="B1608" s="31" t="s">
        <v>0</v>
      </c>
      <c r="C1608" s="31" t="s">
        <v>137</v>
      </c>
      <c r="D1608" s="31" t="s">
        <v>138</v>
      </c>
      <c r="E1608" s="31" t="s">
        <v>20</v>
      </c>
      <c r="F1608" s="32">
        <v>43474</v>
      </c>
      <c r="G1608" s="32">
        <v>43551</v>
      </c>
      <c r="H1608" s="33">
        <v>0.65277777777777779</v>
      </c>
      <c r="I1608" s="31" t="s">
        <v>139</v>
      </c>
      <c r="J1608" s="31" t="s">
        <v>1633</v>
      </c>
      <c r="K1608" s="31" t="s">
        <v>25</v>
      </c>
      <c r="M1608" s="4" t="s">
        <v>293</v>
      </c>
    </row>
    <row r="1609" spans="1:13" x14ac:dyDescent="0.25">
      <c r="A1609" s="31" t="s">
        <v>1436</v>
      </c>
      <c r="B1609" s="31" t="s">
        <v>0</v>
      </c>
      <c r="C1609" s="31" t="s">
        <v>137</v>
      </c>
      <c r="D1609" s="31" t="s">
        <v>138</v>
      </c>
      <c r="E1609" s="31" t="s">
        <v>48</v>
      </c>
      <c r="F1609" s="32">
        <v>43406</v>
      </c>
      <c r="G1609" s="32">
        <v>43553</v>
      </c>
      <c r="H1609" s="33">
        <v>0.66666666666666663</v>
      </c>
      <c r="I1609" s="31" t="s">
        <v>139</v>
      </c>
      <c r="J1609" s="31" t="s">
        <v>874</v>
      </c>
      <c r="K1609" s="31" t="s">
        <v>25</v>
      </c>
      <c r="M1609" s="4" t="s">
        <v>293</v>
      </c>
    </row>
    <row r="1610" spans="1:13" x14ac:dyDescent="0.25">
      <c r="A1610" s="31" t="s">
        <v>1436</v>
      </c>
      <c r="B1610" s="31" t="s">
        <v>0</v>
      </c>
      <c r="C1610" s="31" t="s">
        <v>137</v>
      </c>
      <c r="D1610" s="31" t="s">
        <v>138</v>
      </c>
      <c r="E1610" s="31" t="s">
        <v>13</v>
      </c>
      <c r="F1610" s="32">
        <v>43447</v>
      </c>
      <c r="G1610" s="32">
        <v>43552</v>
      </c>
      <c r="H1610" s="33">
        <v>0.66666666666666663</v>
      </c>
      <c r="I1610" s="31" t="s">
        <v>139</v>
      </c>
      <c r="J1610" s="31" t="s">
        <v>874</v>
      </c>
      <c r="K1610" s="31" t="s">
        <v>25</v>
      </c>
      <c r="M1610" s="4" t="s">
        <v>293</v>
      </c>
    </row>
    <row r="1611" spans="1:13" x14ac:dyDescent="0.25">
      <c r="A1611" s="31" t="s">
        <v>1436</v>
      </c>
      <c r="B1611" s="31" t="s">
        <v>0</v>
      </c>
      <c r="C1611" s="31" t="s">
        <v>137</v>
      </c>
      <c r="D1611" s="31" t="s">
        <v>138</v>
      </c>
      <c r="E1611" s="31" t="s">
        <v>1904</v>
      </c>
      <c r="F1611" s="32">
        <v>43471</v>
      </c>
      <c r="G1611" s="32">
        <v>43551</v>
      </c>
      <c r="H1611" s="33">
        <v>0.66666666666666663</v>
      </c>
      <c r="I1611" s="31" t="s">
        <v>139</v>
      </c>
      <c r="J1611" s="31" t="s">
        <v>874</v>
      </c>
      <c r="K1611" s="31" t="s">
        <v>25</v>
      </c>
      <c r="M1611" s="4" t="s">
        <v>293</v>
      </c>
    </row>
    <row r="1612" spans="1:13" x14ac:dyDescent="0.25">
      <c r="A1612" s="31" t="s">
        <v>1436</v>
      </c>
      <c r="B1612" s="31" t="s">
        <v>0</v>
      </c>
      <c r="C1612" s="31" t="s">
        <v>137</v>
      </c>
      <c r="D1612" s="31" t="s">
        <v>138</v>
      </c>
      <c r="E1612" s="31" t="s">
        <v>18</v>
      </c>
      <c r="F1612" s="32">
        <v>43478</v>
      </c>
      <c r="G1612" s="32">
        <v>43520</v>
      </c>
      <c r="H1612" s="33">
        <v>0.68402777777777779</v>
      </c>
      <c r="I1612" s="31" t="s">
        <v>139</v>
      </c>
      <c r="J1612" s="31" t="s">
        <v>1274</v>
      </c>
      <c r="K1612" s="31" t="s">
        <v>25</v>
      </c>
      <c r="M1612" s="4" t="s">
        <v>293</v>
      </c>
    </row>
    <row r="1613" spans="1:13" x14ac:dyDescent="0.25">
      <c r="A1613" s="31" t="s">
        <v>1436</v>
      </c>
      <c r="B1613" s="31" t="s">
        <v>0</v>
      </c>
      <c r="C1613" s="31" t="s">
        <v>137</v>
      </c>
      <c r="D1613" s="31" t="s">
        <v>138</v>
      </c>
      <c r="E1613" s="31" t="s">
        <v>151</v>
      </c>
      <c r="F1613" s="32">
        <v>43401</v>
      </c>
      <c r="G1613" s="32">
        <v>43553</v>
      </c>
      <c r="H1613" s="33">
        <v>0.6875</v>
      </c>
      <c r="I1613" s="31" t="s">
        <v>139</v>
      </c>
      <c r="J1613" s="31" t="s">
        <v>876</v>
      </c>
      <c r="K1613" s="31" t="s">
        <v>25</v>
      </c>
      <c r="M1613" s="4" t="s">
        <v>293</v>
      </c>
    </row>
    <row r="1614" spans="1:13" x14ac:dyDescent="0.25">
      <c r="A1614" s="31" t="s">
        <v>1436</v>
      </c>
      <c r="B1614" s="31" t="s">
        <v>0</v>
      </c>
      <c r="C1614" s="31" t="s">
        <v>137</v>
      </c>
      <c r="D1614" s="31" t="s">
        <v>138</v>
      </c>
      <c r="E1614" s="31" t="s">
        <v>20</v>
      </c>
      <c r="F1614" s="32">
        <v>43404</v>
      </c>
      <c r="G1614" s="32">
        <v>43551</v>
      </c>
      <c r="H1614" s="33">
        <v>0.70833333333333337</v>
      </c>
      <c r="I1614" s="31" t="s">
        <v>139</v>
      </c>
      <c r="J1614" s="31" t="s">
        <v>877</v>
      </c>
      <c r="K1614" s="31" t="s">
        <v>25</v>
      </c>
      <c r="M1614" s="4" t="s">
        <v>293</v>
      </c>
    </row>
    <row r="1615" spans="1:13" x14ac:dyDescent="0.25">
      <c r="A1615" s="31" t="s">
        <v>1436</v>
      </c>
      <c r="B1615" s="31" t="s">
        <v>0</v>
      </c>
      <c r="C1615" s="31" t="s">
        <v>137</v>
      </c>
      <c r="D1615" s="31" t="s">
        <v>138</v>
      </c>
      <c r="E1615" s="31" t="s">
        <v>13</v>
      </c>
      <c r="F1615" s="32">
        <v>43447</v>
      </c>
      <c r="G1615" s="32">
        <v>43552</v>
      </c>
      <c r="H1615" s="33">
        <v>0.70833333333333337</v>
      </c>
      <c r="I1615" s="31" t="s">
        <v>139</v>
      </c>
      <c r="J1615" s="31" t="s">
        <v>877</v>
      </c>
      <c r="K1615" s="31" t="s">
        <v>25</v>
      </c>
      <c r="M1615" s="4" t="s">
        <v>293</v>
      </c>
    </row>
    <row r="1616" spans="1:13" x14ac:dyDescent="0.25">
      <c r="A1616" s="31" t="s">
        <v>1436</v>
      </c>
      <c r="B1616" s="31" t="s">
        <v>0</v>
      </c>
      <c r="C1616" s="31" t="s">
        <v>137</v>
      </c>
      <c r="D1616" s="31" t="s">
        <v>138</v>
      </c>
      <c r="E1616" s="31" t="s">
        <v>48</v>
      </c>
      <c r="F1616" s="32">
        <v>43455</v>
      </c>
      <c r="G1616" s="32">
        <v>43553</v>
      </c>
      <c r="H1616" s="33">
        <v>0.70833333333333337</v>
      </c>
      <c r="I1616" s="31" t="s">
        <v>139</v>
      </c>
      <c r="J1616" s="31" t="s">
        <v>877</v>
      </c>
      <c r="K1616" s="31" t="s">
        <v>25</v>
      </c>
      <c r="M1616" s="4" t="s">
        <v>293</v>
      </c>
    </row>
    <row r="1617" spans="1:13" x14ac:dyDescent="0.25">
      <c r="A1617" s="31" t="s">
        <v>1436</v>
      </c>
      <c r="B1617" s="31" t="s">
        <v>0</v>
      </c>
      <c r="C1617" s="31" t="s">
        <v>137</v>
      </c>
      <c r="D1617" s="31" t="s">
        <v>138</v>
      </c>
      <c r="E1617" s="31" t="s">
        <v>1836</v>
      </c>
      <c r="F1617" s="32">
        <v>43477</v>
      </c>
      <c r="G1617" s="32">
        <v>43554</v>
      </c>
      <c r="H1617" s="33">
        <v>0.70833333333333337</v>
      </c>
      <c r="I1617" s="31" t="s">
        <v>139</v>
      </c>
      <c r="J1617" s="31" t="s">
        <v>877</v>
      </c>
      <c r="K1617" s="31" t="s">
        <v>25</v>
      </c>
      <c r="M1617" s="4" t="s">
        <v>293</v>
      </c>
    </row>
    <row r="1618" spans="1:13" x14ac:dyDescent="0.25">
      <c r="A1618" s="31" t="s">
        <v>1436</v>
      </c>
      <c r="B1618" s="31" t="s">
        <v>0</v>
      </c>
      <c r="C1618" s="31" t="s">
        <v>137</v>
      </c>
      <c r="D1618" s="31" t="s">
        <v>138</v>
      </c>
      <c r="E1618" s="31" t="s">
        <v>19</v>
      </c>
      <c r="F1618" s="32">
        <v>43487</v>
      </c>
      <c r="G1618" s="32">
        <v>43522</v>
      </c>
      <c r="H1618" s="33">
        <v>0.70833333333333337</v>
      </c>
      <c r="I1618" s="31" t="s">
        <v>139</v>
      </c>
      <c r="J1618" s="31" t="s">
        <v>877</v>
      </c>
      <c r="K1618" s="31" t="s">
        <v>25</v>
      </c>
      <c r="M1618" s="4" t="s">
        <v>293</v>
      </c>
    </row>
    <row r="1619" spans="1:13" x14ac:dyDescent="0.25">
      <c r="A1619" s="31" t="s">
        <v>1436</v>
      </c>
      <c r="B1619" s="31" t="s">
        <v>0</v>
      </c>
      <c r="C1619" s="31" t="s">
        <v>137</v>
      </c>
      <c r="D1619" s="31" t="s">
        <v>138</v>
      </c>
      <c r="E1619" s="31" t="s">
        <v>20</v>
      </c>
      <c r="F1619" s="32">
        <v>43474</v>
      </c>
      <c r="G1619" s="32">
        <v>43523</v>
      </c>
      <c r="H1619" s="33">
        <v>0.72916666666666663</v>
      </c>
      <c r="I1619" s="31" t="s">
        <v>139</v>
      </c>
      <c r="J1619" s="31" t="s">
        <v>1275</v>
      </c>
      <c r="K1619" s="31" t="s">
        <v>25</v>
      </c>
      <c r="M1619" s="4" t="s">
        <v>293</v>
      </c>
    </row>
    <row r="1620" spans="1:13" x14ac:dyDescent="0.25">
      <c r="A1620" s="31" t="s">
        <v>1436</v>
      </c>
      <c r="B1620" s="31" t="s">
        <v>0</v>
      </c>
      <c r="C1620" s="31" t="s">
        <v>137</v>
      </c>
      <c r="D1620" s="31" t="s">
        <v>138</v>
      </c>
      <c r="E1620" s="31" t="s">
        <v>13</v>
      </c>
      <c r="F1620" s="32">
        <v>43475</v>
      </c>
      <c r="G1620" s="32">
        <v>43552</v>
      </c>
      <c r="H1620" s="33">
        <v>0.72916666666666663</v>
      </c>
      <c r="I1620" s="31" t="s">
        <v>139</v>
      </c>
      <c r="J1620" s="31" t="s">
        <v>1275</v>
      </c>
      <c r="K1620" s="31" t="s">
        <v>25</v>
      </c>
      <c r="M1620" s="4" t="s">
        <v>293</v>
      </c>
    </row>
    <row r="1621" spans="1:13" x14ac:dyDescent="0.25">
      <c r="A1621" s="31" t="s">
        <v>1436</v>
      </c>
      <c r="B1621" s="31" t="s">
        <v>0</v>
      </c>
      <c r="C1621" s="31" t="s">
        <v>137</v>
      </c>
      <c r="D1621" s="31" t="s">
        <v>138</v>
      </c>
      <c r="E1621" s="31" t="s">
        <v>736</v>
      </c>
      <c r="F1621" s="32">
        <v>43403</v>
      </c>
      <c r="G1621" s="32">
        <v>43553</v>
      </c>
      <c r="H1621" s="33">
        <v>0.75</v>
      </c>
      <c r="I1621" s="31" t="s">
        <v>139</v>
      </c>
      <c r="J1621" s="31" t="s">
        <v>879</v>
      </c>
      <c r="K1621" s="31" t="s">
        <v>25</v>
      </c>
      <c r="M1621" s="4" t="s">
        <v>293</v>
      </c>
    </row>
    <row r="1622" spans="1:13" x14ac:dyDescent="0.25">
      <c r="A1622" s="31" t="s">
        <v>1436</v>
      </c>
      <c r="B1622" s="31" t="s">
        <v>0</v>
      </c>
      <c r="C1622" s="31" t="s">
        <v>137</v>
      </c>
      <c r="D1622" s="31" t="s">
        <v>138</v>
      </c>
      <c r="E1622" s="31" t="s">
        <v>20</v>
      </c>
      <c r="F1622" s="32">
        <v>43460</v>
      </c>
      <c r="G1622" s="32">
        <v>43551</v>
      </c>
      <c r="H1622" s="33">
        <v>0.75</v>
      </c>
      <c r="I1622" s="31" t="s">
        <v>139</v>
      </c>
      <c r="J1622" s="31" t="s">
        <v>879</v>
      </c>
      <c r="K1622" s="31" t="s">
        <v>25</v>
      </c>
      <c r="M1622" s="4" t="s">
        <v>293</v>
      </c>
    </row>
    <row r="1623" spans="1:13" x14ac:dyDescent="0.25">
      <c r="A1623" s="31" t="s">
        <v>1436</v>
      </c>
      <c r="B1623" s="31" t="s">
        <v>0</v>
      </c>
      <c r="C1623" s="31" t="s">
        <v>137</v>
      </c>
      <c r="D1623" s="31" t="s">
        <v>138</v>
      </c>
      <c r="E1623" s="31" t="s">
        <v>13</v>
      </c>
      <c r="F1623" s="32">
        <v>43468</v>
      </c>
      <c r="G1623" s="32">
        <v>43552</v>
      </c>
      <c r="H1623" s="33">
        <v>0.75</v>
      </c>
      <c r="I1623" s="31" t="s">
        <v>139</v>
      </c>
      <c r="J1623" s="31" t="s">
        <v>879</v>
      </c>
      <c r="K1623" s="31" t="s">
        <v>25</v>
      </c>
      <c r="M1623" s="4" t="s">
        <v>293</v>
      </c>
    </row>
    <row r="1624" spans="1:13" x14ac:dyDescent="0.25">
      <c r="A1624" s="31" t="s">
        <v>1436</v>
      </c>
      <c r="B1624" s="31" t="s">
        <v>0</v>
      </c>
      <c r="C1624" s="31" t="s">
        <v>137</v>
      </c>
      <c r="D1624" s="31" t="s">
        <v>138</v>
      </c>
      <c r="E1624" s="31" t="s">
        <v>52</v>
      </c>
      <c r="F1624" s="32">
        <v>43471</v>
      </c>
      <c r="G1624" s="32">
        <v>43554</v>
      </c>
      <c r="H1624" s="33">
        <v>0.75</v>
      </c>
      <c r="I1624" s="31" t="s">
        <v>139</v>
      </c>
      <c r="J1624" s="31" t="s">
        <v>879</v>
      </c>
      <c r="K1624" s="31" t="s">
        <v>25</v>
      </c>
      <c r="M1624" s="4" t="s">
        <v>293</v>
      </c>
    </row>
    <row r="1625" spans="1:13" x14ac:dyDescent="0.25">
      <c r="A1625" s="31" t="s">
        <v>1436</v>
      </c>
      <c r="B1625" s="31" t="s">
        <v>0</v>
      </c>
      <c r="C1625" s="31" t="s">
        <v>137</v>
      </c>
      <c r="D1625" s="31" t="s">
        <v>138</v>
      </c>
      <c r="E1625" s="31" t="s">
        <v>59</v>
      </c>
      <c r="F1625" s="32">
        <v>43500</v>
      </c>
      <c r="G1625" s="32">
        <v>43521</v>
      </c>
      <c r="H1625" s="33">
        <v>0.75</v>
      </c>
      <c r="I1625" s="31" t="s">
        <v>139</v>
      </c>
      <c r="J1625" s="31" t="s">
        <v>879</v>
      </c>
      <c r="K1625" s="31" t="s">
        <v>25</v>
      </c>
      <c r="M1625" s="4" t="s">
        <v>293</v>
      </c>
    </row>
    <row r="1626" spans="1:13" x14ac:dyDescent="0.25">
      <c r="A1626" s="31" t="s">
        <v>1436</v>
      </c>
      <c r="B1626" s="31" t="s">
        <v>0</v>
      </c>
      <c r="C1626" s="31" t="s">
        <v>137</v>
      </c>
      <c r="D1626" s="31" t="s">
        <v>138</v>
      </c>
      <c r="E1626" s="31" t="s">
        <v>144</v>
      </c>
      <c r="F1626" s="32">
        <v>43401</v>
      </c>
      <c r="G1626" s="32">
        <v>43554</v>
      </c>
      <c r="H1626" s="33">
        <v>0.77083333333333337</v>
      </c>
      <c r="I1626" s="31" t="s">
        <v>139</v>
      </c>
      <c r="J1626" s="31" t="s">
        <v>880</v>
      </c>
      <c r="K1626" s="31" t="s">
        <v>25</v>
      </c>
      <c r="M1626" s="4" t="s">
        <v>293</v>
      </c>
    </row>
    <row r="1627" spans="1:13" x14ac:dyDescent="0.25">
      <c r="A1627" s="31" t="s">
        <v>1436</v>
      </c>
      <c r="B1627" s="31" t="s">
        <v>0</v>
      </c>
      <c r="C1627" s="31" t="s">
        <v>137</v>
      </c>
      <c r="D1627" s="31" t="s">
        <v>138</v>
      </c>
      <c r="E1627" s="31" t="s">
        <v>13</v>
      </c>
      <c r="F1627" s="32">
        <v>43475</v>
      </c>
      <c r="G1627" s="32">
        <v>43552</v>
      </c>
      <c r="H1627" s="33">
        <v>0.77083333333333337</v>
      </c>
      <c r="I1627" s="31" t="s">
        <v>139</v>
      </c>
      <c r="J1627" s="31" t="s">
        <v>887</v>
      </c>
      <c r="K1627" s="31" t="s">
        <v>25</v>
      </c>
      <c r="M1627" s="4" t="s">
        <v>293</v>
      </c>
    </row>
    <row r="1628" spans="1:13" x14ac:dyDescent="0.25">
      <c r="A1628" s="31" t="s">
        <v>1436</v>
      </c>
      <c r="B1628" s="31" t="s">
        <v>0</v>
      </c>
      <c r="C1628" s="31" t="s">
        <v>137</v>
      </c>
      <c r="D1628" s="31" t="s">
        <v>138</v>
      </c>
      <c r="E1628" s="31" t="s">
        <v>48</v>
      </c>
      <c r="F1628" s="32">
        <v>43406</v>
      </c>
      <c r="G1628" s="32">
        <v>43553</v>
      </c>
      <c r="H1628" s="33">
        <v>0.79166666666666663</v>
      </c>
      <c r="I1628" s="31" t="s">
        <v>141</v>
      </c>
      <c r="J1628" s="31" t="s">
        <v>881</v>
      </c>
      <c r="K1628" s="31" t="s">
        <v>25</v>
      </c>
      <c r="M1628" s="4" t="s">
        <v>293</v>
      </c>
    </row>
    <row r="1629" spans="1:13" x14ac:dyDescent="0.25">
      <c r="A1629" s="31" t="s">
        <v>1436</v>
      </c>
      <c r="B1629" s="31" t="s">
        <v>0</v>
      </c>
      <c r="C1629" s="31" t="s">
        <v>137</v>
      </c>
      <c r="D1629" s="31" t="s">
        <v>138</v>
      </c>
      <c r="E1629" s="31" t="s">
        <v>20</v>
      </c>
      <c r="F1629" s="32">
        <v>43460</v>
      </c>
      <c r="G1629" s="32">
        <v>43523</v>
      </c>
      <c r="H1629" s="33">
        <v>0.79166666666666663</v>
      </c>
      <c r="I1629" s="31" t="s">
        <v>141</v>
      </c>
      <c r="J1629" s="31" t="s">
        <v>881</v>
      </c>
      <c r="K1629" s="31" t="s">
        <v>25</v>
      </c>
      <c r="M1629" s="4" t="s">
        <v>293</v>
      </c>
    </row>
    <row r="1630" spans="1:13" x14ac:dyDescent="0.25">
      <c r="A1630" s="31" t="s">
        <v>1436</v>
      </c>
      <c r="B1630" s="31" t="s">
        <v>0</v>
      </c>
      <c r="C1630" s="31" t="s">
        <v>137</v>
      </c>
      <c r="D1630" s="31" t="s">
        <v>138</v>
      </c>
      <c r="E1630" s="31" t="s">
        <v>13</v>
      </c>
      <c r="F1630" s="32">
        <v>43475</v>
      </c>
      <c r="G1630" s="32">
        <v>43552</v>
      </c>
      <c r="H1630" s="33">
        <v>0.79166666666666663</v>
      </c>
      <c r="I1630" s="31" t="s">
        <v>141</v>
      </c>
      <c r="J1630" s="31" t="s">
        <v>878</v>
      </c>
      <c r="K1630" s="31" t="s">
        <v>25</v>
      </c>
      <c r="M1630" s="4" t="s">
        <v>293</v>
      </c>
    </row>
    <row r="1631" spans="1:13" x14ac:dyDescent="0.25">
      <c r="A1631" s="31" t="s">
        <v>1436</v>
      </c>
      <c r="B1631" s="31" t="s">
        <v>0</v>
      </c>
      <c r="C1631" s="31" t="s">
        <v>137</v>
      </c>
      <c r="D1631" s="31" t="s">
        <v>138</v>
      </c>
      <c r="E1631" s="31" t="s">
        <v>22</v>
      </c>
      <c r="F1631" s="32">
        <v>43477</v>
      </c>
      <c r="G1631" s="32">
        <v>43554</v>
      </c>
      <c r="H1631" s="33">
        <v>0.79166666666666663</v>
      </c>
      <c r="I1631" s="31" t="s">
        <v>141</v>
      </c>
      <c r="J1631" s="31" t="s">
        <v>881</v>
      </c>
      <c r="K1631" s="31" t="s">
        <v>25</v>
      </c>
      <c r="M1631" s="4" t="s">
        <v>293</v>
      </c>
    </row>
    <row r="1632" spans="1:13" x14ac:dyDescent="0.25">
      <c r="A1632" s="31" t="s">
        <v>1436</v>
      </c>
      <c r="B1632" s="31" t="s">
        <v>0</v>
      </c>
      <c r="C1632" s="31" t="s">
        <v>137</v>
      </c>
      <c r="D1632" s="31" t="s">
        <v>138</v>
      </c>
      <c r="E1632" s="31" t="s">
        <v>59</v>
      </c>
      <c r="F1632" s="32">
        <v>43479</v>
      </c>
      <c r="G1632" s="32">
        <v>43528</v>
      </c>
      <c r="H1632" s="33">
        <v>0.79166666666666663</v>
      </c>
      <c r="I1632" s="31" t="s">
        <v>141</v>
      </c>
      <c r="J1632" s="31" t="s">
        <v>881</v>
      </c>
      <c r="K1632" s="31" t="s">
        <v>25</v>
      </c>
      <c r="M1632" s="4" t="s">
        <v>293</v>
      </c>
    </row>
    <row r="1633" spans="1:13" x14ac:dyDescent="0.25">
      <c r="A1633" s="31" t="s">
        <v>1436</v>
      </c>
      <c r="B1633" s="31" t="s">
        <v>0</v>
      </c>
      <c r="C1633" s="31" t="s">
        <v>137</v>
      </c>
      <c r="D1633" s="31" t="s">
        <v>138</v>
      </c>
      <c r="E1633" s="31" t="s">
        <v>19</v>
      </c>
      <c r="F1633" s="32">
        <v>43487</v>
      </c>
      <c r="G1633" s="32">
        <v>43550</v>
      </c>
      <c r="H1633" s="33">
        <v>0.79166666666666663</v>
      </c>
      <c r="I1633" s="31" t="s">
        <v>141</v>
      </c>
      <c r="J1633" s="31" t="s">
        <v>881</v>
      </c>
      <c r="K1633" s="31" t="s">
        <v>25</v>
      </c>
      <c r="M1633" s="4" t="s">
        <v>293</v>
      </c>
    </row>
    <row r="1634" spans="1:13" x14ac:dyDescent="0.25">
      <c r="A1634" s="31" t="s">
        <v>1436</v>
      </c>
      <c r="B1634" s="31" t="s">
        <v>0</v>
      </c>
      <c r="C1634" s="31" t="s">
        <v>137</v>
      </c>
      <c r="D1634" s="31" t="s">
        <v>138</v>
      </c>
      <c r="E1634" s="31" t="s">
        <v>18</v>
      </c>
      <c r="F1634" s="32">
        <v>43499</v>
      </c>
      <c r="G1634" s="32">
        <v>43520</v>
      </c>
      <c r="H1634" s="33">
        <v>0.79166666666666663</v>
      </c>
      <c r="I1634" s="31" t="s">
        <v>141</v>
      </c>
      <c r="J1634" s="31" t="s">
        <v>878</v>
      </c>
      <c r="K1634" s="31" t="s">
        <v>25</v>
      </c>
      <c r="M1634" s="4" t="s">
        <v>293</v>
      </c>
    </row>
    <row r="1635" spans="1:13" x14ac:dyDescent="0.25">
      <c r="A1635" s="31" t="s">
        <v>1436</v>
      </c>
      <c r="B1635" s="31" t="s">
        <v>0</v>
      </c>
      <c r="C1635" s="31" t="s">
        <v>137</v>
      </c>
      <c r="D1635" s="31" t="s">
        <v>138</v>
      </c>
      <c r="E1635" s="31" t="s">
        <v>1241</v>
      </c>
      <c r="F1635" s="32">
        <v>43401</v>
      </c>
      <c r="G1635" s="32">
        <v>43554</v>
      </c>
      <c r="H1635" s="33">
        <v>0.80555555555555547</v>
      </c>
      <c r="I1635" s="31" t="s">
        <v>139</v>
      </c>
      <c r="J1635" s="31" t="s">
        <v>882</v>
      </c>
      <c r="K1635" s="31" t="s">
        <v>25</v>
      </c>
      <c r="M1635" s="4" t="s">
        <v>293</v>
      </c>
    </row>
    <row r="1636" spans="1:13" x14ac:dyDescent="0.25">
      <c r="A1636" s="31" t="s">
        <v>1436</v>
      </c>
      <c r="B1636" s="31" t="s">
        <v>0</v>
      </c>
      <c r="C1636" s="31" t="s">
        <v>137</v>
      </c>
      <c r="D1636" s="31" t="s">
        <v>138</v>
      </c>
      <c r="E1636" s="31" t="s">
        <v>146</v>
      </c>
      <c r="F1636" s="32">
        <v>43507</v>
      </c>
      <c r="G1636" s="32">
        <v>43550</v>
      </c>
      <c r="H1636" s="33">
        <v>0.80555555555555547</v>
      </c>
      <c r="I1636" s="31" t="s">
        <v>139</v>
      </c>
      <c r="J1636" s="31" t="s">
        <v>882</v>
      </c>
      <c r="K1636" s="31" t="s">
        <v>25</v>
      </c>
      <c r="M1636" s="4" t="s">
        <v>293</v>
      </c>
    </row>
    <row r="1637" spans="1:13" x14ac:dyDescent="0.25">
      <c r="A1637" s="31" t="s">
        <v>1436</v>
      </c>
      <c r="B1637" s="31" t="s">
        <v>0</v>
      </c>
      <c r="C1637" s="31" t="s">
        <v>137</v>
      </c>
      <c r="D1637" s="31" t="s">
        <v>138</v>
      </c>
      <c r="E1637" s="31" t="s">
        <v>18</v>
      </c>
      <c r="F1637" s="32">
        <v>43478</v>
      </c>
      <c r="G1637" s="32">
        <v>43520</v>
      </c>
      <c r="H1637" s="33">
        <v>0.8125</v>
      </c>
      <c r="I1637" s="31" t="s">
        <v>139</v>
      </c>
      <c r="J1637" s="31" t="s">
        <v>1905</v>
      </c>
      <c r="K1637" s="31" t="s">
        <v>25</v>
      </c>
      <c r="M1637" s="4" t="s">
        <v>293</v>
      </c>
    </row>
    <row r="1638" spans="1:13" x14ac:dyDescent="0.25">
      <c r="A1638" s="31" t="s">
        <v>1436</v>
      </c>
      <c r="B1638" s="31" t="s">
        <v>0</v>
      </c>
      <c r="C1638" s="31" t="s">
        <v>137</v>
      </c>
      <c r="D1638" s="31" t="s">
        <v>138</v>
      </c>
      <c r="E1638" s="31" t="s">
        <v>19</v>
      </c>
      <c r="F1638" s="32">
        <v>43403</v>
      </c>
      <c r="G1638" s="32">
        <v>43550</v>
      </c>
      <c r="H1638" s="33">
        <v>0.83333333333333337</v>
      </c>
      <c r="I1638" s="31" t="s">
        <v>141</v>
      </c>
      <c r="J1638" s="31" t="s">
        <v>883</v>
      </c>
      <c r="K1638" s="31" t="s">
        <v>25</v>
      </c>
      <c r="M1638" s="4" t="s">
        <v>293</v>
      </c>
    </row>
    <row r="1639" spans="1:13" x14ac:dyDescent="0.25">
      <c r="A1639" s="31" t="s">
        <v>1436</v>
      </c>
      <c r="B1639" s="31" t="s">
        <v>0</v>
      </c>
      <c r="C1639" s="31" t="s">
        <v>137</v>
      </c>
      <c r="D1639" s="31" t="s">
        <v>138</v>
      </c>
      <c r="E1639" s="31" t="s">
        <v>48</v>
      </c>
      <c r="F1639" s="32">
        <v>43448</v>
      </c>
      <c r="G1639" s="32">
        <v>43553</v>
      </c>
      <c r="H1639" s="33">
        <v>0.83333333333333337</v>
      </c>
      <c r="I1639" s="31" t="s">
        <v>141</v>
      </c>
      <c r="J1639" s="31" t="s">
        <v>883</v>
      </c>
      <c r="K1639" s="31" t="s">
        <v>25</v>
      </c>
      <c r="M1639" s="4" t="s">
        <v>293</v>
      </c>
    </row>
    <row r="1640" spans="1:13" x14ac:dyDescent="0.25">
      <c r="A1640" s="31" t="s">
        <v>1436</v>
      </c>
      <c r="B1640" s="31" t="s">
        <v>0</v>
      </c>
      <c r="C1640" s="31" t="s">
        <v>137</v>
      </c>
      <c r="D1640" s="31" t="s">
        <v>138</v>
      </c>
      <c r="E1640" s="31" t="s">
        <v>13</v>
      </c>
      <c r="F1640" s="32">
        <v>43461</v>
      </c>
      <c r="G1640" s="32">
        <v>43552</v>
      </c>
      <c r="H1640" s="33">
        <v>0.83333333333333337</v>
      </c>
      <c r="I1640" s="31" t="s">
        <v>141</v>
      </c>
      <c r="J1640" s="31" t="s">
        <v>883</v>
      </c>
      <c r="K1640" s="31" t="s">
        <v>25</v>
      </c>
      <c r="M1640" s="4" t="s">
        <v>293</v>
      </c>
    </row>
    <row r="1641" spans="1:13" x14ac:dyDescent="0.25">
      <c r="A1641" s="31" t="s">
        <v>1436</v>
      </c>
      <c r="B1641" s="31" t="s">
        <v>0</v>
      </c>
      <c r="C1641" s="31" t="s">
        <v>137</v>
      </c>
      <c r="D1641" s="31" t="s">
        <v>138</v>
      </c>
      <c r="E1641" s="31" t="s">
        <v>20</v>
      </c>
      <c r="F1641" s="32">
        <v>43474</v>
      </c>
      <c r="G1641" s="32">
        <v>43523</v>
      </c>
      <c r="H1641" s="33">
        <v>0.83333333333333337</v>
      </c>
      <c r="I1641" s="31" t="s">
        <v>141</v>
      </c>
      <c r="J1641" s="31" t="s">
        <v>883</v>
      </c>
      <c r="K1641" s="31" t="s">
        <v>25</v>
      </c>
      <c r="M1641" s="4" t="s">
        <v>293</v>
      </c>
    </row>
    <row r="1642" spans="1:13" x14ac:dyDescent="0.25">
      <c r="A1642" s="31" t="s">
        <v>1436</v>
      </c>
      <c r="B1642" s="31" t="s">
        <v>0</v>
      </c>
      <c r="C1642" s="31" t="s">
        <v>137</v>
      </c>
      <c r="D1642" s="31" t="s">
        <v>138</v>
      </c>
      <c r="E1642" s="31" t="s">
        <v>52</v>
      </c>
      <c r="F1642" s="32">
        <v>43477</v>
      </c>
      <c r="G1642" s="32">
        <v>43554</v>
      </c>
      <c r="H1642" s="33">
        <v>0.83333333333333337</v>
      </c>
      <c r="I1642" s="31" t="s">
        <v>141</v>
      </c>
      <c r="J1642" s="31" t="s">
        <v>883</v>
      </c>
      <c r="K1642" s="31" t="s">
        <v>25</v>
      </c>
      <c r="M1642" s="4" t="s">
        <v>293</v>
      </c>
    </row>
    <row r="1643" spans="1:13" x14ac:dyDescent="0.25">
      <c r="A1643" s="31" t="s">
        <v>1436</v>
      </c>
      <c r="B1643" s="31" t="s">
        <v>0</v>
      </c>
      <c r="C1643" s="31" t="s">
        <v>137</v>
      </c>
      <c r="D1643" s="31" t="s">
        <v>138</v>
      </c>
      <c r="E1643" s="31" t="s">
        <v>59</v>
      </c>
      <c r="F1643" s="32">
        <v>43500</v>
      </c>
      <c r="G1643" s="32">
        <v>43521</v>
      </c>
      <c r="H1643" s="33">
        <v>0.83333333333333337</v>
      </c>
      <c r="I1643" s="31" t="s">
        <v>141</v>
      </c>
      <c r="J1643" s="31" t="s">
        <v>883</v>
      </c>
      <c r="K1643" s="31" t="s">
        <v>25</v>
      </c>
      <c r="M1643" s="4" t="s">
        <v>293</v>
      </c>
    </row>
    <row r="1644" spans="1:13" x14ac:dyDescent="0.25">
      <c r="A1644" s="31" t="s">
        <v>1436</v>
      </c>
      <c r="B1644" s="31" t="s">
        <v>0</v>
      </c>
      <c r="C1644" s="31" t="s">
        <v>137</v>
      </c>
      <c r="D1644" s="31" t="s">
        <v>138</v>
      </c>
      <c r="E1644" s="31" t="s">
        <v>1241</v>
      </c>
      <c r="F1644" s="32">
        <v>43401</v>
      </c>
      <c r="G1644" s="32">
        <v>43554</v>
      </c>
      <c r="H1644" s="33">
        <v>0.85416666666666663</v>
      </c>
      <c r="I1644" s="31" t="s">
        <v>139</v>
      </c>
      <c r="J1644" s="31" t="s">
        <v>884</v>
      </c>
      <c r="K1644" s="31" t="s">
        <v>25</v>
      </c>
      <c r="M1644" s="4" t="s">
        <v>293</v>
      </c>
    </row>
    <row r="1645" spans="1:13" x14ac:dyDescent="0.25">
      <c r="A1645" s="31" t="s">
        <v>1436</v>
      </c>
      <c r="B1645" s="31" t="s">
        <v>0</v>
      </c>
      <c r="C1645" s="31" t="s">
        <v>137</v>
      </c>
      <c r="D1645" s="31" t="s">
        <v>138</v>
      </c>
      <c r="E1645" s="31" t="s">
        <v>146</v>
      </c>
      <c r="F1645" s="32">
        <v>43472</v>
      </c>
      <c r="G1645" s="32">
        <v>43550</v>
      </c>
      <c r="H1645" s="33">
        <v>0.85416666666666663</v>
      </c>
      <c r="I1645" s="31" t="s">
        <v>139</v>
      </c>
      <c r="J1645" s="31" t="s">
        <v>884</v>
      </c>
      <c r="K1645" s="31" t="s">
        <v>25</v>
      </c>
      <c r="M1645" s="4" t="s">
        <v>293</v>
      </c>
    </row>
    <row r="1646" spans="1:13" x14ac:dyDescent="0.25">
      <c r="A1646" s="31" t="s">
        <v>1436</v>
      </c>
      <c r="B1646" s="31" t="s">
        <v>0</v>
      </c>
      <c r="C1646" s="31" t="s">
        <v>137</v>
      </c>
      <c r="D1646" s="31" t="s">
        <v>138</v>
      </c>
      <c r="E1646" s="31" t="s">
        <v>22</v>
      </c>
      <c r="F1646" s="32">
        <v>43477</v>
      </c>
      <c r="G1646" s="32">
        <v>43554</v>
      </c>
      <c r="H1646" s="33">
        <v>0.85416666666666663</v>
      </c>
      <c r="I1646" s="31" t="s">
        <v>139</v>
      </c>
      <c r="J1646" s="31" t="s">
        <v>1276</v>
      </c>
      <c r="K1646" s="31" t="s">
        <v>25</v>
      </c>
      <c r="M1646" s="4" t="s">
        <v>293</v>
      </c>
    </row>
    <row r="1647" spans="1:13" x14ac:dyDescent="0.25">
      <c r="A1647" s="31" t="s">
        <v>1436</v>
      </c>
      <c r="B1647" s="31" t="s">
        <v>0</v>
      </c>
      <c r="C1647" s="31" t="s">
        <v>137</v>
      </c>
      <c r="D1647" s="31" t="s">
        <v>138</v>
      </c>
      <c r="E1647" s="31" t="s">
        <v>20</v>
      </c>
      <c r="F1647" s="32">
        <v>43404</v>
      </c>
      <c r="G1647" s="32">
        <v>43523</v>
      </c>
      <c r="H1647" s="33">
        <v>0.875</v>
      </c>
      <c r="I1647" s="31" t="s">
        <v>139</v>
      </c>
      <c r="J1647" s="31" t="s">
        <v>885</v>
      </c>
      <c r="K1647" s="31" t="s">
        <v>25</v>
      </c>
      <c r="M1647" s="4" t="s">
        <v>293</v>
      </c>
    </row>
    <row r="1648" spans="1:13" x14ac:dyDescent="0.25">
      <c r="A1648" s="31" t="s">
        <v>1436</v>
      </c>
      <c r="B1648" s="31" t="s">
        <v>0</v>
      </c>
      <c r="C1648" s="31" t="s">
        <v>137</v>
      </c>
      <c r="D1648" s="31" t="s">
        <v>138</v>
      </c>
      <c r="E1648" s="31" t="s">
        <v>190</v>
      </c>
      <c r="F1648" s="32">
        <v>43406</v>
      </c>
      <c r="G1648" s="32">
        <v>43554</v>
      </c>
      <c r="H1648" s="33">
        <v>0.875</v>
      </c>
      <c r="I1648" s="31" t="s">
        <v>139</v>
      </c>
      <c r="J1648" s="31" t="s">
        <v>885</v>
      </c>
      <c r="K1648" s="31" t="s">
        <v>25</v>
      </c>
      <c r="M1648" s="4" t="s">
        <v>293</v>
      </c>
    </row>
    <row r="1649" spans="1:13" x14ac:dyDescent="0.25">
      <c r="A1649" s="31" t="s">
        <v>1436</v>
      </c>
      <c r="B1649" s="31" t="s">
        <v>0</v>
      </c>
      <c r="C1649" s="31" t="s">
        <v>137</v>
      </c>
      <c r="D1649" s="31" t="s">
        <v>138</v>
      </c>
      <c r="E1649" s="31" t="s">
        <v>13</v>
      </c>
      <c r="F1649" s="32">
        <v>43454</v>
      </c>
      <c r="G1649" s="32">
        <v>43552</v>
      </c>
      <c r="H1649" s="33">
        <v>0.875</v>
      </c>
      <c r="I1649" s="31" t="s">
        <v>139</v>
      </c>
      <c r="J1649" s="31" t="s">
        <v>885</v>
      </c>
      <c r="K1649" s="31" t="s">
        <v>25</v>
      </c>
      <c r="M1649" s="4" t="s">
        <v>293</v>
      </c>
    </row>
    <row r="1650" spans="1:13" x14ac:dyDescent="0.25">
      <c r="A1650" s="31" t="s">
        <v>1436</v>
      </c>
      <c r="B1650" s="31" t="s">
        <v>0</v>
      </c>
      <c r="C1650" s="31" t="s">
        <v>137</v>
      </c>
      <c r="D1650" s="31" t="s">
        <v>138</v>
      </c>
      <c r="E1650" s="31" t="s">
        <v>59</v>
      </c>
      <c r="F1650" s="32">
        <v>43465</v>
      </c>
      <c r="G1650" s="32">
        <v>43549</v>
      </c>
      <c r="H1650" s="33">
        <v>0.875</v>
      </c>
      <c r="I1650" s="31" t="s">
        <v>139</v>
      </c>
      <c r="J1650" s="31" t="s">
        <v>885</v>
      </c>
      <c r="K1650" s="31" t="s">
        <v>25</v>
      </c>
      <c r="M1650" s="4" t="s">
        <v>293</v>
      </c>
    </row>
    <row r="1651" spans="1:13" x14ac:dyDescent="0.25">
      <c r="A1651" s="31" t="s">
        <v>1436</v>
      </c>
      <c r="B1651" s="31" t="s">
        <v>0</v>
      </c>
      <c r="C1651" s="31" t="s">
        <v>137</v>
      </c>
      <c r="D1651" s="31" t="s">
        <v>138</v>
      </c>
      <c r="E1651" s="31" t="s">
        <v>18</v>
      </c>
      <c r="F1651" s="32">
        <v>43478</v>
      </c>
      <c r="G1651" s="32">
        <v>43548</v>
      </c>
      <c r="H1651" s="33">
        <v>0.875</v>
      </c>
      <c r="I1651" s="31" t="s">
        <v>139</v>
      </c>
      <c r="J1651" s="31" t="s">
        <v>885</v>
      </c>
      <c r="K1651" s="31" t="s">
        <v>25</v>
      </c>
      <c r="M1651" s="4" t="s">
        <v>293</v>
      </c>
    </row>
    <row r="1652" spans="1:13" x14ac:dyDescent="0.25">
      <c r="A1652" s="31" t="s">
        <v>1436</v>
      </c>
      <c r="B1652" s="31" t="s">
        <v>0</v>
      </c>
      <c r="C1652" s="31" t="s">
        <v>137</v>
      </c>
      <c r="D1652" s="31" t="s">
        <v>138</v>
      </c>
      <c r="E1652" s="31" t="s">
        <v>19</v>
      </c>
      <c r="F1652" s="32">
        <v>43501</v>
      </c>
      <c r="G1652" s="32">
        <v>43522</v>
      </c>
      <c r="H1652" s="33">
        <v>0.875</v>
      </c>
      <c r="I1652" s="31" t="s">
        <v>139</v>
      </c>
      <c r="J1652" s="31" t="s">
        <v>885</v>
      </c>
      <c r="K1652" s="31" t="s">
        <v>25</v>
      </c>
      <c r="M1652" s="4" t="s">
        <v>293</v>
      </c>
    </row>
    <row r="1653" spans="1:13" x14ac:dyDescent="0.25">
      <c r="A1653" s="31" t="s">
        <v>1436</v>
      </c>
      <c r="B1653" s="31" t="s">
        <v>0</v>
      </c>
      <c r="C1653" s="31" t="s">
        <v>137</v>
      </c>
      <c r="D1653" s="31" t="s">
        <v>138</v>
      </c>
      <c r="E1653" s="31" t="s">
        <v>13</v>
      </c>
      <c r="F1653" s="32">
        <v>43405</v>
      </c>
      <c r="G1653" s="32">
        <v>43552</v>
      </c>
      <c r="H1653" s="33">
        <v>0.89583333333333337</v>
      </c>
      <c r="I1653" s="31" t="s">
        <v>14</v>
      </c>
      <c r="J1653" s="31" t="s">
        <v>1634</v>
      </c>
      <c r="K1653" s="31" t="s">
        <v>25</v>
      </c>
      <c r="M1653" s="4" t="s">
        <v>293</v>
      </c>
    </row>
    <row r="1654" spans="1:13" x14ac:dyDescent="0.25">
      <c r="A1654" s="31" t="s">
        <v>1436</v>
      </c>
      <c r="B1654" s="31" t="s">
        <v>0</v>
      </c>
      <c r="C1654" s="31" t="s">
        <v>137</v>
      </c>
      <c r="D1654" s="31" t="s">
        <v>138</v>
      </c>
      <c r="E1654" s="31" t="s">
        <v>18</v>
      </c>
      <c r="F1654" s="32">
        <v>43471</v>
      </c>
      <c r="G1654" s="32">
        <v>43527</v>
      </c>
      <c r="H1654" s="33">
        <v>0.89583333333333337</v>
      </c>
      <c r="I1654" s="31" t="s">
        <v>139</v>
      </c>
      <c r="J1654" s="31" t="s">
        <v>886</v>
      </c>
      <c r="K1654" s="31" t="s">
        <v>25</v>
      </c>
      <c r="M1654" s="4" t="s">
        <v>293</v>
      </c>
    </row>
    <row r="1655" spans="1:13" x14ac:dyDescent="0.25">
      <c r="A1655" s="31" t="s">
        <v>1436</v>
      </c>
      <c r="B1655" s="31" t="s">
        <v>0</v>
      </c>
      <c r="C1655" s="31" t="s">
        <v>137</v>
      </c>
      <c r="D1655" s="31" t="s">
        <v>138</v>
      </c>
      <c r="E1655" s="31" t="s">
        <v>48</v>
      </c>
      <c r="F1655" s="32">
        <v>43406</v>
      </c>
      <c r="G1655" s="32">
        <v>43553</v>
      </c>
      <c r="H1655" s="33">
        <v>0.91666666666666663</v>
      </c>
      <c r="I1655" s="31" t="s">
        <v>139</v>
      </c>
      <c r="J1655" s="31" t="s">
        <v>886</v>
      </c>
      <c r="K1655" s="31" t="s">
        <v>25</v>
      </c>
      <c r="M1655" s="4" t="s">
        <v>293</v>
      </c>
    </row>
    <row r="1656" spans="1:13" x14ac:dyDescent="0.25">
      <c r="A1656" s="31" t="s">
        <v>1436</v>
      </c>
      <c r="B1656" s="31" t="s">
        <v>0</v>
      </c>
      <c r="C1656" s="31" t="s">
        <v>597</v>
      </c>
      <c r="D1656" s="31" t="s">
        <v>598</v>
      </c>
      <c r="E1656" s="31" t="s">
        <v>144</v>
      </c>
      <c r="F1656" s="32">
        <v>43401</v>
      </c>
      <c r="G1656" s="32">
        <v>43554</v>
      </c>
      <c r="H1656" s="33">
        <v>0.39583333333333331</v>
      </c>
      <c r="I1656" s="31" t="s">
        <v>139</v>
      </c>
      <c r="J1656" s="31" t="s">
        <v>888</v>
      </c>
      <c r="K1656" s="31" t="s">
        <v>25</v>
      </c>
      <c r="M1656" s="4" t="s">
        <v>293</v>
      </c>
    </row>
    <row r="1657" spans="1:13" x14ac:dyDescent="0.25">
      <c r="A1657" s="31" t="s">
        <v>1436</v>
      </c>
      <c r="B1657" s="31" t="s">
        <v>0</v>
      </c>
      <c r="C1657" s="31" t="s">
        <v>597</v>
      </c>
      <c r="D1657" s="31" t="s">
        <v>598</v>
      </c>
      <c r="E1657" s="31" t="s">
        <v>144</v>
      </c>
      <c r="F1657" s="32">
        <v>43401</v>
      </c>
      <c r="G1657" s="32">
        <v>43554</v>
      </c>
      <c r="H1657" s="33">
        <v>0.70833333333333337</v>
      </c>
      <c r="I1657" s="31" t="s">
        <v>139</v>
      </c>
      <c r="J1657" s="31" t="s">
        <v>889</v>
      </c>
      <c r="K1657" s="31" t="s">
        <v>25</v>
      </c>
      <c r="M1657" s="4" t="s">
        <v>293</v>
      </c>
    </row>
    <row r="1658" spans="1:13" x14ac:dyDescent="0.25">
      <c r="A1658" s="31" t="s">
        <v>1436</v>
      </c>
      <c r="B1658" s="31" t="s">
        <v>0</v>
      </c>
      <c r="C1658" s="31" t="s">
        <v>599</v>
      </c>
      <c r="D1658" s="31" t="s">
        <v>600</v>
      </c>
      <c r="E1658" s="31" t="s">
        <v>144</v>
      </c>
      <c r="F1658" s="32">
        <v>43401</v>
      </c>
      <c r="G1658" s="32">
        <v>43554</v>
      </c>
      <c r="H1658" s="33">
        <v>0.3125</v>
      </c>
      <c r="I1658" s="31" t="s">
        <v>139</v>
      </c>
      <c r="J1658" s="31" t="s">
        <v>890</v>
      </c>
      <c r="K1658" s="31" t="s">
        <v>25</v>
      </c>
      <c r="M1658" s="4" t="s">
        <v>293</v>
      </c>
    </row>
    <row r="1659" spans="1:13" x14ac:dyDescent="0.25">
      <c r="A1659" s="31" t="s">
        <v>1436</v>
      </c>
      <c r="B1659" s="31" t="s">
        <v>0</v>
      </c>
      <c r="C1659" s="31" t="s">
        <v>599</v>
      </c>
      <c r="D1659" s="31" t="s">
        <v>600</v>
      </c>
      <c r="E1659" s="31" t="s">
        <v>1893</v>
      </c>
      <c r="F1659" s="32">
        <v>43401</v>
      </c>
      <c r="G1659" s="32">
        <v>43554</v>
      </c>
      <c r="H1659" s="33">
        <v>0.31944444444444448</v>
      </c>
      <c r="I1659" s="31" t="s">
        <v>139</v>
      </c>
      <c r="J1659" s="31" t="s">
        <v>893</v>
      </c>
      <c r="K1659" s="31" t="s">
        <v>25</v>
      </c>
      <c r="M1659" s="4" t="s">
        <v>293</v>
      </c>
    </row>
    <row r="1660" spans="1:13" x14ac:dyDescent="0.25">
      <c r="A1660" s="31" t="s">
        <v>1436</v>
      </c>
      <c r="B1660" s="31" t="s">
        <v>0</v>
      </c>
      <c r="C1660" s="31" t="s">
        <v>599</v>
      </c>
      <c r="D1660" s="31" t="s">
        <v>600</v>
      </c>
      <c r="E1660" s="31" t="s">
        <v>235</v>
      </c>
      <c r="F1660" s="32">
        <v>43468</v>
      </c>
      <c r="G1660" s="32">
        <v>43552</v>
      </c>
      <c r="H1660" s="33">
        <v>0.31944444444444448</v>
      </c>
      <c r="I1660" s="31" t="s">
        <v>139</v>
      </c>
      <c r="J1660" s="31" t="s">
        <v>893</v>
      </c>
      <c r="K1660" s="31" t="s">
        <v>25</v>
      </c>
      <c r="M1660" s="4" t="s">
        <v>293</v>
      </c>
    </row>
    <row r="1661" spans="1:13" x14ac:dyDescent="0.25">
      <c r="A1661" s="31" t="s">
        <v>1436</v>
      </c>
      <c r="B1661" s="31" t="s">
        <v>0</v>
      </c>
      <c r="C1661" s="31" t="s">
        <v>599</v>
      </c>
      <c r="D1661" s="31" t="s">
        <v>600</v>
      </c>
      <c r="E1661" s="31" t="s">
        <v>19</v>
      </c>
      <c r="F1661" s="32">
        <v>43473</v>
      </c>
      <c r="G1661" s="32">
        <v>43522</v>
      </c>
      <c r="H1661" s="33">
        <v>0.31944444444444448</v>
      </c>
      <c r="I1661" s="31" t="s">
        <v>139</v>
      </c>
      <c r="J1661" s="31" t="s">
        <v>893</v>
      </c>
      <c r="K1661" s="31" t="s">
        <v>25</v>
      </c>
      <c r="M1661" s="4" t="s">
        <v>293</v>
      </c>
    </row>
    <row r="1662" spans="1:13" x14ac:dyDescent="0.25">
      <c r="A1662" s="31" t="s">
        <v>1436</v>
      </c>
      <c r="B1662" s="31" t="s">
        <v>0</v>
      </c>
      <c r="C1662" s="31" t="s">
        <v>599</v>
      </c>
      <c r="D1662" s="31" t="s">
        <v>600</v>
      </c>
      <c r="E1662" s="31" t="s">
        <v>1852</v>
      </c>
      <c r="F1662" s="32">
        <v>43402</v>
      </c>
      <c r="G1662" s="32">
        <v>43554</v>
      </c>
      <c r="H1662" s="33">
        <v>0.3263888888888889</v>
      </c>
      <c r="I1662" s="31" t="s">
        <v>139</v>
      </c>
      <c r="J1662" s="31" t="s">
        <v>891</v>
      </c>
      <c r="K1662" s="31" t="s">
        <v>25</v>
      </c>
      <c r="M1662" s="4" t="s">
        <v>293</v>
      </c>
    </row>
    <row r="1663" spans="1:13" x14ac:dyDescent="0.25">
      <c r="A1663" s="31" t="s">
        <v>1436</v>
      </c>
      <c r="B1663" s="31" t="s">
        <v>0</v>
      </c>
      <c r="C1663" s="31" t="s">
        <v>599</v>
      </c>
      <c r="D1663" s="31" t="s">
        <v>600</v>
      </c>
      <c r="E1663" s="31" t="s">
        <v>13</v>
      </c>
      <c r="F1663" s="32">
        <v>43454</v>
      </c>
      <c r="G1663" s="32">
        <v>43552</v>
      </c>
      <c r="H1663" s="33">
        <v>0.3263888888888889</v>
      </c>
      <c r="I1663" s="31" t="s">
        <v>139</v>
      </c>
      <c r="J1663" s="31" t="s">
        <v>891</v>
      </c>
      <c r="K1663" s="31" t="s">
        <v>25</v>
      </c>
      <c r="M1663" s="4" t="s">
        <v>293</v>
      </c>
    </row>
    <row r="1664" spans="1:13" x14ac:dyDescent="0.25">
      <c r="A1664" s="31" t="s">
        <v>1436</v>
      </c>
      <c r="B1664" s="31" t="s">
        <v>0</v>
      </c>
      <c r="C1664" s="31" t="s">
        <v>599</v>
      </c>
      <c r="D1664" s="31" t="s">
        <v>600</v>
      </c>
      <c r="E1664" s="31" t="s">
        <v>805</v>
      </c>
      <c r="F1664" s="32">
        <v>43404</v>
      </c>
      <c r="G1664" s="32">
        <v>43553</v>
      </c>
      <c r="H1664" s="33">
        <v>0.33333333333333331</v>
      </c>
      <c r="I1664" s="31" t="s">
        <v>139</v>
      </c>
      <c r="J1664" s="31" t="s">
        <v>892</v>
      </c>
      <c r="K1664" s="31" t="s">
        <v>25</v>
      </c>
      <c r="M1664" s="4" t="s">
        <v>293</v>
      </c>
    </row>
    <row r="1665" spans="1:13" x14ac:dyDescent="0.25">
      <c r="A1665" s="31" t="s">
        <v>1436</v>
      </c>
      <c r="B1665" s="31" t="s">
        <v>0</v>
      </c>
      <c r="C1665" s="31" t="s">
        <v>599</v>
      </c>
      <c r="D1665" s="31" t="s">
        <v>600</v>
      </c>
      <c r="E1665" s="31" t="s">
        <v>755</v>
      </c>
      <c r="F1665" s="32">
        <v>43472</v>
      </c>
      <c r="G1665" s="32">
        <v>43554</v>
      </c>
      <c r="H1665" s="33">
        <v>0.33333333333333331</v>
      </c>
      <c r="I1665" s="31" t="s">
        <v>139</v>
      </c>
      <c r="J1665" s="31" t="s">
        <v>892</v>
      </c>
      <c r="K1665" s="31" t="s">
        <v>25</v>
      </c>
      <c r="M1665" s="4" t="s">
        <v>293</v>
      </c>
    </row>
    <row r="1666" spans="1:13" x14ac:dyDescent="0.25">
      <c r="A1666" s="31" t="s">
        <v>1436</v>
      </c>
      <c r="B1666" s="31" t="s">
        <v>0</v>
      </c>
      <c r="C1666" s="31" t="s">
        <v>599</v>
      </c>
      <c r="D1666" s="31" t="s">
        <v>600</v>
      </c>
      <c r="E1666" s="31" t="s">
        <v>18</v>
      </c>
      <c r="F1666" s="32">
        <v>43478</v>
      </c>
      <c r="G1666" s="32">
        <v>43520</v>
      </c>
      <c r="H1666" s="33">
        <v>0.33333333333333331</v>
      </c>
      <c r="I1666" s="31" t="s">
        <v>139</v>
      </c>
      <c r="J1666" s="31" t="s">
        <v>892</v>
      </c>
      <c r="K1666" s="31" t="s">
        <v>25</v>
      </c>
      <c r="M1666" s="4" t="s">
        <v>293</v>
      </c>
    </row>
    <row r="1667" spans="1:13" x14ac:dyDescent="0.25">
      <c r="A1667" s="31" t="s">
        <v>1436</v>
      </c>
      <c r="B1667" s="31" t="s">
        <v>0</v>
      </c>
      <c r="C1667" s="31" t="s">
        <v>599</v>
      </c>
      <c r="D1667" s="31" t="s">
        <v>600</v>
      </c>
      <c r="E1667" s="31" t="s">
        <v>858</v>
      </c>
      <c r="F1667" s="32">
        <v>43402</v>
      </c>
      <c r="G1667" s="32">
        <v>43554</v>
      </c>
      <c r="H1667" s="33">
        <v>0.375</v>
      </c>
      <c r="I1667" s="31" t="s">
        <v>139</v>
      </c>
      <c r="J1667" s="31" t="s">
        <v>894</v>
      </c>
      <c r="K1667" s="31" t="s">
        <v>25</v>
      </c>
      <c r="M1667" s="4" t="s">
        <v>293</v>
      </c>
    </row>
    <row r="1668" spans="1:13" x14ac:dyDescent="0.25">
      <c r="A1668" s="31" t="s">
        <v>1436</v>
      </c>
      <c r="B1668" s="31" t="s">
        <v>0</v>
      </c>
      <c r="C1668" s="31" t="s">
        <v>599</v>
      </c>
      <c r="D1668" s="31" t="s">
        <v>600</v>
      </c>
      <c r="E1668" s="31" t="s">
        <v>19</v>
      </c>
      <c r="F1668" s="32">
        <v>43466</v>
      </c>
      <c r="G1668" s="32">
        <v>43550</v>
      </c>
      <c r="H1668" s="33">
        <v>0.375</v>
      </c>
      <c r="I1668" s="31" t="s">
        <v>139</v>
      </c>
      <c r="J1668" s="31" t="s">
        <v>894</v>
      </c>
      <c r="K1668" s="31" t="s">
        <v>25</v>
      </c>
      <c r="M1668" s="4" t="s">
        <v>293</v>
      </c>
    </row>
    <row r="1669" spans="1:13" x14ac:dyDescent="0.25">
      <c r="A1669" s="31" t="s">
        <v>1436</v>
      </c>
      <c r="B1669" s="31" t="s">
        <v>0</v>
      </c>
      <c r="C1669" s="31" t="s">
        <v>599</v>
      </c>
      <c r="D1669" s="31" t="s">
        <v>600</v>
      </c>
      <c r="E1669" s="31" t="s">
        <v>228</v>
      </c>
      <c r="F1669" s="32">
        <v>43468</v>
      </c>
      <c r="G1669" s="32">
        <v>43552</v>
      </c>
      <c r="H1669" s="33">
        <v>0.375</v>
      </c>
      <c r="I1669" s="31" t="s">
        <v>139</v>
      </c>
      <c r="J1669" s="31" t="s">
        <v>894</v>
      </c>
      <c r="K1669" s="31" t="s">
        <v>25</v>
      </c>
      <c r="M1669" s="4" t="s">
        <v>293</v>
      </c>
    </row>
    <row r="1670" spans="1:13" x14ac:dyDescent="0.25">
      <c r="A1670" s="31" t="s">
        <v>1436</v>
      </c>
      <c r="B1670" s="31" t="s">
        <v>0</v>
      </c>
      <c r="C1670" s="31" t="s">
        <v>599</v>
      </c>
      <c r="D1670" s="31" t="s">
        <v>600</v>
      </c>
      <c r="E1670" s="31" t="s">
        <v>144</v>
      </c>
      <c r="F1670" s="32">
        <v>43401</v>
      </c>
      <c r="G1670" s="32">
        <v>43554</v>
      </c>
      <c r="H1670" s="33">
        <v>0.40625</v>
      </c>
      <c r="I1670" s="31" t="s">
        <v>139</v>
      </c>
      <c r="J1670" s="31" t="s">
        <v>895</v>
      </c>
      <c r="K1670" s="31" t="s">
        <v>25</v>
      </c>
      <c r="M1670" s="4" t="s">
        <v>293</v>
      </c>
    </row>
    <row r="1671" spans="1:13" x14ac:dyDescent="0.25">
      <c r="A1671" s="31" t="s">
        <v>1436</v>
      </c>
      <c r="B1671" s="31" t="s">
        <v>0</v>
      </c>
      <c r="C1671" s="31" t="s">
        <v>599</v>
      </c>
      <c r="D1671" s="31" t="s">
        <v>600</v>
      </c>
      <c r="E1671" s="31" t="s">
        <v>897</v>
      </c>
      <c r="F1671" s="32">
        <v>43402</v>
      </c>
      <c r="G1671" s="32">
        <v>43553</v>
      </c>
      <c r="H1671" s="33">
        <v>0.41666666666666669</v>
      </c>
      <c r="I1671" s="31" t="s">
        <v>139</v>
      </c>
      <c r="J1671" s="31" t="s">
        <v>898</v>
      </c>
      <c r="K1671" s="31" t="s">
        <v>25</v>
      </c>
      <c r="M1671" s="4" t="s">
        <v>293</v>
      </c>
    </row>
    <row r="1672" spans="1:13" x14ac:dyDescent="0.25">
      <c r="A1672" s="31" t="s">
        <v>1436</v>
      </c>
      <c r="B1672" s="31" t="s">
        <v>0</v>
      </c>
      <c r="C1672" s="31" t="s">
        <v>599</v>
      </c>
      <c r="D1672" s="31" t="s">
        <v>600</v>
      </c>
      <c r="E1672" s="31" t="s">
        <v>19</v>
      </c>
      <c r="F1672" s="32">
        <v>43466</v>
      </c>
      <c r="G1672" s="32">
        <v>43550</v>
      </c>
      <c r="H1672" s="33">
        <v>0.41666666666666669</v>
      </c>
      <c r="I1672" s="31" t="s">
        <v>139</v>
      </c>
      <c r="J1672" s="31" t="s">
        <v>898</v>
      </c>
      <c r="K1672" s="31" t="s">
        <v>25</v>
      </c>
      <c r="M1672" s="4" t="s">
        <v>293</v>
      </c>
    </row>
    <row r="1673" spans="1:13" x14ac:dyDescent="0.25">
      <c r="A1673" s="31" t="s">
        <v>1436</v>
      </c>
      <c r="B1673" s="31" t="s">
        <v>0</v>
      </c>
      <c r="C1673" s="31" t="s">
        <v>599</v>
      </c>
      <c r="D1673" s="31" t="s">
        <v>600</v>
      </c>
      <c r="E1673" s="31" t="s">
        <v>22</v>
      </c>
      <c r="F1673" s="32">
        <v>43477</v>
      </c>
      <c r="G1673" s="32">
        <v>43519</v>
      </c>
      <c r="H1673" s="33">
        <v>0.41666666666666669</v>
      </c>
      <c r="I1673" s="31" t="s">
        <v>139</v>
      </c>
      <c r="J1673" s="31" t="s">
        <v>898</v>
      </c>
      <c r="K1673" s="31" t="s">
        <v>25</v>
      </c>
      <c r="M1673" s="4" t="s">
        <v>293</v>
      </c>
    </row>
    <row r="1674" spans="1:13" x14ac:dyDescent="0.25">
      <c r="A1674" s="31" t="s">
        <v>1436</v>
      </c>
      <c r="B1674" s="31" t="s">
        <v>0</v>
      </c>
      <c r="C1674" s="31" t="s">
        <v>599</v>
      </c>
      <c r="D1674" s="31" t="s">
        <v>600</v>
      </c>
      <c r="E1674" s="31" t="s">
        <v>18</v>
      </c>
      <c r="F1674" s="32">
        <v>43478</v>
      </c>
      <c r="G1674" s="32">
        <v>43548</v>
      </c>
      <c r="H1674" s="33">
        <v>0.41666666666666669</v>
      </c>
      <c r="I1674" s="31" t="s">
        <v>139</v>
      </c>
      <c r="J1674" s="31" t="s">
        <v>896</v>
      </c>
      <c r="K1674" s="31" t="s">
        <v>25</v>
      </c>
      <c r="M1674" s="4" t="s">
        <v>293</v>
      </c>
    </row>
    <row r="1675" spans="1:13" x14ac:dyDescent="0.25">
      <c r="A1675" s="31" t="s">
        <v>1436</v>
      </c>
      <c r="B1675" s="31" t="s">
        <v>0</v>
      </c>
      <c r="C1675" s="31" t="s">
        <v>599</v>
      </c>
      <c r="D1675" s="31" t="s">
        <v>600</v>
      </c>
      <c r="E1675" s="31" t="s">
        <v>419</v>
      </c>
      <c r="F1675" s="32">
        <v>43401</v>
      </c>
      <c r="G1675" s="32">
        <v>43554</v>
      </c>
      <c r="H1675" s="33">
        <v>0.4375</v>
      </c>
      <c r="I1675" s="31" t="s">
        <v>139</v>
      </c>
      <c r="J1675" s="31" t="s">
        <v>1635</v>
      </c>
      <c r="K1675" s="31" t="s">
        <v>25</v>
      </c>
      <c r="M1675" s="4" t="s">
        <v>293</v>
      </c>
    </row>
    <row r="1676" spans="1:13" x14ac:dyDescent="0.25">
      <c r="A1676" s="31" t="s">
        <v>1436</v>
      </c>
      <c r="B1676" s="31" t="s">
        <v>0</v>
      </c>
      <c r="C1676" s="31" t="s">
        <v>599</v>
      </c>
      <c r="D1676" s="31" t="s">
        <v>600</v>
      </c>
      <c r="E1676" s="31" t="s">
        <v>163</v>
      </c>
      <c r="F1676" s="32">
        <v>43437</v>
      </c>
      <c r="G1676" s="32">
        <v>43552</v>
      </c>
      <c r="H1676" s="33">
        <v>0.4375</v>
      </c>
      <c r="I1676" s="31" t="s">
        <v>139</v>
      </c>
      <c r="J1676" s="31" t="s">
        <v>1635</v>
      </c>
      <c r="K1676" s="31" t="s">
        <v>25</v>
      </c>
      <c r="M1676" s="4" t="s">
        <v>293</v>
      </c>
    </row>
    <row r="1677" spans="1:13" x14ac:dyDescent="0.25">
      <c r="A1677" s="31" t="s">
        <v>1436</v>
      </c>
      <c r="B1677" s="31" t="s">
        <v>0</v>
      </c>
      <c r="C1677" s="31" t="s">
        <v>599</v>
      </c>
      <c r="D1677" s="31" t="s">
        <v>600</v>
      </c>
      <c r="E1677" s="31" t="s">
        <v>19</v>
      </c>
      <c r="F1677" s="32">
        <v>43452</v>
      </c>
      <c r="G1677" s="32">
        <v>43522</v>
      </c>
      <c r="H1677" s="33">
        <v>0.4375</v>
      </c>
      <c r="I1677" s="31" t="s">
        <v>139</v>
      </c>
      <c r="J1677" s="31" t="s">
        <v>1635</v>
      </c>
      <c r="K1677" s="31" t="s">
        <v>25</v>
      </c>
      <c r="M1677" s="4" t="s">
        <v>293</v>
      </c>
    </row>
    <row r="1678" spans="1:13" x14ac:dyDescent="0.25">
      <c r="A1678" s="31" t="s">
        <v>1436</v>
      </c>
      <c r="B1678" s="31" t="s">
        <v>0</v>
      </c>
      <c r="C1678" s="31" t="s">
        <v>599</v>
      </c>
      <c r="D1678" s="31" t="s">
        <v>600</v>
      </c>
      <c r="E1678" s="31" t="s">
        <v>235</v>
      </c>
      <c r="F1678" s="32">
        <v>43402</v>
      </c>
      <c r="G1678" s="32">
        <v>43552</v>
      </c>
      <c r="H1678" s="33">
        <v>0.45833333333333331</v>
      </c>
      <c r="I1678" s="31" t="s">
        <v>139</v>
      </c>
      <c r="J1678" s="31" t="s">
        <v>899</v>
      </c>
      <c r="K1678" s="31" t="s">
        <v>25</v>
      </c>
      <c r="M1678" s="4" t="s">
        <v>293</v>
      </c>
    </row>
    <row r="1679" spans="1:13" x14ac:dyDescent="0.25">
      <c r="A1679" s="31" t="s">
        <v>1436</v>
      </c>
      <c r="B1679" s="31" t="s">
        <v>0</v>
      </c>
      <c r="C1679" s="31" t="s">
        <v>599</v>
      </c>
      <c r="D1679" s="31" t="s">
        <v>600</v>
      </c>
      <c r="E1679" s="31" t="s">
        <v>22</v>
      </c>
      <c r="F1679" s="32">
        <v>43407</v>
      </c>
      <c r="G1679" s="32">
        <v>43554</v>
      </c>
      <c r="H1679" s="33">
        <v>0.47916666666666669</v>
      </c>
      <c r="I1679" s="31" t="s">
        <v>139</v>
      </c>
      <c r="J1679" s="31" t="s">
        <v>901</v>
      </c>
      <c r="K1679" s="31" t="s">
        <v>25</v>
      </c>
      <c r="M1679" s="4" t="s">
        <v>293</v>
      </c>
    </row>
    <row r="1680" spans="1:13" x14ac:dyDescent="0.25">
      <c r="A1680" s="31" t="s">
        <v>1436</v>
      </c>
      <c r="B1680" s="31" t="s">
        <v>0</v>
      </c>
      <c r="C1680" s="31" t="s">
        <v>599</v>
      </c>
      <c r="D1680" s="31" t="s">
        <v>600</v>
      </c>
      <c r="E1680" s="31" t="s">
        <v>143</v>
      </c>
      <c r="F1680" s="32">
        <v>43401</v>
      </c>
      <c r="G1680" s="32">
        <v>43553</v>
      </c>
      <c r="H1680" s="33">
        <v>0.5</v>
      </c>
      <c r="I1680" s="31" t="s">
        <v>139</v>
      </c>
      <c r="J1680" s="31" t="s">
        <v>901</v>
      </c>
      <c r="K1680" s="31" t="s">
        <v>25</v>
      </c>
      <c r="M1680" s="4" t="s">
        <v>293</v>
      </c>
    </row>
    <row r="1681" spans="1:13" x14ac:dyDescent="0.25">
      <c r="A1681" s="31" t="s">
        <v>1436</v>
      </c>
      <c r="B1681" s="31" t="s">
        <v>0</v>
      </c>
      <c r="C1681" s="31" t="s">
        <v>599</v>
      </c>
      <c r="D1681" s="31" t="s">
        <v>600</v>
      </c>
      <c r="E1681" s="31" t="s">
        <v>52</v>
      </c>
      <c r="F1681" s="32">
        <v>43401</v>
      </c>
      <c r="G1681" s="32">
        <v>43554</v>
      </c>
      <c r="H1681" s="33">
        <v>0.52083333333333337</v>
      </c>
      <c r="I1681" s="31" t="s">
        <v>139</v>
      </c>
      <c r="J1681" s="31" t="s">
        <v>900</v>
      </c>
      <c r="K1681" s="31" t="s">
        <v>25</v>
      </c>
      <c r="M1681" s="4" t="s">
        <v>293</v>
      </c>
    </row>
    <row r="1682" spans="1:13" x14ac:dyDescent="0.25">
      <c r="A1682" s="31" t="s">
        <v>1436</v>
      </c>
      <c r="B1682" s="31" t="s">
        <v>0</v>
      </c>
      <c r="C1682" s="31" t="s">
        <v>599</v>
      </c>
      <c r="D1682" s="31" t="s">
        <v>600</v>
      </c>
      <c r="E1682" s="31" t="s">
        <v>1503</v>
      </c>
      <c r="F1682" s="32">
        <v>43403</v>
      </c>
      <c r="G1682" s="32">
        <v>43554</v>
      </c>
      <c r="H1682" s="33">
        <v>0.54166666666666663</v>
      </c>
      <c r="I1682" s="31" t="s">
        <v>139</v>
      </c>
      <c r="J1682" s="31" t="s">
        <v>902</v>
      </c>
      <c r="K1682" s="31" t="s">
        <v>25</v>
      </c>
      <c r="M1682" s="4" t="s">
        <v>293</v>
      </c>
    </row>
    <row r="1683" spans="1:13" x14ac:dyDescent="0.25">
      <c r="A1683" s="31" t="s">
        <v>1436</v>
      </c>
      <c r="B1683" s="31" t="s">
        <v>0</v>
      </c>
      <c r="C1683" s="31" t="s">
        <v>599</v>
      </c>
      <c r="D1683" s="31" t="s">
        <v>600</v>
      </c>
      <c r="E1683" s="31" t="s">
        <v>101</v>
      </c>
      <c r="F1683" s="32">
        <v>43472</v>
      </c>
      <c r="G1683" s="32">
        <v>43549</v>
      </c>
      <c r="H1683" s="33">
        <v>0.54166666666666663</v>
      </c>
      <c r="I1683" s="31" t="s">
        <v>139</v>
      </c>
      <c r="J1683" s="31" t="s">
        <v>902</v>
      </c>
      <c r="K1683" s="31" t="s">
        <v>25</v>
      </c>
      <c r="M1683" s="4" t="s">
        <v>293</v>
      </c>
    </row>
    <row r="1684" spans="1:13" x14ac:dyDescent="0.25">
      <c r="A1684" s="31" t="s">
        <v>1436</v>
      </c>
      <c r="B1684" s="31" t="s">
        <v>0</v>
      </c>
      <c r="C1684" s="31" t="s">
        <v>599</v>
      </c>
      <c r="D1684" s="31" t="s">
        <v>600</v>
      </c>
      <c r="E1684" s="31" t="s">
        <v>143</v>
      </c>
      <c r="F1684" s="32">
        <v>43401</v>
      </c>
      <c r="G1684" s="32">
        <v>43553</v>
      </c>
      <c r="H1684" s="33">
        <v>0.58333333333333337</v>
      </c>
      <c r="I1684" s="31" t="s">
        <v>139</v>
      </c>
      <c r="J1684" s="31" t="s">
        <v>903</v>
      </c>
      <c r="K1684" s="31" t="s">
        <v>25</v>
      </c>
      <c r="M1684" s="4" t="s">
        <v>293</v>
      </c>
    </row>
    <row r="1685" spans="1:13" x14ac:dyDescent="0.25">
      <c r="A1685" s="31" t="s">
        <v>1436</v>
      </c>
      <c r="B1685" s="31" t="s">
        <v>0</v>
      </c>
      <c r="C1685" s="31" t="s">
        <v>599</v>
      </c>
      <c r="D1685" s="31" t="s">
        <v>600</v>
      </c>
      <c r="E1685" s="31" t="s">
        <v>1933</v>
      </c>
      <c r="F1685" s="32">
        <v>43402</v>
      </c>
      <c r="G1685" s="32">
        <v>43553</v>
      </c>
      <c r="H1685" s="33">
        <v>0.59027777777777779</v>
      </c>
      <c r="I1685" s="31" t="s">
        <v>139</v>
      </c>
      <c r="J1685" s="31" t="s">
        <v>906</v>
      </c>
      <c r="K1685" s="31" t="s">
        <v>25</v>
      </c>
      <c r="M1685" s="4" t="s">
        <v>293</v>
      </c>
    </row>
    <row r="1686" spans="1:13" x14ac:dyDescent="0.25">
      <c r="A1686" s="31" t="s">
        <v>1436</v>
      </c>
      <c r="B1686" s="31" t="s">
        <v>0</v>
      </c>
      <c r="C1686" s="31" t="s">
        <v>599</v>
      </c>
      <c r="D1686" s="31" t="s">
        <v>600</v>
      </c>
      <c r="E1686" s="31" t="s">
        <v>13</v>
      </c>
      <c r="F1686" s="32">
        <v>43475</v>
      </c>
      <c r="G1686" s="32">
        <v>43552</v>
      </c>
      <c r="H1686" s="33">
        <v>0.59027777777777779</v>
      </c>
      <c r="I1686" s="31" t="s">
        <v>139</v>
      </c>
      <c r="J1686" s="31" t="s">
        <v>906</v>
      </c>
      <c r="K1686" s="31" t="s">
        <v>25</v>
      </c>
      <c r="M1686" s="4" t="s">
        <v>293</v>
      </c>
    </row>
    <row r="1687" spans="1:13" x14ac:dyDescent="0.25">
      <c r="A1687" s="31" t="s">
        <v>1436</v>
      </c>
      <c r="B1687" s="31" t="s">
        <v>0</v>
      </c>
      <c r="C1687" s="31" t="s">
        <v>599</v>
      </c>
      <c r="D1687" s="31" t="s">
        <v>600</v>
      </c>
      <c r="E1687" s="31" t="s">
        <v>144</v>
      </c>
      <c r="F1687" s="32">
        <v>43430</v>
      </c>
      <c r="G1687" s="32">
        <v>43554</v>
      </c>
      <c r="H1687" s="33">
        <v>0.59722222222222221</v>
      </c>
      <c r="I1687" s="31" t="s">
        <v>139</v>
      </c>
      <c r="J1687" s="31" t="s">
        <v>904</v>
      </c>
      <c r="K1687" s="31" t="s">
        <v>25</v>
      </c>
      <c r="M1687" s="4" t="s">
        <v>293</v>
      </c>
    </row>
    <row r="1688" spans="1:13" x14ac:dyDescent="0.25">
      <c r="A1688" s="31" t="s">
        <v>1436</v>
      </c>
      <c r="B1688" s="31" t="s">
        <v>0</v>
      </c>
      <c r="C1688" s="31" t="s">
        <v>599</v>
      </c>
      <c r="D1688" s="31" t="s">
        <v>600</v>
      </c>
      <c r="E1688" s="31" t="s">
        <v>30</v>
      </c>
      <c r="F1688" s="32">
        <v>43402</v>
      </c>
      <c r="G1688" s="32">
        <v>43554</v>
      </c>
      <c r="H1688" s="33">
        <v>0.625</v>
      </c>
      <c r="I1688" s="31" t="s">
        <v>139</v>
      </c>
      <c r="J1688" s="31" t="s">
        <v>905</v>
      </c>
      <c r="K1688" s="31" t="s">
        <v>25</v>
      </c>
      <c r="M1688" s="4" t="s">
        <v>293</v>
      </c>
    </row>
    <row r="1689" spans="1:13" x14ac:dyDescent="0.25">
      <c r="A1689" s="31" t="s">
        <v>1436</v>
      </c>
      <c r="B1689" s="31" t="s">
        <v>0</v>
      </c>
      <c r="C1689" s="31" t="s">
        <v>599</v>
      </c>
      <c r="D1689" s="31" t="s">
        <v>600</v>
      </c>
      <c r="E1689" s="31" t="s">
        <v>18</v>
      </c>
      <c r="F1689" s="32">
        <v>43478</v>
      </c>
      <c r="G1689" s="32">
        <v>43548</v>
      </c>
      <c r="H1689" s="33">
        <v>0.625</v>
      </c>
      <c r="I1689" s="31" t="s">
        <v>139</v>
      </c>
      <c r="J1689" s="31" t="s">
        <v>905</v>
      </c>
      <c r="K1689" s="31" t="s">
        <v>25</v>
      </c>
      <c r="M1689" s="4" t="s">
        <v>293</v>
      </c>
    </row>
    <row r="1690" spans="1:13" x14ac:dyDescent="0.25">
      <c r="A1690" s="31" t="s">
        <v>1436</v>
      </c>
      <c r="B1690" s="31" t="s">
        <v>0</v>
      </c>
      <c r="C1690" s="31" t="s">
        <v>599</v>
      </c>
      <c r="D1690" s="31" t="s">
        <v>600</v>
      </c>
      <c r="E1690" s="31" t="s">
        <v>391</v>
      </c>
      <c r="F1690" s="32">
        <v>43403</v>
      </c>
      <c r="G1690" s="32">
        <v>43552</v>
      </c>
      <c r="H1690" s="33">
        <v>0.66666666666666663</v>
      </c>
      <c r="I1690" s="31" t="s">
        <v>139</v>
      </c>
      <c r="J1690" s="31" t="s">
        <v>907</v>
      </c>
      <c r="K1690" s="31" t="s">
        <v>25</v>
      </c>
      <c r="M1690" s="4" t="s">
        <v>293</v>
      </c>
    </row>
    <row r="1691" spans="1:13" x14ac:dyDescent="0.25">
      <c r="A1691" s="31" t="s">
        <v>1436</v>
      </c>
      <c r="B1691" s="31" t="s">
        <v>0</v>
      </c>
      <c r="C1691" s="31" t="s">
        <v>599</v>
      </c>
      <c r="D1691" s="31" t="s">
        <v>600</v>
      </c>
      <c r="E1691" s="31" t="s">
        <v>48</v>
      </c>
      <c r="F1691" s="32">
        <v>43448</v>
      </c>
      <c r="G1691" s="32">
        <v>43553</v>
      </c>
      <c r="H1691" s="33">
        <v>0.66666666666666663</v>
      </c>
      <c r="I1691" s="31" t="s">
        <v>139</v>
      </c>
      <c r="J1691" s="31" t="s">
        <v>907</v>
      </c>
      <c r="K1691" s="31" t="s">
        <v>25</v>
      </c>
      <c r="M1691" s="4" t="s">
        <v>293</v>
      </c>
    </row>
    <row r="1692" spans="1:13" x14ac:dyDescent="0.25">
      <c r="A1692" s="31" t="s">
        <v>1436</v>
      </c>
      <c r="B1692" s="31" t="s">
        <v>0</v>
      </c>
      <c r="C1692" s="31" t="s">
        <v>599</v>
      </c>
      <c r="D1692" s="31" t="s">
        <v>600</v>
      </c>
      <c r="E1692" s="31" t="s">
        <v>59</v>
      </c>
      <c r="F1692" s="32">
        <v>43472</v>
      </c>
      <c r="G1692" s="32">
        <v>43549</v>
      </c>
      <c r="H1692" s="33">
        <v>0.66666666666666663</v>
      </c>
      <c r="I1692" s="31" t="s">
        <v>139</v>
      </c>
      <c r="J1692" s="31" t="s">
        <v>907</v>
      </c>
      <c r="K1692" s="31" t="s">
        <v>25</v>
      </c>
      <c r="M1692" s="4" t="s">
        <v>293</v>
      </c>
    </row>
    <row r="1693" spans="1:13" x14ac:dyDescent="0.25">
      <c r="A1693" s="31" t="s">
        <v>1436</v>
      </c>
      <c r="B1693" s="31" t="s">
        <v>0</v>
      </c>
      <c r="C1693" s="31" t="s">
        <v>599</v>
      </c>
      <c r="D1693" s="31" t="s">
        <v>600</v>
      </c>
      <c r="E1693" s="31" t="s">
        <v>151</v>
      </c>
      <c r="F1693" s="32">
        <v>43401</v>
      </c>
      <c r="G1693" s="32">
        <v>43553</v>
      </c>
      <c r="H1693" s="33">
        <v>0.67708333333333337</v>
      </c>
      <c r="I1693" s="31" t="s">
        <v>139</v>
      </c>
      <c r="J1693" s="31" t="s">
        <v>909</v>
      </c>
      <c r="K1693" s="31" t="s">
        <v>25</v>
      </c>
      <c r="M1693" s="4" t="s">
        <v>293</v>
      </c>
    </row>
    <row r="1694" spans="1:13" x14ac:dyDescent="0.25">
      <c r="A1694" s="31" t="s">
        <v>1436</v>
      </c>
      <c r="B1694" s="31" t="s">
        <v>0</v>
      </c>
      <c r="C1694" s="31" t="s">
        <v>599</v>
      </c>
      <c r="D1694" s="31" t="s">
        <v>600</v>
      </c>
      <c r="E1694" s="31" t="s">
        <v>897</v>
      </c>
      <c r="F1694" s="32">
        <v>43402</v>
      </c>
      <c r="G1694" s="32">
        <v>43553</v>
      </c>
      <c r="H1694" s="33">
        <v>0.70833333333333337</v>
      </c>
      <c r="I1694" s="31" t="s">
        <v>139</v>
      </c>
      <c r="J1694" s="31" t="s">
        <v>908</v>
      </c>
      <c r="K1694" s="31" t="s">
        <v>25</v>
      </c>
      <c r="L1694" s="4"/>
      <c r="M1694" s="4" t="s">
        <v>293</v>
      </c>
    </row>
    <row r="1695" spans="1:13" x14ac:dyDescent="0.25">
      <c r="A1695" s="31" t="s">
        <v>1436</v>
      </c>
      <c r="B1695" s="31" t="s">
        <v>0</v>
      </c>
      <c r="C1695" s="31" t="s">
        <v>599</v>
      </c>
      <c r="D1695" s="31" t="s">
        <v>600</v>
      </c>
      <c r="E1695" s="31" t="s">
        <v>19</v>
      </c>
      <c r="F1695" s="32">
        <v>43459</v>
      </c>
      <c r="G1695" s="32">
        <v>43550</v>
      </c>
      <c r="H1695" s="33">
        <v>0.70833333333333337</v>
      </c>
      <c r="I1695" s="31" t="s">
        <v>139</v>
      </c>
      <c r="J1695" s="31" t="s">
        <v>908</v>
      </c>
      <c r="K1695" s="31" t="s">
        <v>25</v>
      </c>
      <c r="L1695" s="4"/>
      <c r="M1695" s="4" t="s">
        <v>293</v>
      </c>
    </row>
    <row r="1696" spans="1:13" x14ac:dyDescent="0.25">
      <c r="A1696" s="31" t="s">
        <v>1436</v>
      </c>
      <c r="B1696" s="31" t="s">
        <v>0</v>
      </c>
      <c r="C1696" s="31" t="s">
        <v>599</v>
      </c>
      <c r="D1696" s="31" t="s">
        <v>600</v>
      </c>
      <c r="E1696" s="31" t="s">
        <v>52</v>
      </c>
      <c r="F1696" s="32">
        <v>43471</v>
      </c>
      <c r="G1696" s="32">
        <v>43554</v>
      </c>
      <c r="H1696" s="33">
        <v>0.70833333333333337</v>
      </c>
      <c r="I1696" s="31" t="s">
        <v>139</v>
      </c>
      <c r="J1696" s="31" t="s">
        <v>908</v>
      </c>
      <c r="K1696" s="31" t="s">
        <v>25</v>
      </c>
      <c r="L1696" s="4"/>
      <c r="M1696" s="4" t="s">
        <v>293</v>
      </c>
    </row>
    <row r="1697" spans="1:13" x14ac:dyDescent="0.25">
      <c r="A1697" s="31" t="s">
        <v>1436</v>
      </c>
      <c r="B1697" s="31" t="s">
        <v>0</v>
      </c>
      <c r="C1697" s="31" t="s">
        <v>599</v>
      </c>
      <c r="D1697" s="31" t="s">
        <v>600</v>
      </c>
      <c r="E1697" s="31" t="s">
        <v>1233</v>
      </c>
      <c r="F1697" s="32">
        <v>43401</v>
      </c>
      <c r="G1697" s="32">
        <v>43554</v>
      </c>
      <c r="H1697" s="33">
        <v>0.75</v>
      </c>
      <c r="I1697" s="31" t="s">
        <v>139</v>
      </c>
      <c r="J1697" s="31" t="s">
        <v>911</v>
      </c>
      <c r="K1697" s="31" t="s">
        <v>25</v>
      </c>
      <c r="L1697" s="4"/>
      <c r="M1697" s="4" t="s">
        <v>293</v>
      </c>
    </row>
    <row r="1698" spans="1:13" x14ac:dyDescent="0.25">
      <c r="A1698" s="31" t="s">
        <v>1436</v>
      </c>
      <c r="B1698" s="31" t="s">
        <v>0</v>
      </c>
      <c r="C1698" s="31" t="s">
        <v>599</v>
      </c>
      <c r="D1698" s="31" t="s">
        <v>600</v>
      </c>
      <c r="E1698" s="31" t="s">
        <v>13</v>
      </c>
      <c r="F1698" s="32">
        <v>43447</v>
      </c>
      <c r="G1698" s="32">
        <v>43552</v>
      </c>
      <c r="H1698" s="33">
        <v>0.75</v>
      </c>
      <c r="I1698" s="31" t="s">
        <v>139</v>
      </c>
      <c r="J1698" s="31" t="s">
        <v>911</v>
      </c>
      <c r="K1698" s="31" t="s">
        <v>25</v>
      </c>
      <c r="L1698" s="4"/>
      <c r="M1698" s="4" t="s">
        <v>293</v>
      </c>
    </row>
    <row r="1699" spans="1:13" x14ac:dyDescent="0.25">
      <c r="A1699" s="31" t="s">
        <v>1436</v>
      </c>
      <c r="B1699" s="31" t="s">
        <v>0</v>
      </c>
      <c r="C1699" s="31" t="s">
        <v>599</v>
      </c>
      <c r="D1699" s="31" t="s">
        <v>600</v>
      </c>
      <c r="E1699" s="31" t="s">
        <v>59</v>
      </c>
      <c r="F1699" s="32">
        <v>43465</v>
      </c>
      <c r="G1699" s="32">
        <v>43549</v>
      </c>
      <c r="H1699" s="33">
        <v>0.75</v>
      </c>
      <c r="I1699" s="31" t="s">
        <v>139</v>
      </c>
      <c r="J1699" s="31" t="s">
        <v>911</v>
      </c>
      <c r="K1699" s="31" t="s">
        <v>25</v>
      </c>
      <c r="L1699" s="4"/>
      <c r="M1699" s="4" t="s">
        <v>293</v>
      </c>
    </row>
    <row r="1700" spans="1:13" x14ac:dyDescent="0.25">
      <c r="A1700" s="31" t="s">
        <v>1436</v>
      </c>
      <c r="B1700" s="31" t="s">
        <v>0</v>
      </c>
      <c r="C1700" s="31" t="s">
        <v>599</v>
      </c>
      <c r="D1700" s="31" t="s">
        <v>600</v>
      </c>
      <c r="E1700" s="31" t="s">
        <v>48</v>
      </c>
      <c r="F1700" s="32">
        <v>43448</v>
      </c>
      <c r="G1700" s="32">
        <v>43553</v>
      </c>
      <c r="H1700" s="33">
        <v>0.77083333333333337</v>
      </c>
      <c r="I1700" s="31" t="s">
        <v>139</v>
      </c>
      <c r="J1700" s="31" t="s">
        <v>910</v>
      </c>
      <c r="K1700" s="31" t="s">
        <v>25</v>
      </c>
      <c r="L1700" s="4"/>
      <c r="M1700" s="4" t="s">
        <v>293</v>
      </c>
    </row>
    <row r="1701" spans="1:13" x14ac:dyDescent="0.25">
      <c r="A1701" s="31" t="s">
        <v>1436</v>
      </c>
      <c r="B1701" s="31" t="s">
        <v>0</v>
      </c>
      <c r="C1701" s="31" t="s">
        <v>599</v>
      </c>
      <c r="D1701" s="31" t="s">
        <v>600</v>
      </c>
      <c r="E1701" s="31" t="s">
        <v>18</v>
      </c>
      <c r="F1701" s="32">
        <v>43401</v>
      </c>
      <c r="G1701" s="32">
        <v>43548</v>
      </c>
      <c r="H1701" s="33">
        <v>0.77430555555555547</v>
      </c>
      <c r="I1701" s="31" t="s">
        <v>139</v>
      </c>
      <c r="J1701" s="31" t="s">
        <v>914</v>
      </c>
      <c r="K1701" s="31" t="s">
        <v>25</v>
      </c>
      <c r="L1701" s="4"/>
      <c r="M1701" s="4" t="s">
        <v>293</v>
      </c>
    </row>
    <row r="1702" spans="1:13" x14ac:dyDescent="0.25">
      <c r="A1702" s="31" t="s">
        <v>1436</v>
      </c>
      <c r="B1702" s="31" t="s">
        <v>0</v>
      </c>
      <c r="C1702" s="31" t="s">
        <v>599</v>
      </c>
      <c r="D1702" s="31" t="s">
        <v>600</v>
      </c>
      <c r="E1702" s="31" t="s">
        <v>30</v>
      </c>
      <c r="F1702" s="32">
        <v>43402</v>
      </c>
      <c r="G1702" s="32">
        <v>43554</v>
      </c>
      <c r="H1702" s="33">
        <v>0.78472222222222221</v>
      </c>
      <c r="I1702" s="31" t="s">
        <v>139</v>
      </c>
      <c r="J1702" s="31" t="s">
        <v>914</v>
      </c>
      <c r="K1702" s="31" t="s">
        <v>25</v>
      </c>
      <c r="L1702" s="4"/>
      <c r="M1702" s="4" t="s">
        <v>293</v>
      </c>
    </row>
    <row r="1703" spans="1:13" x14ac:dyDescent="0.25">
      <c r="A1703" s="31" t="s">
        <v>1436</v>
      </c>
      <c r="B1703" s="31" t="s">
        <v>0</v>
      </c>
      <c r="C1703" s="31" t="s">
        <v>599</v>
      </c>
      <c r="D1703" s="31" t="s">
        <v>600</v>
      </c>
      <c r="E1703" s="31" t="s">
        <v>897</v>
      </c>
      <c r="F1703" s="32">
        <v>43402</v>
      </c>
      <c r="G1703" s="32">
        <v>43553</v>
      </c>
      <c r="H1703" s="33">
        <v>0.79166666666666663</v>
      </c>
      <c r="I1703" s="31" t="s">
        <v>139</v>
      </c>
      <c r="J1703" s="31" t="s">
        <v>912</v>
      </c>
      <c r="K1703" s="31" t="s">
        <v>25</v>
      </c>
      <c r="L1703" s="4"/>
      <c r="M1703" s="4" t="s">
        <v>293</v>
      </c>
    </row>
    <row r="1704" spans="1:13" x14ac:dyDescent="0.25">
      <c r="A1704" s="31" t="s">
        <v>1436</v>
      </c>
      <c r="B1704" s="31" t="s">
        <v>0</v>
      </c>
      <c r="C1704" s="31" t="s">
        <v>599</v>
      </c>
      <c r="D1704" s="31" t="s">
        <v>600</v>
      </c>
      <c r="E1704" s="31" t="s">
        <v>667</v>
      </c>
      <c r="F1704" s="32">
        <v>43471</v>
      </c>
      <c r="G1704" s="32">
        <v>43554</v>
      </c>
      <c r="H1704" s="33">
        <v>0.79166666666666663</v>
      </c>
      <c r="I1704" s="31" t="s">
        <v>139</v>
      </c>
      <c r="J1704" s="31" t="s">
        <v>912</v>
      </c>
      <c r="K1704" s="31" t="s">
        <v>25</v>
      </c>
      <c r="L1704" s="4"/>
      <c r="M1704" s="4" t="s">
        <v>293</v>
      </c>
    </row>
    <row r="1705" spans="1:13" x14ac:dyDescent="0.25">
      <c r="A1705" s="31" t="s">
        <v>1436</v>
      </c>
      <c r="B1705" s="31" t="s">
        <v>0</v>
      </c>
      <c r="C1705" s="31" t="s">
        <v>599</v>
      </c>
      <c r="D1705" s="31" t="s">
        <v>600</v>
      </c>
      <c r="E1705" s="31" t="s">
        <v>841</v>
      </c>
      <c r="F1705" s="32">
        <v>43401</v>
      </c>
      <c r="G1705" s="32">
        <v>43554</v>
      </c>
      <c r="H1705" s="33">
        <v>0.80555555555555547</v>
      </c>
      <c r="I1705" s="31" t="s">
        <v>139</v>
      </c>
      <c r="J1705" s="31" t="s">
        <v>913</v>
      </c>
      <c r="K1705" s="31" t="s">
        <v>25</v>
      </c>
      <c r="L1705" s="4"/>
      <c r="M1705" s="4" t="s">
        <v>293</v>
      </c>
    </row>
    <row r="1706" spans="1:13" x14ac:dyDescent="0.25">
      <c r="A1706" s="31" t="s">
        <v>1436</v>
      </c>
      <c r="B1706" s="31" t="s">
        <v>0</v>
      </c>
      <c r="C1706" s="31" t="s">
        <v>599</v>
      </c>
      <c r="D1706" s="31" t="s">
        <v>600</v>
      </c>
      <c r="E1706" s="31" t="s">
        <v>20</v>
      </c>
      <c r="F1706" s="32">
        <v>43453</v>
      </c>
      <c r="G1706" s="32">
        <v>43551</v>
      </c>
      <c r="H1706" s="33">
        <v>0.80555555555555547</v>
      </c>
      <c r="I1706" s="31" t="s">
        <v>139</v>
      </c>
      <c r="J1706" s="31" t="s">
        <v>913</v>
      </c>
      <c r="K1706" s="31" t="s">
        <v>25</v>
      </c>
      <c r="L1706" s="4"/>
      <c r="M1706" s="4" t="s">
        <v>293</v>
      </c>
    </row>
    <row r="1707" spans="1:13" x14ac:dyDescent="0.25">
      <c r="A1707" s="31" t="s">
        <v>1436</v>
      </c>
      <c r="B1707" s="31" t="s">
        <v>0</v>
      </c>
      <c r="C1707" s="31" t="s">
        <v>599</v>
      </c>
      <c r="D1707" s="31" t="s">
        <v>600</v>
      </c>
      <c r="E1707" s="31" t="s">
        <v>18</v>
      </c>
      <c r="F1707" s="32">
        <v>43464</v>
      </c>
      <c r="G1707" s="32">
        <v>43548</v>
      </c>
      <c r="H1707" s="33">
        <v>0.8125</v>
      </c>
      <c r="I1707" s="31" t="s">
        <v>139</v>
      </c>
      <c r="J1707" s="31" t="s">
        <v>917</v>
      </c>
      <c r="K1707" s="31" t="s">
        <v>25</v>
      </c>
      <c r="L1707" s="4"/>
      <c r="M1707" s="4" t="s">
        <v>293</v>
      </c>
    </row>
    <row r="1708" spans="1:13" x14ac:dyDescent="0.25">
      <c r="A1708" s="31" t="s">
        <v>1436</v>
      </c>
      <c r="B1708" s="31" t="s">
        <v>0</v>
      </c>
      <c r="C1708" s="31" t="s">
        <v>599</v>
      </c>
      <c r="D1708" s="31" t="s">
        <v>600</v>
      </c>
      <c r="E1708" s="31" t="s">
        <v>736</v>
      </c>
      <c r="F1708" s="32">
        <v>43403</v>
      </c>
      <c r="G1708" s="32">
        <v>43553</v>
      </c>
      <c r="H1708" s="33">
        <v>0.83333333333333337</v>
      </c>
      <c r="I1708" s="31" t="s">
        <v>139</v>
      </c>
      <c r="J1708" s="31" t="s">
        <v>915</v>
      </c>
      <c r="K1708" s="31" t="s">
        <v>25</v>
      </c>
      <c r="L1708" s="4"/>
      <c r="M1708" s="4" t="s">
        <v>293</v>
      </c>
    </row>
    <row r="1709" spans="1:13" x14ac:dyDescent="0.25">
      <c r="A1709" s="31" t="s">
        <v>1436</v>
      </c>
      <c r="B1709" s="31" t="s">
        <v>0</v>
      </c>
      <c r="C1709" s="31" t="s">
        <v>599</v>
      </c>
      <c r="D1709" s="31" t="s">
        <v>600</v>
      </c>
      <c r="E1709" s="31" t="s">
        <v>22</v>
      </c>
      <c r="F1709" s="32">
        <v>43407</v>
      </c>
      <c r="G1709" s="32">
        <v>43519</v>
      </c>
      <c r="H1709" s="33">
        <v>0.83333333333333337</v>
      </c>
      <c r="I1709" s="31" t="s">
        <v>139</v>
      </c>
      <c r="J1709" s="31" t="s">
        <v>915</v>
      </c>
      <c r="K1709" s="31" t="s">
        <v>25</v>
      </c>
      <c r="L1709" s="4"/>
      <c r="M1709" s="4" t="s">
        <v>293</v>
      </c>
    </row>
    <row r="1710" spans="1:13" x14ac:dyDescent="0.25">
      <c r="A1710" s="31" t="s">
        <v>1436</v>
      </c>
      <c r="B1710" s="31" t="s">
        <v>0</v>
      </c>
      <c r="C1710" s="31" t="s">
        <v>599</v>
      </c>
      <c r="D1710" s="31" t="s">
        <v>600</v>
      </c>
      <c r="E1710" s="31" t="s">
        <v>59</v>
      </c>
      <c r="F1710" s="32">
        <v>43472</v>
      </c>
      <c r="G1710" s="32">
        <v>43549</v>
      </c>
      <c r="H1710" s="33">
        <v>0.83333333333333337</v>
      </c>
      <c r="I1710" s="31" t="s">
        <v>139</v>
      </c>
      <c r="J1710" s="31" t="s">
        <v>915</v>
      </c>
      <c r="K1710" s="31" t="s">
        <v>25</v>
      </c>
      <c r="L1710" s="4"/>
      <c r="M1710" s="4" t="s">
        <v>293</v>
      </c>
    </row>
    <row r="1711" spans="1:13" x14ac:dyDescent="0.25">
      <c r="A1711" s="31" t="s">
        <v>1436</v>
      </c>
      <c r="B1711" s="31" t="s">
        <v>0</v>
      </c>
      <c r="C1711" s="31" t="s">
        <v>599</v>
      </c>
      <c r="D1711" s="31" t="s">
        <v>600</v>
      </c>
      <c r="E1711" s="31" t="s">
        <v>13</v>
      </c>
      <c r="F1711" s="32">
        <v>43503</v>
      </c>
      <c r="G1711" s="32">
        <v>43524</v>
      </c>
      <c r="H1711" s="33">
        <v>0.83333333333333337</v>
      </c>
      <c r="I1711" s="31" t="s">
        <v>139</v>
      </c>
      <c r="J1711" s="31" t="s">
        <v>915</v>
      </c>
      <c r="K1711" s="31" t="s">
        <v>25</v>
      </c>
      <c r="L1711" s="4"/>
      <c r="M1711" s="4" t="s">
        <v>293</v>
      </c>
    </row>
    <row r="1712" spans="1:13" x14ac:dyDescent="0.25">
      <c r="A1712" s="31" t="s">
        <v>1436</v>
      </c>
      <c r="B1712" s="31" t="s">
        <v>0</v>
      </c>
      <c r="C1712" s="31" t="s">
        <v>599</v>
      </c>
      <c r="D1712" s="31" t="s">
        <v>600</v>
      </c>
      <c r="E1712" s="31" t="s">
        <v>18</v>
      </c>
      <c r="F1712" s="32">
        <v>43401</v>
      </c>
      <c r="G1712" s="32">
        <v>43548</v>
      </c>
      <c r="H1712" s="33">
        <v>0.84027777777777779</v>
      </c>
      <c r="I1712" s="31" t="s">
        <v>139</v>
      </c>
      <c r="J1712" s="31" t="s">
        <v>915</v>
      </c>
      <c r="K1712" s="31" t="s">
        <v>25</v>
      </c>
      <c r="L1712" s="4"/>
      <c r="M1712" s="4" t="s">
        <v>293</v>
      </c>
    </row>
    <row r="1713" spans="1:13" x14ac:dyDescent="0.25">
      <c r="A1713" s="31" t="s">
        <v>1436</v>
      </c>
      <c r="B1713" s="31" t="s">
        <v>0</v>
      </c>
      <c r="C1713" s="31" t="s">
        <v>599</v>
      </c>
      <c r="D1713" s="31" t="s">
        <v>600</v>
      </c>
      <c r="E1713" s="31" t="s">
        <v>48</v>
      </c>
      <c r="F1713" s="32">
        <v>43406</v>
      </c>
      <c r="G1713" s="32">
        <v>43553</v>
      </c>
      <c r="H1713" s="33">
        <v>0.84027777777777779</v>
      </c>
      <c r="I1713" s="31" t="s">
        <v>139</v>
      </c>
      <c r="J1713" s="31" t="s">
        <v>916</v>
      </c>
      <c r="K1713" s="31" t="s">
        <v>25</v>
      </c>
      <c r="L1713" s="4"/>
      <c r="M1713" s="4" t="s">
        <v>293</v>
      </c>
    </row>
    <row r="1714" spans="1:13" x14ac:dyDescent="0.25">
      <c r="A1714" s="31" t="s">
        <v>1436</v>
      </c>
      <c r="B1714" s="31" t="s">
        <v>0</v>
      </c>
      <c r="C1714" s="31" t="s">
        <v>599</v>
      </c>
      <c r="D1714" s="31" t="s">
        <v>600</v>
      </c>
      <c r="E1714" s="31" t="s">
        <v>20</v>
      </c>
      <c r="F1714" s="32">
        <v>43474</v>
      </c>
      <c r="G1714" s="32">
        <v>43551</v>
      </c>
      <c r="H1714" s="33">
        <v>0.84027777777777779</v>
      </c>
      <c r="I1714" s="31" t="s">
        <v>139</v>
      </c>
      <c r="J1714" s="31" t="s">
        <v>915</v>
      </c>
      <c r="K1714" s="31" t="s">
        <v>25</v>
      </c>
      <c r="L1714" s="4"/>
      <c r="M1714" s="4" t="s">
        <v>293</v>
      </c>
    </row>
    <row r="1715" spans="1:13" x14ac:dyDescent="0.25">
      <c r="A1715" s="31" t="s">
        <v>1436</v>
      </c>
      <c r="B1715" s="31" t="s">
        <v>0</v>
      </c>
      <c r="C1715" s="31" t="s">
        <v>609</v>
      </c>
      <c r="D1715" s="31" t="s">
        <v>17</v>
      </c>
      <c r="E1715" s="31" t="s">
        <v>228</v>
      </c>
      <c r="F1715" s="32">
        <v>43404</v>
      </c>
      <c r="G1715" s="32">
        <v>43552</v>
      </c>
      <c r="H1715" s="33">
        <v>0.29166666666666669</v>
      </c>
      <c r="I1715" s="31" t="s">
        <v>139</v>
      </c>
      <c r="J1715" s="31" t="s">
        <v>918</v>
      </c>
      <c r="K1715" s="31" t="s">
        <v>25</v>
      </c>
      <c r="L1715" s="4"/>
      <c r="M1715" s="4" t="s">
        <v>293</v>
      </c>
    </row>
    <row r="1716" spans="1:13" x14ac:dyDescent="0.25">
      <c r="A1716" s="31" t="s">
        <v>1436</v>
      </c>
      <c r="B1716" s="31" t="s">
        <v>0</v>
      </c>
      <c r="C1716" s="31" t="s">
        <v>609</v>
      </c>
      <c r="D1716" s="31" t="s">
        <v>17</v>
      </c>
      <c r="E1716" s="31" t="s">
        <v>1480</v>
      </c>
      <c r="F1716" s="32">
        <v>43462</v>
      </c>
      <c r="G1716" s="32">
        <v>43554</v>
      </c>
      <c r="H1716" s="33">
        <v>0.29166666666666669</v>
      </c>
      <c r="I1716" s="31" t="s">
        <v>139</v>
      </c>
      <c r="J1716" s="31" t="s">
        <v>918</v>
      </c>
      <c r="K1716" s="31" t="s">
        <v>25</v>
      </c>
      <c r="L1716" s="4"/>
      <c r="M1716" s="4" t="s">
        <v>293</v>
      </c>
    </row>
    <row r="1717" spans="1:13" x14ac:dyDescent="0.25">
      <c r="A1717" s="31" t="s">
        <v>1436</v>
      </c>
      <c r="B1717" s="31" t="s">
        <v>0</v>
      </c>
      <c r="C1717" s="31" t="s">
        <v>609</v>
      </c>
      <c r="D1717" s="31" t="s">
        <v>17</v>
      </c>
      <c r="E1717" s="31" t="s">
        <v>814</v>
      </c>
      <c r="F1717" s="32">
        <v>43402</v>
      </c>
      <c r="G1717" s="32">
        <v>43554</v>
      </c>
      <c r="H1717" s="33">
        <v>0.41666666666666669</v>
      </c>
      <c r="I1717" s="31" t="s">
        <v>139</v>
      </c>
      <c r="J1717" s="31" t="s">
        <v>919</v>
      </c>
      <c r="K1717" s="31" t="s">
        <v>25</v>
      </c>
      <c r="L1717" s="4"/>
      <c r="M1717" s="4" t="s">
        <v>293</v>
      </c>
    </row>
    <row r="1718" spans="1:13" x14ac:dyDescent="0.25">
      <c r="A1718" s="31" t="s">
        <v>1436</v>
      </c>
      <c r="B1718" s="31" t="s">
        <v>0</v>
      </c>
      <c r="C1718" s="31" t="s">
        <v>609</v>
      </c>
      <c r="D1718" s="31" t="s">
        <v>17</v>
      </c>
      <c r="E1718" s="31" t="s">
        <v>48</v>
      </c>
      <c r="F1718" s="32">
        <v>43406</v>
      </c>
      <c r="G1718" s="32">
        <v>43553</v>
      </c>
      <c r="H1718" s="33">
        <v>0.4236111111111111</v>
      </c>
      <c r="I1718" s="31" t="s">
        <v>139</v>
      </c>
      <c r="J1718" s="31" t="s">
        <v>919</v>
      </c>
      <c r="K1718" s="31" t="s">
        <v>25</v>
      </c>
      <c r="L1718" s="4"/>
      <c r="M1718" s="4" t="s">
        <v>293</v>
      </c>
    </row>
    <row r="1719" spans="1:13" x14ac:dyDescent="0.25">
      <c r="A1719" s="31" t="s">
        <v>1436</v>
      </c>
      <c r="B1719" s="31" t="s">
        <v>0</v>
      </c>
      <c r="C1719" s="31" t="s">
        <v>609</v>
      </c>
      <c r="D1719" s="31" t="s">
        <v>17</v>
      </c>
      <c r="E1719" s="31" t="s">
        <v>18</v>
      </c>
      <c r="F1719" s="32">
        <v>43478</v>
      </c>
      <c r="G1719" s="32">
        <v>43548</v>
      </c>
      <c r="H1719" s="33">
        <v>0.52430555555555558</v>
      </c>
      <c r="I1719" s="31" t="s">
        <v>139</v>
      </c>
      <c r="J1719" s="31" t="s">
        <v>919</v>
      </c>
      <c r="K1719" s="31" t="s">
        <v>25</v>
      </c>
      <c r="L1719" s="4"/>
      <c r="M1719" s="4" t="s">
        <v>293</v>
      </c>
    </row>
    <row r="1720" spans="1:13" x14ac:dyDescent="0.25">
      <c r="A1720" s="31" t="s">
        <v>1436</v>
      </c>
      <c r="B1720" s="31" t="s">
        <v>0</v>
      </c>
      <c r="C1720" s="31" t="s">
        <v>609</v>
      </c>
      <c r="D1720" s="31" t="s">
        <v>17</v>
      </c>
      <c r="E1720" s="31" t="s">
        <v>1636</v>
      </c>
      <c r="F1720" s="32">
        <v>43462</v>
      </c>
      <c r="G1720" s="32">
        <v>43554</v>
      </c>
      <c r="H1720" s="33">
        <v>0.53472222222222221</v>
      </c>
      <c r="I1720" s="31" t="s">
        <v>139</v>
      </c>
      <c r="J1720" s="31" t="s">
        <v>921</v>
      </c>
      <c r="K1720" s="31" t="s">
        <v>25</v>
      </c>
      <c r="L1720" s="4"/>
      <c r="M1720" s="4" t="s">
        <v>293</v>
      </c>
    </row>
    <row r="1721" spans="1:13" x14ac:dyDescent="0.25">
      <c r="A1721" s="31" t="s">
        <v>1436</v>
      </c>
      <c r="B1721" s="31" t="s">
        <v>0</v>
      </c>
      <c r="C1721" s="31" t="s">
        <v>609</v>
      </c>
      <c r="D1721" s="31" t="s">
        <v>17</v>
      </c>
      <c r="E1721" s="31" t="s">
        <v>163</v>
      </c>
      <c r="F1721" s="32">
        <v>43472</v>
      </c>
      <c r="G1721" s="32">
        <v>43552</v>
      </c>
      <c r="H1721" s="33">
        <v>0.53472222222222221</v>
      </c>
      <c r="I1721" s="31" t="s">
        <v>139</v>
      </c>
      <c r="J1721" s="31" t="s">
        <v>921</v>
      </c>
      <c r="K1721" s="31" t="s">
        <v>25</v>
      </c>
      <c r="L1721" s="4"/>
      <c r="M1721" s="4" t="s">
        <v>293</v>
      </c>
    </row>
    <row r="1722" spans="1:13" x14ac:dyDescent="0.25">
      <c r="A1722" s="31" t="s">
        <v>1436</v>
      </c>
      <c r="B1722" s="31" t="s">
        <v>0</v>
      </c>
      <c r="C1722" s="31" t="s">
        <v>609</v>
      </c>
      <c r="D1722" s="31" t="s">
        <v>17</v>
      </c>
      <c r="E1722" s="31" t="s">
        <v>13</v>
      </c>
      <c r="F1722" s="32">
        <v>43475</v>
      </c>
      <c r="G1722" s="32">
        <v>43552</v>
      </c>
      <c r="H1722" s="33">
        <v>0.55555555555555558</v>
      </c>
      <c r="I1722" s="31" t="s">
        <v>139</v>
      </c>
      <c r="J1722" s="31" t="s">
        <v>920</v>
      </c>
      <c r="K1722" s="31" t="s">
        <v>25</v>
      </c>
      <c r="L1722" s="4"/>
      <c r="M1722" s="4" t="s">
        <v>293</v>
      </c>
    </row>
    <row r="1723" spans="1:13" x14ac:dyDescent="0.25">
      <c r="A1723" s="31" t="s">
        <v>1436</v>
      </c>
      <c r="B1723" s="31" t="s">
        <v>0</v>
      </c>
      <c r="C1723" s="31" t="s">
        <v>609</v>
      </c>
      <c r="D1723" s="31" t="s">
        <v>17</v>
      </c>
      <c r="E1723" s="31" t="s">
        <v>167</v>
      </c>
      <c r="F1723" s="32">
        <v>43402</v>
      </c>
      <c r="G1723" s="32">
        <v>43551</v>
      </c>
      <c r="H1723" s="33">
        <v>0.58333333333333337</v>
      </c>
      <c r="I1723" s="31" t="s">
        <v>139</v>
      </c>
      <c r="J1723" s="31" t="s">
        <v>920</v>
      </c>
      <c r="K1723" s="31" t="s">
        <v>25</v>
      </c>
      <c r="L1723" s="4"/>
      <c r="M1723" s="4" t="s">
        <v>293</v>
      </c>
    </row>
    <row r="1724" spans="1:13" x14ac:dyDescent="0.25">
      <c r="A1724" s="31" t="s">
        <v>1436</v>
      </c>
      <c r="B1724" s="31" t="s">
        <v>0</v>
      </c>
      <c r="C1724" s="31" t="s">
        <v>609</v>
      </c>
      <c r="D1724" s="31" t="s">
        <v>17</v>
      </c>
      <c r="E1724" s="31" t="s">
        <v>18</v>
      </c>
      <c r="F1724" s="32">
        <v>43478</v>
      </c>
      <c r="G1724" s="32">
        <v>43548</v>
      </c>
      <c r="H1724" s="33">
        <v>0.59722222222222221</v>
      </c>
      <c r="I1724" s="31" t="s">
        <v>139</v>
      </c>
      <c r="J1724" s="31" t="s">
        <v>920</v>
      </c>
      <c r="K1724" s="31" t="s">
        <v>25</v>
      </c>
      <c r="L1724" s="4"/>
      <c r="M1724" s="4" t="s">
        <v>293</v>
      </c>
    </row>
    <row r="1725" spans="1:13" x14ac:dyDescent="0.25">
      <c r="A1725" s="31" t="s">
        <v>1436</v>
      </c>
      <c r="B1725" s="31" t="s">
        <v>0</v>
      </c>
      <c r="C1725" s="31" t="s">
        <v>609</v>
      </c>
      <c r="D1725" s="31" t="s">
        <v>17</v>
      </c>
      <c r="E1725" s="31" t="s">
        <v>18</v>
      </c>
      <c r="F1725" s="32">
        <v>43506</v>
      </c>
      <c r="G1725" s="32">
        <v>43520</v>
      </c>
      <c r="H1725" s="33">
        <v>0.63194444444444442</v>
      </c>
      <c r="I1725" s="31" t="s">
        <v>139</v>
      </c>
      <c r="J1725" s="31" t="s">
        <v>922</v>
      </c>
      <c r="K1725" s="31" t="s">
        <v>25</v>
      </c>
      <c r="L1725" s="4"/>
      <c r="M1725" s="4" t="s">
        <v>293</v>
      </c>
    </row>
    <row r="1726" spans="1:13" x14ac:dyDescent="0.25">
      <c r="A1726" s="31" t="s">
        <v>1436</v>
      </c>
      <c r="B1726" s="31" t="s">
        <v>0</v>
      </c>
      <c r="C1726" s="31" t="s">
        <v>609</v>
      </c>
      <c r="D1726" s="31" t="s">
        <v>17</v>
      </c>
      <c r="E1726" s="31" t="s">
        <v>22</v>
      </c>
      <c r="F1726" s="32">
        <v>43477</v>
      </c>
      <c r="G1726" s="32">
        <v>43554</v>
      </c>
      <c r="H1726" s="33">
        <v>0.63541666666666663</v>
      </c>
      <c r="I1726" s="31" t="s">
        <v>139</v>
      </c>
      <c r="J1726" s="31" t="s">
        <v>920</v>
      </c>
      <c r="K1726" s="31" t="s">
        <v>25</v>
      </c>
      <c r="L1726" s="4"/>
      <c r="M1726" s="4" t="s">
        <v>293</v>
      </c>
    </row>
    <row r="1727" spans="1:13" x14ac:dyDescent="0.25">
      <c r="A1727" s="31" t="s">
        <v>1436</v>
      </c>
      <c r="B1727" s="31" t="s">
        <v>0</v>
      </c>
      <c r="C1727" s="31" t="s">
        <v>609</v>
      </c>
      <c r="D1727" s="31" t="s">
        <v>17</v>
      </c>
      <c r="E1727" s="31" t="s">
        <v>18</v>
      </c>
      <c r="F1727" s="32">
        <v>43478</v>
      </c>
      <c r="G1727" s="32">
        <v>43548</v>
      </c>
      <c r="H1727" s="33">
        <v>0.63888888888888895</v>
      </c>
      <c r="I1727" s="31" t="s">
        <v>139</v>
      </c>
      <c r="J1727" s="31" t="s">
        <v>1906</v>
      </c>
      <c r="K1727" s="31" t="s">
        <v>25</v>
      </c>
      <c r="L1727" s="4"/>
      <c r="M1727" s="4" t="s">
        <v>293</v>
      </c>
    </row>
    <row r="1728" spans="1:13" x14ac:dyDescent="0.25">
      <c r="A1728" s="31" t="s">
        <v>1436</v>
      </c>
      <c r="B1728" s="31" t="s">
        <v>0</v>
      </c>
      <c r="C1728" s="31" t="s">
        <v>609</v>
      </c>
      <c r="D1728" s="31" t="s">
        <v>17</v>
      </c>
      <c r="E1728" s="31" t="s">
        <v>48</v>
      </c>
      <c r="F1728" s="32">
        <v>43476</v>
      </c>
      <c r="G1728" s="32">
        <v>43553</v>
      </c>
      <c r="H1728" s="33">
        <v>0.64583333333333337</v>
      </c>
      <c r="I1728" s="31" t="s">
        <v>139</v>
      </c>
      <c r="J1728" s="31" t="s">
        <v>922</v>
      </c>
      <c r="K1728" s="31" t="s">
        <v>25</v>
      </c>
      <c r="L1728" s="4"/>
      <c r="M1728" s="4" t="s">
        <v>293</v>
      </c>
    </row>
    <row r="1729" spans="1:13" x14ac:dyDescent="0.25">
      <c r="A1729" s="31" t="s">
        <v>1436</v>
      </c>
      <c r="B1729" s="31" t="s">
        <v>0</v>
      </c>
      <c r="C1729" s="31" t="s">
        <v>609</v>
      </c>
      <c r="D1729" s="31" t="s">
        <v>17</v>
      </c>
      <c r="E1729" s="31" t="s">
        <v>841</v>
      </c>
      <c r="F1729" s="32">
        <v>43401</v>
      </c>
      <c r="G1729" s="32">
        <v>43554</v>
      </c>
      <c r="H1729" s="33">
        <v>0.67708333333333337</v>
      </c>
      <c r="I1729" s="31" t="s">
        <v>139</v>
      </c>
      <c r="J1729" s="31" t="s">
        <v>923</v>
      </c>
      <c r="K1729" s="31" t="s">
        <v>25</v>
      </c>
      <c r="L1729" s="4"/>
      <c r="M1729" s="4" t="s">
        <v>293</v>
      </c>
    </row>
    <row r="1730" spans="1:13" x14ac:dyDescent="0.25">
      <c r="A1730" s="31" t="s">
        <v>1436</v>
      </c>
      <c r="B1730" s="31" t="s">
        <v>0</v>
      </c>
      <c r="C1730" s="31" t="s">
        <v>609</v>
      </c>
      <c r="D1730" s="31" t="s">
        <v>17</v>
      </c>
      <c r="E1730" s="31" t="s">
        <v>20</v>
      </c>
      <c r="F1730" s="32">
        <v>43453</v>
      </c>
      <c r="G1730" s="32">
        <v>43551</v>
      </c>
      <c r="H1730" s="33">
        <v>0.67708333333333337</v>
      </c>
      <c r="I1730" s="31" t="s">
        <v>139</v>
      </c>
      <c r="J1730" s="31" t="s">
        <v>923</v>
      </c>
      <c r="K1730" s="31" t="s">
        <v>25</v>
      </c>
      <c r="L1730" s="4"/>
      <c r="M1730" s="4" t="s">
        <v>293</v>
      </c>
    </row>
    <row r="1731" spans="1:13" x14ac:dyDescent="0.25">
      <c r="A1731" s="31" t="s">
        <v>1436</v>
      </c>
      <c r="B1731" s="31" t="s">
        <v>0</v>
      </c>
      <c r="C1731" s="31" t="s">
        <v>609</v>
      </c>
      <c r="D1731" s="31" t="s">
        <v>17</v>
      </c>
      <c r="E1731" s="31" t="s">
        <v>59</v>
      </c>
      <c r="F1731" s="32">
        <v>43472</v>
      </c>
      <c r="G1731" s="32">
        <v>43549</v>
      </c>
      <c r="H1731" s="33">
        <v>0.72222222222222221</v>
      </c>
      <c r="I1731" s="31" t="s">
        <v>139</v>
      </c>
      <c r="J1731" s="31" t="s">
        <v>924</v>
      </c>
      <c r="K1731" s="31" t="s">
        <v>25</v>
      </c>
      <c r="L1731" s="4"/>
      <c r="M1731" s="4" t="s">
        <v>293</v>
      </c>
    </row>
    <row r="1732" spans="1:13" x14ac:dyDescent="0.25">
      <c r="A1732" s="31" t="s">
        <v>1436</v>
      </c>
      <c r="B1732" s="31" t="s">
        <v>0</v>
      </c>
      <c r="C1732" s="31" t="s">
        <v>609</v>
      </c>
      <c r="D1732" s="31" t="s">
        <v>17</v>
      </c>
      <c r="E1732" s="31" t="s">
        <v>19</v>
      </c>
      <c r="F1732" s="32">
        <v>43403</v>
      </c>
      <c r="G1732" s="32">
        <v>43550</v>
      </c>
      <c r="H1732" s="33">
        <v>0.72916666666666663</v>
      </c>
      <c r="I1732" s="31" t="s">
        <v>139</v>
      </c>
      <c r="J1732" s="31" t="s">
        <v>924</v>
      </c>
      <c r="K1732" s="31" t="s">
        <v>25</v>
      </c>
      <c r="L1732" s="4"/>
      <c r="M1732" s="4" t="s">
        <v>293</v>
      </c>
    </row>
    <row r="1733" spans="1:13" x14ac:dyDescent="0.25">
      <c r="A1733" s="31" t="s">
        <v>1436</v>
      </c>
      <c r="B1733" s="31" t="s">
        <v>0</v>
      </c>
      <c r="C1733" s="31" t="s">
        <v>609</v>
      </c>
      <c r="D1733" s="31" t="s">
        <v>17</v>
      </c>
      <c r="E1733" s="31" t="s">
        <v>132</v>
      </c>
      <c r="F1733" s="32">
        <v>43404</v>
      </c>
      <c r="G1733" s="32">
        <v>43553</v>
      </c>
      <c r="H1733" s="33">
        <v>0.75</v>
      </c>
      <c r="I1733" s="31" t="s">
        <v>139</v>
      </c>
      <c r="J1733" s="31" t="s">
        <v>924</v>
      </c>
      <c r="K1733" s="31" t="s">
        <v>25</v>
      </c>
      <c r="L1733" s="4"/>
      <c r="M1733" s="4" t="s">
        <v>293</v>
      </c>
    </row>
    <row r="1734" spans="1:13" x14ac:dyDescent="0.25">
      <c r="A1734" s="31" t="s">
        <v>1436</v>
      </c>
      <c r="B1734" s="31" t="s">
        <v>0</v>
      </c>
      <c r="C1734" s="31" t="s">
        <v>609</v>
      </c>
      <c r="D1734" s="31" t="s">
        <v>17</v>
      </c>
      <c r="E1734" s="31" t="s">
        <v>18</v>
      </c>
      <c r="F1734" s="32">
        <v>43478</v>
      </c>
      <c r="G1734" s="32">
        <v>43548</v>
      </c>
      <c r="H1734" s="33">
        <v>0.75</v>
      </c>
      <c r="I1734" s="31" t="s">
        <v>139</v>
      </c>
      <c r="J1734" s="31" t="s">
        <v>924</v>
      </c>
      <c r="K1734" s="31" t="s">
        <v>25</v>
      </c>
      <c r="L1734" s="4"/>
      <c r="M1734" s="4" t="s">
        <v>293</v>
      </c>
    </row>
    <row r="1735" spans="1:13" x14ac:dyDescent="0.25">
      <c r="A1735" s="31" t="s">
        <v>1436</v>
      </c>
      <c r="B1735" s="31" t="s">
        <v>0</v>
      </c>
      <c r="C1735" s="31" t="s">
        <v>609</v>
      </c>
      <c r="D1735" s="31" t="s">
        <v>17</v>
      </c>
      <c r="E1735" s="31" t="s">
        <v>13</v>
      </c>
      <c r="F1735" s="32">
        <v>43503</v>
      </c>
      <c r="G1735" s="32">
        <v>43524</v>
      </c>
      <c r="H1735" s="33">
        <v>0.75347222222222221</v>
      </c>
      <c r="I1735" s="31" t="s">
        <v>139</v>
      </c>
      <c r="J1735" s="31" t="s">
        <v>924</v>
      </c>
      <c r="K1735" s="31" t="s">
        <v>25</v>
      </c>
      <c r="L1735" s="4"/>
      <c r="M1735" s="4" t="s">
        <v>293</v>
      </c>
    </row>
    <row r="1736" spans="1:13" x14ac:dyDescent="0.25">
      <c r="A1736" s="31" t="s">
        <v>1436</v>
      </c>
      <c r="B1736" s="31" t="s">
        <v>0</v>
      </c>
      <c r="C1736" s="31" t="s">
        <v>609</v>
      </c>
      <c r="D1736" s="31" t="s">
        <v>17</v>
      </c>
      <c r="E1736" s="31" t="s">
        <v>383</v>
      </c>
      <c r="F1736" s="32">
        <v>43402</v>
      </c>
      <c r="G1736" s="32">
        <v>43552</v>
      </c>
      <c r="H1736" s="33">
        <v>0.79861111111111116</v>
      </c>
      <c r="I1736" s="31" t="s">
        <v>139</v>
      </c>
      <c r="J1736" s="31" t="s">
        <v>925</v>
      </c>
      <c r="K1736" s="31" t="s">
        <v>25</v>
      </c>
      <c r="L1736" s="4"/>
      <c r="M1736" s="4" t="s">
        <v>293</v>
      </c>
    </row>
    <row r="1737" spans="1:13" x14ac:dyDescent="0.25">
      <c r="A1737" s="31" t="s">
        <v>1436</v>
      </c>
      <c r="B1737" s="31" t="s">
        <v>0</v>
      </c>
      <c r="C1737" s="31" t="s">
        <v>609</v>
      </c>
      <c r="D1737" s="31" t="s">
        <v>17</v>
      </c>
      <c r="E1737" s="31" t="s">
        <v>48</v>
      </c>
      <c r="F1737" s="32">
        <v>43406</v>
      </c>
      <c r="G1737" s="32">
        <v>43518</v>
      </c>
      <c r="H1737" s="33">
        <v>0.79861111111111116</v>
      </c>
      <c r="I1737" s="31" t="s">
        <v>139</v>
      </c>
      <c r="J1737" s="31" t="s">
        <v>925</v>
      </c>
      <c r="K1737" s="31" t="s">
        <v>25</v>
      </c>
      <c r="L1737" s="4"/>
      <c r="M1737" s="4" t="s">
        <v>293</v>
      </c>
    </row>
    <row r="1738" spans="1:13" x14ac:dyDescent="0.25">
      <c r="A1738" s="31" t="s">
        <v>1436</v>
      </c>
      <c r="B1738" s="31" t="s">
        <v>0</v>
      </c>
      <c r="C1738" s="31" t="s">
        <v>609</v>
      </c>
      <c r="D1738" s="31" t="s">
        <v>17</v>
      </c>
      <c r="E1738" s="31" t="s">
        <v>52</v>
      </c>
      <c r="F1738" s="32">
        <v>43477</v>
      </c>
      <c r="G1738" s="32">
        <v>43554</v>
      </c>
      <c r="H1738" s="33">
        <v>0.79861111111111116</v>
      </c>
      <c r="I1738" s="31" t="s">
        <v>139</v>
      </c>
      <c r="J1738" s="31" t="s">
        <v>925</v>
      </c>
      <c r="K1738" s="31" t="s">
        <v>25</v>
      </c>
      <c r="L1738" s="4"/>
      <c r="M1738" s="4" t="s">
        <v>293</v>
      </c>
    </row>
    <row r="1739" spans="1:13" x14ac:dyDescent="0.25">
      <c r="A1739" s="31" t="s">
        <v>1436</v>
      </c>
      <c r="B1739" s="31" t="s">
        <v>0</v>
      </c>
      <c r="C1739" s="31" t="s">
        <v>609</v>
      </c>
      <c r="D1739" s="31" t="s">
        <v>17</v>
      </c>
      <c r="E1739" s="31" t="s">
        <v>95</v>
      </c>
      <c r="F1739" s="32">
        <v>43405</v>
      </c>
      <c r="G1739" s="32">
        <v>43554</v>
      </c>
      <c r="H1739" s="33">
        <v>0.83333333333333337</v>
      </c>
      <c r="I1739" s="31" t="s">
        <v>139</v>
      </c>
      <c r="J1739" s="31" t="s">
        <v>922</v>
      </c>
      <c r="K1739" s="31" t="s">
        <v>25</v>
      </c>
      <c r="L1739" s="4"/>
      <c r="M1739" s="4" t="s">
        <v>293</v>
      </c>
    </row>
    <row r="1740" spans="1:13" x14ac:dyDescent="0.25">
      <c r="A1740" s="31" t="s">
        <v>1436</v>
      </c>
      <c r="B1740" s="31" t="s">
        <v>0</v>
      </c>
      <c r="C1740" s="31" t="s">
        <v>609</v>
      </c>
      <c r="D1740" s="31" t="s">
        <v>17</v>
      </c>
      <c r="E1740" s="31" t="s">
        <v>48</v>
      </c>
      <c r="F1740" s="32">
        <v>43406</v>
      </c>
      <c r="G1740" s="32">
        <v>43553</v>
      </c>
      <c r="H1740" s="33">
        <v>0.85763888888888884</v>
      </c>
      <c r="I1740" s="31" t="s">
        <v>139</v>
      </c>
      <c r="J1740" s="31" t="s">
        <v>926</v>
      </c>
      <c r="K1740" s="31" t="s">
        <v>25</v>
      </c>
      <c r="L1740" s="4"/>
      <c r="M1740" s="4" t="s">
        <v>293</v>
      </c>
    </row>
    <row r="1741" spans="1:13" x14ac:dyDescent="0.25">
      <c r="A1741" s="31" t="s">
        <v>1436</v>
      </c>
      <c r="B1741" s="31" t="s">
        <v>0</v>
      </c>
      <c r="C1741" s="31" t="s">
        <v>609</v>
      </c>
      <c r="D1741" s="31" t="s">
        <v>17</v>
      </c>
      <c r="E1741" s="31" t="s">
        <v>18</v>
      </c>
      <c r="F1741" s="32">
        <v>43478</v>
      </c>
      <c r="G1741" s="32">
        <v>43548</v>
      </c>
      <c r="H1741" s="33">
        <v>0.86111111111111116</v>
      </c>
      <c r="I1741" s="31" t="s">
        <v>139</v>
      </c>
      <c r="J1741" s="31" t="s">
        <v>926</v>
      </c>
      <c r="K1741" s="31" t="s">
        <v>25</v>
      </c>
      <c r="L1741" s="4"/>
      <c r="M1741" s="4" t="s">
        <v>293</v>
      </c>
    </row>
    <row r="1742" spans="1:13" x14ac:dyDescent="0.25">
      <c r="A1742" s="31" t="s">
        <v>1436</v>
      </c>
      <c r="B1742" s="31" t="s">
        <v>0</v>
      </c>
      <c r="C1742" s="31" t="s">
        <v>643</v>
      </c>
      <c r="D1742" s="31" t="s">
        <v>644</v>
      </c>
      <c r="E1742" s="31" t="s">
        <v>111</v>
      </c>
      <c r="F1742" s="32">
        <v>43401</v>
      </c>
      <c r="G1742" s="32">
        <v>43552</v>
      </c>
      <c r="H1742" s="33">
        <v>0.51041666666666663</v>
      </c>
      <c r="I1742" s="31" t="s">
        <v>141</v>
      </c>
      <c r="J1742" s="31" t="s">
        <v>645</v>
      </c>
      <c r="K1742" s="31" t="s">
        <v>582</v>
      </c>
      <c r="L1742" s="4"/>
      <c r="M1742" s="4" t="s">
        <v>293</v>
      </c>
    </row>
    <row r="1743" spans="1:13" x14ac:dyDescent="0.25">
      <c r="A1743" s="31" t="s">
        <v>1436</v>
      </c>
      <c r="B1743" s="31" t="s">
        <v>0</v>
      </c>
      <c r="C1743" s="31" t="s">
        <v>222</v>
      </c>
      <c r="D1743" s="31" t="s">
        <v>223</v>
      </c>
      <c r="E1743" s="31" t="s">
        <v>144</v>
      </c>
      <c r="F1743" s="32">
        <v>43402</v>
      </c>
      <c r="G1743" s="32">
        <v>43554</v>
      </c>
      <c r="H1743" s="33">
        <v>0.29166666666666669</v>
      </c>
      <c r="I1743" s="31">
        <v>320</v>
      </c>
      <c r="J1743" s="31" t="s">
        <v>927</v>
      </c>
      <c r="K1743" s="31" t="s">
        <v>25</v>
      </c>
      <c r="L1743" s="4"/>
      <c r="M1743" s="4" t="s">
        <v>293</v>
      </c>
    </row>
    <row r="1744" spans="1:13" x14ac:dyDescent="0.25">
      <c r="A1744" s="31" t="s">
        <v>1436</v>
      </c>
      <c r="B1744" s="31" t="s">
        <v>0</v>
      </c>
      <c r="C1744" s="31" t="s">
        <v>222</v>
      </c>
      <c r="D1744" s="31" t="s">
        <v>223</v>
      </c>
      <c r="E1744" s="31" t="s">
        <v>144</v>
      </c>
      <c r="F1744" s="32">
        <v>43401</v>
      </c>
      <c r="G1744" s="32">
        <v>43554</v>
      </c>
      <c r="H1744" s="33">
        <v>0.30208333333333331</v>
      </c>
      <c r="I1744" s="31" t="s">
        <v>14</v>
      </c>
      <c r="J1744" s="31" t="s">
        <v>928</v>
      </c>
      <c r="K1744" s="31" t="s">
        <v>25</v>
      </c>
      <c r="L1744" s="4"/>
      <c r="M1744" s="4" t="s">
        <v>293</v>
      </c>
    </row>
    <row r="1745" spans="1:13" x14ac:dyDescent="0.25">
      <c r="A1745" s="31" t="s">
        <v>1436</v>
      </c>
      <c r="B1745" s="31" t="s">
        <v>0</v>
      </c>
      <c r="C1745" s="31" t="s">
        <v>222</v>
      </c>
      <c r="D1745" s="31" t="s">
        <v>223</v>
      </c>
      <c r="E1745" s="31" t="s">
        <v>1630</v>
      </c>
      <c r="F1745" s="32">
        <v>43401</v>
      </c>
      <c r="G1745" s="32">
        <v>43554</v>
      </c>
      <c r="H1745" s="33">
        <v>0.38541666666666669</v>
      </c>
      <c r="I1745" s="31" t="s">
        <v>14</v>
      </c>
      <c r="J1745" s="31" t="s">
        <v>932</v>
      </c>
      <c r="K1745" s="31" t="s">
        <v>25</v>
      </c>
      <c r="L1745" s="4"/>
      <c r="M1745" s="4" t="s">
        <v>293</v>
      </c>
    </row>
    <row r="1746" spans="1:13" x14ac:dyDescent="0.25">
      <c r="A1746" s="31" t="s">
        <v>1436</v>
      </c>
      <c r="B1746" s="31" t="s">
        <v>0</v>
      </c>
      <c r="C1746" s="31" t="s">
        <v>222</v>
      </c>
      <c r="D1746" s="31" t="s">
        <v>223</v>
      </c>
      <c r="E1746" s="31" t="s">
        <v>54</v>
      </c>
      <c r="F1746" s="32">
        <v>43467</v>
      </c>
      <c r="G1746" s="32">
        <v>43551</v>
      </c>
      <c r="H1746" s="33">
        <v>0.38541666666666669</v>
      </c>
      <c r="I1746" s="31" t="s">
        <v>14</v>
      </c>
      <c r="J1746" s="31" t="s">
        <v>932</v>
      </c>
      <c r="K1746" s="31" t="s">
        <v>25</v>
      </c>
      <c r="L1746" s="4"/>
      <c r="M1746" s="4" t="s">
        <v>293</v>
      </c>
    </row>
    <row r="1747" spans="1:13" x14ac:dyDescent="0.25">
      <c r="A1747" s="31" t="s">
        <v>1436</v>
      </c>
      <c r="B1747" s="31" t="s">
        <v>0</v>
      </c>
      <c r="C1747" s="31" t="s">
        <v>222</v>
      </c>
      <c r="D1747" s="31" t="s">
        <v>223</v>
      </c>
      <c r="E1747" s="31" t="s">
        <v>383</v>
      </c>
      <c r="F1747" s="32">
        <v>43496</v>
      </c>
      <c r="G1747" s="32">
        <v>43552</v>
      </c>
      <c r="H1747" s="33">
        <v>0.41319444444444442</v>
      </c>
      <c r="I1747" s="31">
        <v>332</v>
      </c>
      <c r="J1747" s="31" t="s">
        <v>931</v>
      </c>
      <c r="K1747" s="31" t="s">
        <v>25</v>
      </c>
      <c r="L1747" s="4"/>
      <c r="M1747" s="4" t="s">
        <v>293</v>
      </c>
    </row>
    <row r="1748" spans="1:13" x14ac:dyDescent="0.25">
      <c r="A1748" s="31" t="s">
        <v>1436</v>
      </c>
      <c r="B1748" s="31" t="s">
        <v>0</v>
      </c>
      <c r="C1748" s="31" t="s">
        <v>222</v>
      </c>
      <c r="D1748" s="31" t="s">
        <v>223</v>
      </c>
      <c r="E1748" s="31" t="s">
        <v>419</v>
      </c>
      <c r="F1748" s="32">
        <v>43492</v>
      </c>
      <c r="G1748" s="32">
        <v>43554</v>
      </c>
      <c r="H1748" s="33">
        <v>0.41666666666666669</v>
      </c>
      <c r="I1748" s="31">
        <v>332</v>
      </c>
      <c r="J1748" s="31" t="s">
        <v>931</v>
      </c>
      <c r="K1748" s="31" t="s">
        <v>25</v>
      </c>
      <c r="L1748" s="4"/>
      <c r="M1748" s="4" t="s">
        <v>293</v>
      </c>
    </row>
    <row r="1749" spans="1:13" x14ac:dyDescent="0.25">
      <c r="A1749" s="31" t="s">
        <v>1436</v>
      </c>
      <c r="B1749" s="31" t="s">
        <v>0</v>
      </c>
      <c r="C1749" s="31" t="s">
        <v>222</v>
      </c>
      <c r="D1749" s="31" t="s">
        <v>223</v>
      </c>
      <c r="E1749" s="31" t="s">
        <v>144</v>
      </c>
      <c r="F1749" s="32">
        <v>43401</v>
      </c>
      <c r="G1749" s="32">
        <v>43554</v>
      </c>
      <c r="H1749" s="33">
        <v>0.46527777777777773</v>
      </c>
      <c r="I1749" s="31">
        <v>320</v>
      </c>
      <c r="J1749" s="31" t="s">
        <v>933</v>
      </c>
      <c r="K1749" s="31" t="s">
        <v>25</v>
      </c>
      <c r="L1749" s="4"/>
      <c r="M1749" s="4" t="s">
        <v>293</v>
      </c>
    </row>
    <row r="1750" spans="1:13" x14ac:dyDescent="0.25">
      <c r="A1750" s="31" t="s">
        <v>1436</v>
      </c>
      <c r="B1750" s="31" t="s">
        <v>0</v>
      </c>
      <c r="C1750" s="31" t="s">
        <v>222</v>
      </c>
      <c r="D1750" s="31" t="s">
        <v>223</v>
      </c>
      <c r="E1750" s="31" t="s">
        <v>897</v>
      </c>
      <c r="F1750" s="32">
        <v>43402</v>
      </c>
      <c r="G1750" s="32">
        <v>43553</v>
      </c>
      <c r="H1750" s="33">
        <v>0.4826388888888889</v>
      </c>
      <c r="I1750" s="31" t="s">
        <v>14</v>
      </c>
      <c r="J1750" s="31" t="s">
        <v>930</v>
      </c>
      <c r="K1750" s="31" t="s">
        <v>25</v>
      </c>
      <c r="L1750" s="4"/>
      <c r="M1750" s="4" t="s">
        <v>293</v>
      </c>
    </row>
    <row r="1751" spans="1:13" x14ac:dyDescent="0.25">
      <c r="A1751" s="31" t="s">
        <v>1436</v>
      </c>
      <c r="B1751" s="31" t="s">
        <v>0</v>
      </c>
      <c r="C1751" s="31" t="s">
        <v>222</v>
      </c>
      <c r="D1751" s="31" t="s">
        <v>223</v>
      </c>
      <c r="E1751" s="31" t="s">
        <v>19</v>
      </c>
      <c r="F1751" s="32">
        <v>43466</v>
      </c>
      <c r="G1751" s="32">
        <v>43550</v>
      </c>
      <c r="H1751" s="33">
        <v>0.4826388888888889</v>
      </c>
      <c r="I1751" s="31" t="s">
        <v>14</v>
      </c>
      <c r="J1751" s="31" t="s">
        <v>930</v>
      </c>
      <c r="K1751" s="31" t="s">
        <v>25</v>
      </c>
      <c r="L1751" s="4"/>
      <c r="M1751" s="4" t="s">
        <v>293</v>
      </c>
    </row>
    <row r="1752" spans="1:13" x14ac:dyDescent="0.25">
      <c r="A1752" s="31" t="s">
        <v>1436</v>
      </c>
      <c r="B1752" s="31" t="s">
        <v>0</v>
      </c>
      <c r="C1752" s="31" t="s">
        <v>222</v>
      </c>
      <c r="D1752" s="31" t="s">
        <v>223</v>
      </c>
      <c r="E1752" s="31" t="s">
        <v>18</v>
      </c>
      <c r="F1752" s="32">
        <v>43401</v>
      </c>
      <c r="G1752" s="32">
        <v>43548</v>
      </c>
      <c r="H1752" s="33">
        <v>0.5</v>
      </c>
      <c r="I1752" s="31" t="s">
        <v>14</v>
      </c>
      <c r="J1752" s="31" t="s">
        <v>930</v>
      </c>
      <c r="K1752" s="31" t="s">
        <v>25</v>
      </c>
      <c r="L1752" s="4"/>
      <c r="M1752" s="4" t="s">
        <v>293</v>
      </c>
    </row>
    <row r="1753" spans="1:13" x14ac:dyDescent="0.25">
      <c r="A1753" s="31" t="s">
        <v>1436</v>
      </c>
      <c r="B1753" s="31" t="s">
        <v>0</v>
      </c>
      <c r="C1753" s="31" t="s">
        <v>222</v>
      </c>
      <c r="D1753" s="31" t="s">
        <v>223</v>
      </c>
      <c r="E1753" s="31" t="s">
        <v>1630</v>
      </c>
      <c r="F1753" s="32">
        <v>43401</v>
      </c>
      <c r="G1753" s="32">
        <v>43554</v>
      </c>
      <c r="H1753" s="33">
        <v>0.57986111111111105</v>
      </c>
      <c r="I1753" s="31">
        <v>320</v>
      </c>
      <c r="J1753" s="31" t="s">
        <v>934</v>
      </c>
      <c r="K1753" s="31" t="s">
        <v>25</v>
      </c>
      <c r="L1753" s="4"/>
      <c r="M1753" s="4" t="s">
        <v>293</v>
      </c>
    </row>
    <row r="1754" spans="1:13" x14ac:dyDescent="0.25">
      <c r="A1754" s="31" t="s">
        <v>1436</v>
      </c>
      <c r="B1754" s="31" t="s">
        <v>0</v>
      </c>
      <c r="C1754" s="31" t="s">
        <v>222</v>
      </c>
      <c r="D1754" s="31" t="s">
        <v>223</v>
      </c>
      <c r="E1754" s="31" t="s">
        <v>20</v>
      </c>
      <c r="F1754" s="32">
        <v>43495</v>
      </c>
      <c r="G1754" s="32">
        <v>43551</v>
      </c>
      <c r="H1754" s="33">
        <v>0.57986111111111105</v>
      </c>
      <c r="I1754" s="31">
        <v>320</v>
      </c>
      <c r="J1754" s="31" t="s">
        <v>934</v>
      </c>
      <c r="K1754" s="31" t="s">
        <v>25</v>
      </c>
      <c r="L1754" s="4"/>
      <c r="M1754" s="4" t="s">
        <v>293</v>
      </c>
    </row>
    <row r="1755" spans="1:13" x14ac:dyDescent="0.25">
      <c r="A1755" s="31" t="s">
        <v>1436</v>
      </c>
      <c r="B1755" s="31" t="s">
        <v>0</v>
      </c>
      <c r="C1755" s="31" t="s">
        <v>222</v>
      </c>
      <c r="D1755" s="31" t="s">
        <v>223</v>
      </c>
      <c r="E1755" s="31" t="s">
        <v>109</v>
      </c>
      <c r="F1755" s="32">
        <v>43403</v>
      </c>
      <c r="G1755" s="32">
        <v>43552</v>
      </c>
      <c r="H1755" s="33">
        <v>0.61111111111111105</v>
      </c>
      <c r="I1755" s="31" t="s">
        <v>14</v>
      </c>
      <c r="J1755" s="31" t="s">
        <v>935</v>
      </c>
      <c r="K1755" s="31" t="s">
        <v>25</v>
      </c>
      <c r="L1755" s="4"/>
      <c r="M1755" s="4" t="s">
        <v>293</v>
      </c>
    </row>
    <row r="1756" spans="1:13" x14ac:dyDescent="0.25">
      <c r="A1756" s="31" t="s">
        <v>1436</v>
      </c>
      <c r="B1756" s="31" t="s">
        <v>0</v>
      </c>
      <c r="C1756" s="31" t="s">
        <v>222</v>
      </c>
      <c r="D1756" s="31" t="s">
        <v>223</v>
      </c>
      <c r="E1756" s="31" t="s">
        <v>419</v>
      </c>
      <c r="F1756" s="32">
        <v>43462</v>
      </c>
      <c r="G1756" s="32">
        <v>43554</v>
      </c>
      <c r="H1756" s="33">
        <v>0.61111111111111105</v>
      </c>
      <c r="I1756" s="31" t="s">
        <v>14</v>
      </c>
      <c r="J1756" s="31" t="s">
        <v>935</v>
      </c>
      <c r="K1756" s="31" t="s">
        <v>25</v>
      </c>
      <c r="L1756" s="4"/>
      <c r="M1756" s="4" t="s">
        <v>293</v>
      </c>
    </row>
    <row r="1757" spans="1:13" x14ac:dyDescent="0.25">
      <c r="A1757" s="31" t="s">
        <v>1436</v>
      </c>
      <c r="B1757" s="31" t="s">
        <v>0</v>
      </c>
      <c r="C1757" s="31" t="s">
        <v>222</v>
      </c>
      <c r="D1757" s="31" t="s">
        <v>223</v>
      </c>
      <c r="E1757" s="31" t="s">
        <v>298</v>
      </c>
      <c r="F1757" s="32">
        <v>43474</v>
      </c>
      <c r="G1757" s="32">
        <v>43551</v>
      </c>
      <c r="H1757" s="33">
        <v>0.61111111111111105</v>
      </c>
      <c r="I1757" s="31" t="s">
        <v>14</v>
      </c>
      <c r="J1757" s="31" t="s">
        <v>935</v>
      </c>
      <c r="K1757" s="31" t="s">
        <v>25</v>
      </c>
      <c r="L1757" s="4"/>
      <c r="M1757" s="4" t="s">
        <v>293</v>
      </c>
    </row>
    <row r="1758" spans="1:13" x14ac:dyDescent="0.25">
      <c r="A1758" s="31" t="s">
        <v>1436</v>
      </c>
      <c r="B1758" s="31" t="s">
        <v>0</v>
      </c>
      <c r="C1758" s="31" t="s">
        <v>222</v>
      </c>
      <c r="D1758" s="31" t="s">
        <v>223</v>
      </c>
      <c r="E1758" s="31" t="s">
        <v>143</v>
      </c>
      <c r="F1758" s="32">
        <v>43401</v>
      </c>
      <c r="G1758" s="32">
        <v>43553</v>
      </c>
      <c r="H1758" s="33">
        <v>0.67708333333333337</v>
      </c>
      <c r="I1758" s="31">
        <v>320</v>
      </c>
      <c r="J1758" s="31" t="s">
        <v>936</v>
      </c>
      <c r="K1758" s="31" t="s">
        <v>25</v>
      </c>
      <c r="L1758" s="4"/>
      <c r="M1758" s="4" t="s">
        <v>293</v>
      </c>
    </row>
    <row r="1759" spans="1:13" x14ac:dyDescent="0.25">
      <c r="A1759" s="31" t="s">
        <v>1436</v>
      </c>
      <c r="B1759" s="31" t="s">
        <v>0</v>
      </c>
      <c r="C1759" s="31" t="s">
        <v>222</v>
      </c>
      <c r="D1759" s="31" t="s">
        <v>223</v>
      </c>
      <c r="E1759" s="31" t="s">
        <v>59</v>
      </c>
      <c r="F1759" s="32">
        <v>43402</v>
      </c>
      <c r="G1759" s="32">
        <v>43507</v>
      </c>
      <c r="H1759" s="33">
        <v>0.67708333333333337</v>
      </c>
      <c r="I1759" s="31">
        <v>320</v>
      </c>
      <c r="J1759" s="31" t="s">
        <v>936</v>
      </c>
      <c r="K1759" s="31" t="s">
        <v>25</v>
      </c>
      <c r="L1759" s="4"/>
      <c r="M1759" s="4" t="s">
        <v>293</v>
      </c>
    </row>
    <row r="1760" spans="1:13" x14ac:dyDescent="0.25">
      <c r="A1760" s="31" t="s">
        <v>1436</v>
      </c>
      <c r="B1760" s="31" t="s">
        <v>0</v>
      </c>
      <c r="C1760" s="31" t="s">
        <v>222</v>
      </c>
      <c r="D1760" s="31" t="s">
        <v>223</v>
      </c>
      <c r="E1760" s="31" t="s">
        <v>20</v>
      </c>
      <c r="F1760" s="32">
        <v>43509</v>
      </c>
      <c r="G1760" s="32">
        <v>43530</v>
      </c>
      <c r="H1760" s="33">
        <v>0.67708333333333337</v>
      </c>
      <c r="I1760" s="31">
        <v>320</v>
      </c>
      <c r="J1760" s="31" t="s">
        <v>936</v>
      </c>
      <c r="K1760" s="31" t="s">
        <v>25</v>
      </c>
      <c r="L1760" s="4"/>
      <c r="M1760" s="4" t="s">
        <v>293</v>
      </c>
    </row>
    <row r="1761" spans="1:13" x14ac:dyDescent="0.25">
      <c r="A1761" s="31" t="s">
        <v>1436</v>
      </c>
      <c r="B1761" s="31" t="s">
        <v>0</v>
      </c>
      <c r="C1761" s="31" t="s">
        <v>222</v>
      </c>
      <c r="D1761" s="31" t="s">
        <v>223</v>
      </c>
      <c r="E1761" s="31" t="s">
        <v>13</v>
      </c>
      <c r="F1761" s="32">
        <v>43475</v>
      </c>
      <c r="G1761" s="32">
        <v>43552</v>
      </c>
      <c r="H1761" s="33">
        <v>0.68402777777777779</v>
      </c>
      <c r="I1761" s="31">
        <v>320</v>
      </c>
      <c r="J1761" s="31" t="s">
        <v>936</v>
      </c>
      <c r="K1761" s="31" t="s">
        <v>25</v>
      </c>
      <c r="L1761" s="4"/>
      <c r="M1761" s="4" t="s">
        <v>293</v>
      </c>
    </row>
    <row r="1762" spans="1:13" x14ac:dyDescent="0.25">
      <c r="A1762" s="31" t="s">
        <v>1436</v>
      </c>
      <c r="B1762" s="31" t="s">
        <v>0</v>
      </c>
      <c r="C1762" s="31" t="s">
        <v>222</v>
      </c>
      <c r="D1762" s="31" t="s">
        <v>223</v>
      </c>
      <c r="E1762" s="31" t="s">
        <v>72</v>
      </c>
      <c r="F1762" s="32">
        <v>43498</v>
      </c>
      <c r="G1762" s="32">
        <v>43554</v>
      </c>
      <c r="H1762" s="33">
        <v>0.68402777777777779</v>
      </c>
      <c r="I1762" s="31">
        <v>320</v>
      </c>
      <c r="J1762" s="31" t="s">
        <v>936</v>
      </c>
      <c r="K1762" s="31" t="s">
        <v>25</v>
      </c>
      <c r="L1762" s="4"/>
      <c r="M1762" s="4" t="s">
        <v>293</v>
      </c>
    </row>
    <row r="1763" spans="1:13" x14ac:dyDescent="0.25">
      <c r="A1763" s="31" t="s">
        <v>1436</v>
      </c>
      <c r="B1763" s="31" t="s">
        <v>0</v>
      </c>
      <c r="C1763" s="31" t="s">
        <v>222</v>
      </c>
      <c r="D1763" s="31" t="s">
        <v>223</v>
      </c>
      <c r="E1763" s="31" t="s">
        <v>48</v>
      </c>
      <c r="F1763" s="32">
        <v>43469</v>
      </c>
      <c r="G1763" s="32">
        <v>43553</v>
      </c>
      <c r="H1763" s="33">
        <v>0.72916666666666663</v>
      </c>
      <c r="I1763" s="31">
        <v>320</v>
      </c>
      <c r="J1763" s="31" t="s">
        <v>1637</v>
      </c>
      <c r="K1763" s="31" t="s">
        <v>25</v>
      </c>
      <c r="L1763" s="4"/>
      <c r="M1763" s="4" t="s">
        <v>293</v>
      </c>
    </row>
    <row r="1764" spans="1:13" x14ac:dyDescent="0.25">
      <c r="A1764" s="31" t="s">
        <v>1436</v>
      </c>
      <c r="B1764" s="31" t="s">
        <v>0</v>
      </c>
      <c r="C1764" s="31" t="s">
        <v>222</v>
      </c>
      <c r="D1764" s="31" t="s">
        <v>223</v>
      </c>
      <c r="E1764" s="31" t="s">
        <v>583</v>
      </c>
      <c r="F1764" s="32">
        <v>43401</v>
      </c>
      <c r="G1764" s="32">
        <v>43553</v>
      </c>
      <c r="H1764" s="33">
        <v>0.74652777777777779</v>
      </c>
      <c r="I1764" s="31">
        <v>332</v>
      </c>
      <c r="J1764" s="31" t="s">
        <v>937</v>
      </c>
      <c r="K1764" s="31" t="s">
        <v>25</v>
      </c>
      <c r="L1764" s="4"/>
      <c r="M1764" s="4" t="s">
        <v>293</v>
      </c>
    </row>
    <row r="1765" spans="1:13" x14ac:dyDescent="0.25">
      <c r="A1765" s="31" t="s">
        <v>1436</v>
      </c>
      <c r="B1765" s="31" t="s">
        <v>0</v>
      </c>
      <c r="C1765" s="31" t="s">
        <v>222</v>
      </c>
      <c r="D1765" s="31" t="s">
        <v>223</v>
      </c>
      <c r="E1765" s="31" t="s">
        <v>59</v>
      </c>
      <c r="F1765" s="32">
        <v>43465</v>
      </c>
      <c r="G1765" s="32">
        <v>43549</v>
      </c>
      <c r="H1765" s="33">
        <v>0.74652777777777779</v>
      </c>
      <c r="I1765" s="31">
        <v>332</v>
      </c>
      <c r="J1765" s="31" t="s">
        <v>937</v>
      </c>
      <c r="K1765" s="31" t="s">
        <v>25</v>
      </c>
      <c r="L1765" s="4"/>
      <c r="M1765" s="4" t="s">
        <v>293</v>
      </c>
    </row>
    <row r="1766" spans="1:13" x14ac:dyDescent="0.25">
      <c r="A1766" s="31" t="s">
        <v>1436</v>
      </c>
      <c r="B1766" s="31" t="s">
        <v>0</v>
      </c>
      <c r="C1766" s="31" t="s">
        <v>222</v>
      </c>
      <c r="D1766" s="31" t="s">
        <v>223</v>
      </c>
      <c r="E1766" s="31" t="s">
        <v>13</v>
      </c>
      <c r="F1766" s="32">
        <v>43475</v>
      </c>
      <c r="G1766" s="32">
        <v>43552</v>
      </c>
      <c r="H1766" s="33">
        <v>0.74652777777777779</v>
      </c>
      <c r="I1766" s="31">
        <v>332</v>
      </c>
      <c r="J1766" s="31" t="s">
        <v>937</v>
      </c>
      <c r="K1766" s="31" t="s">
        <v>25</v>
      </c>
      <c r="L1766" s="4"/>
      <c r="M1766" s="4" t="s">
        <v>293</v>
      </c>
    </row>
    <row r="1767" spans="1:13" x14ac:dyDescent="0.25">
      <c r="A1767" s="31" t="s">
        <v>1436</v>
      </c>
      <c r="B1767" s="31" t="s">
        <v>0</v>
      </c>
      <c r="C1767" s="31" t="s">
        <v>222</v>
      </c>
      <c r="D1767" s="31" t="s">
        <v>223</v>
      </c>
      <c r="E1767" s="31" t="s">
        <v>72</v>
      </c>
      <c r="F1767" s="32">
        <v>43480</v>
      </c>
      <c r="G1767" s="32">
        <v>43554</v>
      </c>
      <c r="H1767" s="33">
        <v>0.74652777777777779</v>
      </c>
      <c r="I1767" s="31">
        <v>332</v>
      </c>
      <c r="J1767" s="31" t="s">
        <v>937</v>
      </c>
      <c r="K1767" s="31" t="s">
        <v>25</v>
      </c>
      <c r="L1767" s="4"/>
      <c r="M1767" s="4" t="s">
        <v>293</v>
      </c>
    </row>
    <row r="1768" spans="1:13" x14ac:dyDescent="0.25">
      <c r="A1768" s="31" t="s">
        <v>1436</v>
      </c>
      <c r="B1768" s="31" t="s">
        <v>0</v>
      </c>
      <c r="C1768" s="31" t="s">
        <v>222</v>
      </c>
      <c r="D1768" s="31" t="s">
        <v>223</v>
      </c>
      <c r="E1768" s="31" t="s">
        <v>18</v>
      </c>
      <c r="F1768" s="32">
        <v>43499</v>
      </c>
      <c r="G1768" s="32">
        <v>43548</v>
      </c>
      <c r="H1768" s="33">
        <v>0.78472222222222221</v>
      </c>
      <c r="I1768" s="31">
        <v>321</v>
      </c>
      <c r="J1768" s="31" t="s">
        <v>938</v>
      </c>
      <c r="K1768" s="31" t="s">
        <v>25</v>
      </c>
      <c r="L1768" s="4"/>
      <c r="M1768" s="4" t="s">
        <v>293</v>
      </c>
    </row>
    <row r="1769" spans="1:13" x14ac:dyDescent="0.25">
      <c r="A1769" s="31" t="s">
        <v>1436</v>
      </c>
      <c r="B1769" s="31" t="s">
        <v>0</v>
      </c>
      <c r="C1769" s="31" t="s">
        <v>222</v>
      </c>
      <c r="D1769" s="31" t="s">
        <v>223</v>
      </c>
      <c r="E1769" s="31" t="s">
        <v>805</v>
      </c>
      <c r="F1769" s="32">
        <v>43404</v>
      </c>
      <c r="G1769" s="32">
        <v>43553</v>
      </c>
      <c r="H1769" s="33">
        <v>0.78819444444444453</v>
      </c>
      <c r="I1769" s="31">
        <v>320</v>
      </c>
      <c r="J1769" s="31" t="s">
        <v>938</v>
      </c>
      <c r="K1769" s="31" t="s">
        <v>25</v>
      </c>
      <c r="L1769" s="4"/>
      <c r="M1769" s="4" t="s">
        <v>293</v>
      </c>
    </row>
    <row r="1770" spans="1:13" x14ac:dyDescent="0.25">
      <c r="A1770" s="31" t="s">
        <v>1436</v>
      </c>
      <c r="B1770" s="31" t="s">
        <v>0</v>
      </c>
      <c r="C1770" s="31" t="s">
        <v>222</v>
      </c>
      <c r="D1770" s="31" t="s">
        <v>223</v>
      </c>
      <c r="E1770" s="31" t="s">
        <v>48</v>
      </c>
      <c r="F1770" s="32">
        <v>43406</v>
      </c>
      <c r="G1770" s="32">
        <v>43553</v>
      </c>
      <c r="H1770" s="33">
        <v>0.78819444444444453</v>
      </c>
      <c r="I1770" s="31" t="s">
        <v>14</v>
      </c>
      <c r="J1770" s="31" t="s">
        <v>1638</v>
      </c>
      <c r="K1770" s="31" t="s">
        <v>25</v>
      </c>
      <c r="L1770" s="4"/>
      <c r="M1770" s="4" t="s">
        <v>293</v>
      </c>
    </row>
    <row r="1771" spans="1:13" x14ac:dyDescent="0.25">
      <c r="A1771" s="31" t="s">
        <v>1436</v>
      </c>
      <c r="B1771" s="31" t="s">
        <v>0</v>
      </c>
      <c r="C1771" s="31" t="s">
        <v>222</v>
      </c>
      <c r="D1771" s="31" t="s">
        <v>223</v>
      </c>
      <c r="E1771" s="31" t="s">
        <v>19</v>
      </c>
      <c r="F1771" s="32">
        <v>43452</v>
      </c>
      <c r="G1771" s="32">
        <v>43522</v>
      </c>
      <c r="H1771" s="33">
        <v>0.78819444444444453</v>
      </c>
      <c r="I1771" s="31">
        <v>320</v>
      </c>
      <c r="J1771" s="31" t="s">
        <v>938</v>
      </c>
      <c r="K1771" s="31" t="s">
        <v>25</v>
      </c>
      <c r="L1771" s="4"/>
      <c r="M1771" s="4" t="s">
        <v>293</v>
      </c>
    </row>
    <row r="1772" spans="1:13" x14ac:dyDescent="0.25">
      <c r="A1772" s="31" t="s">
        <v>1436</v>
      </c>
      <c r="B1772" s="31" t="s">
        <v>0</v>
      </c>
      <c r="C1772" s="31" t="s">
        <v>222</v>
      </c>
      <c r="D1772" s="31" t="s">
        <v>223</v>
      </c>
      <c r="E1772" s="31" t="s">
        <v>59</v>
      </c>
      <c r="F1772" s="32">
        <v>43472</v>
      </c>
      <c r="G1772" s="32">
        <v>43549</v>
      </c>
      <c r="H1772" s="33">
        <v>0.78819444444444453</v>
      </c>
      <c r="I1772" s="31" t="s">
        <v>14</v>
      </c>
      <c r="J1772" s="31" t="s">
        <v>1638</v>
      </c>
      <c r="K1772" s="31" t="s">
        <v>25</v>
      </c>
      <c r="L1772" s="4"/>
      <c r="M1772" s="4" t="s">
        <v>293</v>
      </c>
    </row>
    <row r="1773" spans="1:13" x14ac:dyDescent="0.25">
      <c r="A1773" s="31" t="s">
        <v>1436</v>
      </c>
      <c r="B1773" s="31" t="s">
        <v>0</v>
      </c>
      <c r="C1773" s="31" t="s">
        <v>222</v>
      </c>
      <c r="D1773" s="31" t="s">
        <v>223</v>
      </c>
      <c r="E1773" s="31" t="s">
        <v>22</v>
      </c>
      <c r="F1773" s="32">
        <v>43407</v>
      </c>
      <c r="G1773" s="32">
        <v>43554</v>
      </c>
      <c r="H1773" s="33">
        <v>0.79166666666666663</v>
      </c>
      <c r="I1773" s="31">
        <v>321</v>
      </c>
      <c r="J1773" s="31" t="s">
        <v>938</v>
      </c>
      <c r="K1773" s="31" t="s">
        <v>25</v>
      </c>
      <c r="L1773" s="4"/>
      <c r="M1773" s="4" t="s">
        <v>293</v>
      </c>
    </row>
    <row r="1774" spans="1:13" x14ac:dyDescent="0.25">
      <c r="A1774" s="31" t="s">
        <v>1436</v>
      </c>
      <c r="B1774" s="31" t="s">
        <v>0</v>
      </c>
      <c r="C1774" s="31" t="s">
        <v>222</v>
      </c>
      <c r="D1774" s="31" t="s">
        <v>223</v>
      </c>
      <c r="E1774" s="31" t="s">
        <v>59</v>
      </c>
      <c r="F1774" s="32">
        <v>43416</v>
      </c>
      <c r="G1774" s="32">
        <v>43549</v>
      </c>
      <c r="H1774" s="33">
        <v>0.79513888888888884</v>
      </c>
      <c r="I1774" s="31">
        <v>321</v>
      </c>
      <c r="J1774" s="31" t="s">
        <v>938</v>
      </c>
      <c r="K1774" s="31" t="s">
        <v>25</v>
      </c>
      <c r="L1774" s="4"/>
      <c r="M1774" s="4" t="s">
        <v>293</v>
      </c>
    </row>
    <row r="1775" spans="1:13" x14ac:dyDescent="0.25">
      <c r="A1775" s="31" t="s">
        <v>1436</v>
      </c>
      <c r="B1775" s="31" t="s">
        <v>0</v>
      </c>
      <c r="C1775" s="31" t="s">
        <v>222</v>
      </c>
      <c r="D1775" s="31" t="s">
        <v>223</v>
      </c>
      <c r="E1775" s="31" t="s">
        <v>22</v>
      </c>
      <c r="F1775" s="32">
        <v>43407</v>
      </c>
      <c r="G1775" s="32">
        <v>43554</v>
      </c>
      <c r="H1775" s="33">
        <v>0.84722222222222221</v>
      </c>
      <c r="I1775" s="31" t="s">
        <v>14</v>
      </c>
      <c r="J1775" s="31" t="s">
        <v>1639</v>
      </c>
      <c r="K1775" s="31" t="s">
        <v>25</v>
      </c>
      <c r="L1775" s="4"/>
      <c r="M1775" s="4" t="s">
        <v>293</v>
      </c>
    </row>
    <row r="1776" spans="1:13" x14ac:dyDescent="0.25">
      <c r="A1776" s="31" t="s">
        <v>1436</v>
      </c>
      <c r="B1776" s="31" t="s">
        <v>0</v>
      </c>
      <c r="C1776" s="31" t="s">
        <v>222</v>
      </c>
      <c r="D1776" s="31" t="s">
        <v>223</v>
      </c>
      <c r="E1776" s="31" t="s">
        <v>13</v>
      </c>
      <c r="F1776" s="32">
        <v>43461</v>
      </c>
      <c r="G1776" s="32">
        <v>43552</v>
      </c>
      <c r="H1776" s="33">
        <v>0.84722222222222221</v>
      </c>
      <c r="I1776" s="31" t="s">
        <v>14</v>
      </c>
      <c r="J1776" s="31" t="s">
        <v>1639</v>
      </c>
      <c r="K1776" s="31" t="s">
        <v>25</v>
      </c>
      <c r="L1776" s="4"/>
      <c r="M1776" s="4" t="s">
        <v>293</v>
      </c>
    </row>
    <row r="1777" spans="1:13" x14ac:dyDescent="0.25">
      <c r="A1777" s="31" t="s">
        <v>1436</v>
      </c>
      <c r="B1777" s="31" t="s">
        <v>0</v>
      </c>
      <c r="C1777" s="31" t="s">
        <v>222</v>
      </c>
      <c r="D1777" s="31" t="s">
        <v>223</v>
      </c>
      <c r="E1777" s="31" t="s">
        <v>18</v>
      </c>
      <c r="F1777" s="32">
        <v>43401</v>
      </c>
      <c r="G1777" s="32">
        <v>43548</v>
      </c>
      <c r="H1777" s="33">
        <v>0.87152777777777779</v>
      </c>
      <c r="I1777" s="31" t="s">
        <v>14</v>
      </c>
      <c r="J1777" s="31" t="s">
        <v>1639</v>
      </c>
      <c r="K1777" s="31" t="s">
        <v>25</v>
      </c>
      <c r="L1777" s="4"/>
      <c r="M1777" s="4" t="s">
        <v>293</v>
      </c>
    </row>
    <row r="1778" spans="1:13" x14ac:dyDescent="0.25">
      <c r="A1778" s="31" t="s">
        <v>1436</v>
      </c>
      <c r="B1778" s="31" t="s">
        <v>0</v>
      </c>
      <c r="C1778" s="31" t="s">
        <v>230</v>
      </c>
      <c r="D1778" s="31" t="s">
        <v>231</v>
      </c>
      <c r="E1778" s="31" t="s">
        <v>22</v>
      </c>
      <c r="F1778" s="32">
        <v>43512</v>
      </c>
      <c r="G1778" s="32">
        <v>43554</v>
      </c>
      <c r="H1778" s="33">
        <v>0.43055555555555558</v>
      </c>
      <c r="I1778" s="31">
        <v>320</v>
      </c>
      <c r="J1778" s="31" t="s">
        <v>1640</v>
      </c>
      <c r="K1778" s="31" t="s">
        <v>25</v>
      </c>
      <c r="L1778" s="4"/>
      <c r="M1778" s="4" t="s">
        <v>293</v>
      </c>
    </row>
    <row r="1779" spans="1:13" x14ac:dyDescent="0.25">
      <c r="A1779" s="31" t="s">
        <v>1436</v>
      </c>
      <c r="B1779" s="31" t="s">
        <v>0</v>
      </c>
      <c r="C1779" s="31" t="s">
        <v>230</v>
      </c>
      <c r="D1779" s="31" t="s">
        <v>231</v>
      </c>
      <c r="E1779" s="31" t="s">
        <v>1277</v>
      </c>
      <c r="F1779" s="32">
        <v>43401</v>
      </c>
      <c r="G1779" s="32">
        <v>43552</v>
      </c>
      <c r="H1779" s="33">
        <v>0.63888888888888895</v>
      </c>
      <c r="I1779" s="31">
        <v>320</v>
      </c>
      <c r="J1779" s="31" t="s">
        <v>939</v>
      </c>
      <c r="K1779" s="31" t="s">
        <v>25</v>
      </c>
      <c r="L1779" s="4"/>
      <c r="M1779" s="4" t="s">
        <v>293</v>
      </c>
    </row>
    <row r="1780" spans="1:13" x14ac:dyDescent="0.25">
      <c r="A1780" s="31" t="s">
        <v>1436</v>
      </c>
      <c r="B1780" s="31" t="s">
        <v>0</v>
      </c>
      <c r="C1780" s="31" t="s">
        <v>230</v>
      </c>
      <c r="D1780" s="31" t="s">
        <v>231</v>
      </c>
      <c r="E1780" s="31" t="s">
        <v>59</v>
      </c>
      <c r="F1780" s="32">
        <v>43472</v>
      </c>
      <c r="G1780" s="32">
        <v>43549</v>
      </c>
      <c r="H1780" s="33">
        <v>0.63888888888888895</v>
      </c>
      <c r="I1780" s="31">
        <v>320</v>
      </c>
      <c r="J1780" s="31" t="s">
        <v>939</v>
      </c>
      <c r="K1780" s="31" t="s">
        <v>25</v>
      </c>
      <c r="L1780" s="4"/>
      <c r="M1780" s="4" t="s">
        <v>293</v>
      </c>
    </row>
    <row r="1781" spans="1:13" x14ac:dyDescent="0.25">
      <c r="A1781" s="31" t="s">
        <v>1436</v>
      </c>
      <c r="B1781" s="31" t="s">
        <v>0</v>
      </c>
      <c r="C1781" s="31" t="s">
        <v>230</v>
      </c>
      <c r="D1781" s="31" t="s">
        <v>231</v>
      </c>
      <c r="E1781" s="31" t="s">
        <v>59</v>
      </c>
      <c r="F1781" s="32">
        <v>43472</v>
      </c>
      <c r="G1781" s="32">
        <v>43535</v>
      </c>
      <c r="H1781" s="33">
        <v>0.82291666666666663</v>
      </c>
      <c r="I1781" s="31" t="s">
        <v>14</v>
      </c>
      <c r="J1781" s="31" t="s">
        <v>940</v>
      </c>
      <c r="K1781" s="31" t="s">
        <v>25</v>
      </c>
      <c r="L1781" s="4"/>
      <c r="M1781" s="4" t="s">
        <v>293</v>
      </c>
    </row>
    <row r="1782" spans="1:13" x14ac:dyDescent="0.25">
      <c r="A1782" s="31" t="s">
        <v>1436</v>
      </c>
      <c r="B1782" s="31" t="s">
        <v>0</v>
      </c>
      <c r="C1782" s="31" t="s">
        <v>230</v>
      </c>
      <c r="D1782" s="31" t="s">
        <v>231</v>
      </c>
      <c r="E1782" s="31" t="s">
        <v>48</v>
      </c>
      <c r="F1782" s="32">
        <v>43406</v>
      </c>
      <c r="G1782" s="32">
        <v>43553</v>
      </c>
      <c r="H1782" s="33">
        <v>0.88194444444444453</v>
      </c>
      <c r="I1782" s="31" t="s">
        <v>14</v>
      </c>
      <c r="J1782" s="31" t="s">
        <v>940</v>
      </c>
      <c r="K1782" s="31" t="s">
        <v>25</v>
      </c>
      <c r="L1782" s="4"/>
      <c r="M1782" s="4" t="s">
        <v>293</v>
      </c>
    </row>
    <row r="1783" spans="1:13" x14ac:dyDescent="0.25">
      <c r="A1783" s="31" t="s">
        <v>1436</v>
      </c>
      <c r="B1783" s="31" t="s">
        <v>0</v>
      </c>
      <c r="C1783" s="31" t="s">
        <v>709</v>
      </c>
      <c r="D1783" s="31" t="s">
        <v>710</v>
      </c>
      <c r="E1783" s="31" t="s">
        <v>158</v>
      </c>
      <c r="F1783" s="32">
        <v>43404</v>
      </c>
      <c r="G1783" s="32">
        <v>43554</v>
      </c>
      <c r="H1783" s="33">
        <v>0.51388888888888895</v>
      </c>
      <c r="I1783" s="31" t="s">
        <v>141</v>
      </c>
      <c r="J1783" s="31" t="s">
        <v>941</v>
      </c>
      <c r="K1783" s="31" t="s">
        <v>25</v>
      </c>
      <c r="L1783" s="4"/>
      <c r="M1783" s="4" t="s">
        <v>293</v>
      </c>
    </row>
    <row r="1784" spans="1:13" x14ac:dyDescent="0.25">
      <c r="A1784" s="31" t="s">
        <v>1436</v>
      </c>
      <c r="B1784" s="31" t="s">
        <v>0</v>
      </c>
      <c r="C1784" s="31" t="s">
        <v>271</v>
      </c>
      <c r="D1784" s="31" t="s">
        <v>272</v>
      </c>
      <c r="E1784" s="31" t="s">
        <v>18</v>
      </c>
      <c r="F1784" s="32">
        <v>43464</v>
      </c>
      <c r="G1784" s="32">
        <v>43548</v>
      </c>
      <c r="H1784" s="33">
        <v>0.59375</v>
      </c>
      <c r="I1784" s="31">
        <v>320</v>
      </c>
      <c r="J1784" s="31" t="s">
        <v>1641</v>
      </c>
      <c r="K1784" s="31" t="s">
        <v>66</v>
      </c>
      <c r="L1784" s="4"/>
      <c r="M1784" s="4" t="s">
        <v>293</v>
      </c>
    </row>
    <row r="1785" spans="1:13" x14ac:dyDescent="0.25">
      <c r="A1785" s="31" t="s">
        <v>1436</v>
      </c>
      <c r="B1785" s="31" t="s">
        <v>0</v>
      </c>
      <c r="C1785" s="31" t="s">
        <v>278</v>
      </c>
      <c r="D1785" s="31" t="s">
        <v>279</v>
      </c>
      <c r="E1785" s="31" t="s">
        <v>19</v>
      </c>
      <c r="F1785" s="32">
        <v>43410</v>
      </c>
      <c r="G1785" s="32">
        <v>43550</v>
      </c>
      <c r="H1785" s="33">
        <v>0.33680555555555558</v>
      </c>
      <c r="I1785" s="31" t="s">
        <v>14</v>
      </c>
      <c r="J1785" s="31" t="s">
        <v>1100</v>
      </c>
      <c r="K1785" s="31" t="s">
        <v>25</v>
      </c>
      <c r="L1785" s="4"/>
      <c r="M1785" s="4" t="s">
        <v>293</v>
      </c>
    </row>
    <row r="1786" spans="1:13" x14ac:dyDescent="0.25">
      <c r="A1786" s="31" t="s">
        <v>1436</v>
      </c>
      <c r="B1786" s="31" t="s">
        <v>0</v>
      </c>
      <c r="C1786" s="31" t="s">
        <v>278</v>
      </c>
      <c r="D1786" s="31" t="s">
        <v>279</v>
      </c>
      <c r="E1786" s="31" t="s">
        <v>18</v>
      </c>
      <c r="F1786" s="32">
        <v>43401</v>
      </c>
      <c r="G1786" s="32">
        <v>43548</v>
      </c>
      <c r="H1786" s="33">
        <v>0.38541666666666669</v>
      </c>
      <c r="I1786" s="31">
        <v>320</v>
      </c>
      <c r="J1786" s="31" t="s">
        <v>943</v>
      </c>
      <c r="K1786" s="31" t="s">
        <v>25</v>
      </c>
      <c r="L1786" s="4"/>
      <c r="M1786" s="4" t="s">
        <v>293</v>
      </c>
    </row>
    <row r="1787" spans="1:13" x14ac:dyDescent="0.25">
      <c r="A1787" s="31" t="s">
        <v>1436</v>
      </c>
      <c r="B1787" s="31" t="s">
        <v>0</v>
      </c>
      <c r="C1787" s="31" t="s">
        <v>278</v>
      </c>
      <c r="D1787" s="31" t="s">
        <v>279</v>
      </c>
      <c r="E1787" s="31" t="s">
        <v>20</v>
      </c>
      <c r="F1787" s="32">
        <v>43446</v>
      </c>
      <c r="G1787" s="32">
        <v>43551</v>
      </c>
      <c r="H1787" s="33">
        <v>0.38541666666666669</v>
      </c>
      <c r="I1787" s="31">
        <v>320</v>
      </c>
      <c r="J1787" s="31" t="s">
        <v>943</v>
      </c>
      <c r="K1787" s="31" t="s">
        <v>25</v>
      </c>
      <c r="L1787" s="4"/>
      <c r="M1787" s="4" t="s">
        <v>293</v>
      </c>
    </row>
    <row r="1788" spans="1:13" x14ac:dyDescent="0.25">
      <c r="A1788" s="31" t="s">
        <v>1436</v>
      </c>
      <c r="B1788" s="31" t="s">
        <v>0</v>
      </c>
      <c r="C1788" s="31" t="s">
        <v>278</v>
      </c>
      <c r="D1788" s="31" t="s">
        <v>279</v>
      </c>
      <c r="E1788" s="31" t="s">
        <v>22</v>
      </c>
      <c r="F1788" s="32">
        <v>43407</v>
      </c>
      <c r="G1788" s="32">
        <v>43554</v>
      </c>
      <c r="H1788" s="33">
        <v>0.55208333333333337</v>
      </c>
      <c r="I1788" s="31" t="s">
        <v>141</v>
      </c>
      <c r="J1788" s="31" t="s">
        <v>942</v>
      </c>
      <c r="K1788" s="31" t="s">
        <v>25</v>
      </c>
      <c r="L1788" s="4"/>
      <c r="M1788" s="4" t="s">
        <v>293</v>
      </c>
    </row>
    <row r="1789" spans="1:13" x14ac:dyDescent="0.25">
      <c r="A1789" s="31" t="s">
        <v>1436</v>
      </c>
      <c r="B1789" s="31" t="s">
        <v>0</v>
      </c>
      <c r="C1789" s="31" t="s">
        <v>282</v>
      </c>
      <c r="D1789" s="31" t="s">
        <v>283</v>
      </c>
      <c r="E1789" s="31" t="s">
        <v>18</v>
      </c>
      <c r="F1789" s="32">
        <v>43401</v>
      </c>
      <c r="G1789" s="32">
        <v>43513</v>
      </c>
      <c r="H1789" s="33">
        <v>0.36805555555555558</v>
      </c>
      <c r="I1789" s="31">
        <v>320</v>
      </c>
      <c r="J1789" s="31" t="s">
        <v>944</v>
      </c>
      <c r="K1789" s="31" t="s">
        <v>25</v>
      </c>
      <c r="L1789" s="4"/>
      <c r="M1789" s="4" t="s">
        <v>293</v>
      </c>
    </row>
    <row r="1790" spans="1:13" x14ac:dyDescent="0.25">
      <c r="A1790" s="31" t="s">
        <v>1436</v>
      </c>
      <c r="B1790" s="31" t="s">
        <v>0</v>
      </c>
      <c r="C1790" s="31" t="s">
        <v>282</v>
      </c>
      <c r="D1790" s="31" t="s">
        <v>283</v>
      </c>
      <c r="E1790" s="31" t="s">
        <v>37</v>
      </c>
      <c r="F1790" s="32">
        <v>43402</v>
      </c>
      <c r="G1790" s="32">
        <v>43553</v>
      </c>
      <c r="H1790" s="33">
        <v>0.36805555555555558</v>
      </c>
      <c r="I1790" s="31">
        <v>320</v>
      </c>
      <c r="J1790" s="31" t="s">
        <v>944</v>
      </c>
      <c r="K1790" s="31" t="s">
        <v>25</v>
      </c>
      <c r="L1790" s="4"/>
      <c r="M1790" s="4" t="s">
        <v>293</v>
      </c>
    </row>
    <row r="1791" spans="1:13" x14ac:dyDescent="0.25">
      <c r="A1791" s="31" t="s">
        <v>1436</v>
      </c>
      <c r="B1791" s="31" t="s">
        <v>0</v>
      </c>
      <c r="C1791" s="31" t="s">
        <v>282</v>
      </c>
      <c r="D1791" s="31" t="s">
        <v>283</v>
      </c>
      <c r="E1791" s="31" t="s">
        <v>560</v>
      </c>
      <c r="F1791" s="32">
        <v>43401</v>
      </c>
      <c r="G1791" s="32">
        <v>43554</v>
      </c>
      <c r="H1791" s="33">
        <v>0.59027777777777779</v>
      </c>
      <c r="I1791" s="31">
        <v>320</v>
      </c>
      <c r="J1791" s="31" t="s">
        <v>945</v>
      </c>
      <c r="K1791" s="31" t="s">
        <v>25</v>
      </c>
      <c r="L1791" s="4"/>
      <c r="M1791" s="4" t="s">
        <v>293</v>
      </c>
    </row>
    <row r="1792" spans="1:13" x14ac:dyDescent="0.25">
      <c r="A1792" s="31" t="s">
        <v>1436</v>
      </c>
      <c r="B1792" s="31" t="s">
        <v>0</v>
      </c>
      <c r="C1792" s="31" t="s">
        <v>282</v>
      </c>
      <c r="D1792" s="31" t="s">
        <v>283</v>
      </c>
      <c r="E1792" s="31" t="s">
        <v>48</v>
      </c>
      <c r="F1792" s="32">
        <v>43448</v>
      </c>
      <c r="G1792" s="32">
        <v>43553</v>
      </c>
      <c r="H1792" s="33">
        <v>0.59027777777777779</v>
      </c>
      <c r="I1792" s="31">
        <v>320</v>
      </c>
      <c r="J1792" s="31" t="s">
        <v>945</v>
      </c>
      <c r="K1792" s="31" t="s">
        <v>25</v>
      </c>
      <c r="L1792" s="4"/>
      <c r="M1792" s="4" t="s">
        <v>293</v>
      </c>
    </row>
    <row r="1793" spans="1:13" x14ac:dyDescent="0.25">
      <c r="A1793" s="31" t="s">
        <v>1436</v>
      </c>
      <c r="B1793" s="31" t="s">
        <v>0</v>
      </c>
      <c r="C1793" s="31" t="s">
        <v>282</v>
      </c>
      <c r="D1793" s="31" t="s">
        <v>283</v>
      </c>
      <c r="E1793" s="31" t="s">
        <v>59</v>
      </c>
      <c r="F1793" s="32">
        <v>43493</v>
      </c>
      <c r="G1793" s="32">
        <v>43549</v>
      </c>
      <c r="H1793" s="33">
        <v>0.66666666666666663</v>
      </c>
      <c r="I1793" s="31" t="s">
        <v>14</v>
      </c>
      <c r="J1793" s="31" t="s">
        <v>946</v>
      </c>
      <c r="K1793" s="31" t="s">
        <v>25</v>
      </c>
      <c r="L1793" s="4"/>
      <c r="M1793" s="4" t="s">
        <v>293</v>
      </c>
    </row>
    <row r="1794" spans="1:13" x14ac:dyDescent="0.25">
      <c r="A1794" s="31" t="s">
        <v>1436</v>
      </c>
      <c r="B1794" s="31" t="s">
        <v>0</v>
      </c>
      <c r="C1794" s="31" t="s">
        <v>282</v>
      </c>
      <c r="D1794" s="31" t="s">
        <v>283</v>
      </c>
      <c r="E1794" s="31" t="s">
        <v>48</v>
      </c>
      <c r="F1794" s="32">
        <v>43406</v>
      </c>
      <c r="G1794" s="32">
        <v>43553</v>
      </c>
      <c r="H1794" s="33">
        <v>0.67013888888888884</v>
      </c>
      <c r="I1794" s="31" t="s">
        <v>14</v>
      </c>
      <c r="J1794" s="31" t="s">
        <v>946</v>
      </c>
      <c r="K1794" s="31" t="s">
        <v>25</v>
      </c>
      <c r="L1794" s="4"/>
      <c r="M1794" s="4" t="s">
        <v>293</v>
      </c>
    </row>
    <row r="1795" spans="1:13" x14ac:dyDescent="0.25">
      <c r="A1795" s="31" t="s">
        <v>1436</v>
      </c>
      <c r="B1795" s="31" t="s">
        <v>0</v>
      </c>
      <c r="C1795" s="31" t="s">
        <v>777</v>
      </c>
      <c r="D1795" s="31" t="s">
        <v>778</v>
      </c>
      <c r="E1795" s="31" t="s">
        <v>13</v>
      </c>
      <c r="F1795" s="32">
        <v>43405</v>
      </c>
      <c r="G1795" s="32">
        <v>43552</v>
      </c>
      <c r="H1795" s="33">
        <v>0.45833333333333331</v>
      </c>
      <c r="I1795" s="31" t="s">
        <v>141</v>
      </c>
      <c r="J1795" s="31" t="s">
        <v>1642</v>
      </c>
      <c r="K1795" s="31" t="s">
        <v>25</v>
      </c>
      <c r="L1795" s="4"/>
      <c r="M1795" s="4" t="s">
        <v>293</v>
      </c>
    </row>
    <row r="1796" spans="1:13" x14ac:dyDescent="0.25">
      <c r="A1796" s="31" t="s">
        <v>1436</v>
      </c>
      <c r="B1796" s="31" t="s">
        <v>0</v>
      </c>
      <c r="C1796" s="31" t="s">
        <v>777</v>
      </c>
      <c r="D1796" s="31" t="s">
        <v>778</v>
      </c>
      <c r="E1796" s="31" t="s">
        <v>19</v>
      </c>
      <c r="F1796" s="32">
        <v>43410</v>
      </c>
      <c r="G1796" s="32">
        <v>43550</v>
      </c>
      <c r="H1796" s="33">
        <v>0.46875</v>
      </c>
      <c r="I1796" s="31" t="s">
        <v>141</v>
      </c>
      <c r="J1796" s="31" t="s">
        <v>1642</v>
      </c>
      <c r="K1796" s="31" t="s">
        <v>25</v>
      </c>
      <c r="L1796" s="4"/>
      <c r="M1796" s="4" t="s">
        <v>293</v>
      </c>
    </row>
    <row r="1797" spans="1:13" x14ac:dyDescent="0.25">
      <c r="A1797" s="34" t="s">
        <v>1436</v>
      </c>
      <c r="B1797" s="34" t="s">
        <v>0</v>
      </c>
      <c r="C1797" s="34" t="s">
        <v>1532</v>
      </c>
      <c r="D1797" s="34" t="s">
        <v>463</v>
      </c>
      <c r="E1797" s="34" t="s">
        <v>19</v>
      </c>
      <c r="F1797" s="35">
        <v>43466</v>
      </c>
      <c r="G1797" s="35">
        <v>43550</v>
      </c>
      <c r="H1797" s="36">
        <v>0.68055555555555547</v>
      </c>
      <c r="I1797" s="34">
        <v>320</v>
      </c>
      <c r="J1797" s="34" t="s">
        <v>947</v>
      </c>
      <c r="K1797" s="34" t="s">
        <v>1533</v>
      </c>
      <c r="L1797" s="4"/>
      <c r="M1797" s="4" t="s">
        <v>275</v>
      </c>
    </row>
    <row r="1798" spans="1:13" x14ac:dyDescent="0.25">
      <c r="A1798" s="34" t="s">
        <v>1436</v>
      </c>
      <c r="B1798" s="34" t="s">
        <v>0</v>
      </c>
      <c r="C1798" s="34" t="s">
        <v>469</v>
      </c>
      <c r="D1798" s="34" t="s">
        <v>470</v>
      </c>
      <c r="E1798" s="34" t="s">
        <v>20</v>
      </c>
      <c r="F1798" s="35">
        <v>43404</v>
      </c>
      <c r="G1798" s="35">
        <v>43551</v>
      </c>
      <c r="H1798" s="36">
        <v>0.3125</v>
      </c>
      <c r="I1798" s="34">
        <v>320</v>
      </c>
      <c r="J1798" s="34" t="s">
        <v>948</v>
      </c>
      <c r="K1798" s="34" t="s">
        <v>1533</v>
      </c>
      <c r="L1798" s="4"/>
      <c r="M1798" s="4" t="s">
        <v>275</v>
      </c>
    </row>
    <row r="1799" spans="1:13" x14ac:dyDescent="0.25">
      <c r="A1799" s="34" t="s">
        <v>1436</v>
      </c>
      <c r="B1799" s="34" t="s">
        <v>0</v>
      </c>
      <c r="C1799" s="34" t="s">
        <v>469</v>
      </c>
      <c r="D1799" s="34" t="s">
        <v>470</v>
      </c>
      <c r="E1799" s="34" t="s">
        <v>22</v>
      </c>
      <c r="F1799" s="35">
        <v>43407</v>
      </c>
      <c r="G1799" s="35">
        <v>43554</v>
      </c>
      <c r="H1799" s="36">
        <v>0.40277777777777773</v>
      </c>
      <c r="I1799" s="34">
        <v>320</v>
      </c>
      <c r="J1799" s="34" t="s">
        <v>948</v>
      </c>
      <c r="K1799" s="34" t="s">
        <v>1533</v>
      </c>
      <c r="L1799" s="4"/>
      <c r="M1799" s="4" t="s">
        <v>275</v>
      </c>
    </row>
    <row r="1800" spans="1:13" x14ac:dyDescent="0.25">
      <c r="A1800" s="34" t="s">
        <v>1436</v>
      </c>
      <c r="B1800" s="34" t="s">
        <v>0</v>
      </c>
      <c r="C1800" s="34" t="s">
        <v>11</v>
      </c>
      <c r="D1800" s="34" t="s">
        <v>12</v>
      </c>
      <c r="E1800" s="34" t="s">
        <v>48</v>
      </c>
      <c r="F1800" s="35">
        <v>43511</v>
      </c>
      <c r="G1800" s="35">
        <v>43553</v>
      </c>
      <c r="H1800" s="36">
        <v>0.4375</v>
      </c>
      <c r="I1800" s="34" t="s">
        <v>14</v>
      </c>
      <c r="J1800" s="34" t="s">
        <v>1643</v>
      </c>
      <c r="K1800" s="34" t="s">
        <v>16</v>
      </c>
      <c r="L1800" s="4"/>
      <c r="M1800" s="4" t="s">
        <v>275</v>
      </c>
    </row>
    <row r="1801" spans="1:13" x14ac:dyDescent="0.25">
      <c r="A1801" s="34" t="s">
        <v>1436</v>
      </c>
      <c r="B1801" s="34" t="s">
        <v>0</v>
      </c>
      <c r="C1801" s="34" t="s">
        <v>11</v>
      </c>
      <c r="D1801" s="34" t="s">
        <v>12</v>
      </c>
      <c r="E1801" s="34" t="s">
        <v>18</v>
      </c>
      <c r="F1801" s="35">
        <v>43513</v>
      </c>
      <c r="G1801" s="35">
        <v>43548</v>
      </c>
      <c r="H1801" s="36">
        <v>0.44791666666666669</v>
      </c>
      <c r="I1801" s="34" t="s">
        <v>14</v>
      </c>
      <c r="J1801" s="34" t="s">
        <v>951</v>
      </c>
      <c r="K1801" s="34" t="s">
        <v>16</v>
      </c>
      <c r="L1801" s="4"/>
      <c r="M1801" s="4" t="s">
        <v>275</v>
      </c>
    </row>
    <row r="1802" spans="1:13" x14ac:dyDescent="0.25">
      <c r="A1802" s="34" t="s">
        <v>1436</v>
      </c>
      <c r="B1802" s="34" t="s">
        <v>0</v>
      </c>
      <c r="C1802" s="34" t="s">
        <v>11</v>
      </c>
      <c r="D1802" s="34" t="s">
        <v>12</v>
      </c>
      <c r="E1802" s="34" t="s">
        <v>59</v>
      </c>
      <c r="F1802" s="35">
        <v>43409</v>
      </c>
      <c r="G1802" s="35">
        <v>43549</v>
      </c>
      <c r="H1802" s="36">
        <v>0.4513888888888889</v>
      </c>
      <c r="I1802" s="34" t="s">
        <v>14</v>
      </c>
      <c r="J1802" s="34" t="s">
        <v>951</v>
      </c>
      <c r="K1802" s="34" t="s">
        <v>16</v>
      </c>
      <c r="L1802" s="4"/>
      <c r="M1802" s="4" t="s">
        <v>275</v>
      </c>
    </row>
    <row r="1803" spans="1:13" x14ac:dyDescent="0.25">
      <c r="A1803" s="34" t="s">
        <v>1436</v>
      </c>
      <c r="B1803" s="34" t="s">
        <v>0</v>
      </c>
      <c r="C1803" s="34" t="s">
        <v>11</v>
      </c>
      <c r="D1803" s="34" t="s">
        <v>12</v>
      </c>
      <c r="E1803" s="34" t="s">
        <v>20</v>
      </c>
      <c r="F1803" s="35">
        <v>43481</v>
      </c>
      <c r="G1803" s="35">
        <v>43551</v>
      </c>
      <c r="H1803" s="36">
        <v>0.47569444444444442</v>
      </c>
      <c r="I1803" s="34" t="s">
        <v>14</v>
      </c>
      <c r="J1803" s="34" t="s">
        <v>951</v>
      </c>
      <c r="K1803" s="34" t="s">
        <v>16</v>
      </c>
      <c r="L1803" s="4"/>
      <c r="M1803" s="4" t="s">
        <v>275</v>
      </c>
    </row>
    <row r="1804" spans="1:13" x14ac:dyDescent="0.25">
      <c r="A1804" s="34" t="s">
        <v>1436</v>
      </c>
      <c r="B1804" s="34" t="s">
        <v>0</v>
      </c>
      <c r="C1804" s="34" t="s">
        <v>11</v>
      </c>
      <c r="D1804" s="34" t="s">
        <v>12</v>
      </c>
      <c r="E1804" s="34" t="s">
        <v>19</v>
      </c>
      <c r="F1804" s="35">
        <v>43466</v>
      </c>
      <c r="G1804" s="35">
        <v>43550</v>
      </c>
      <c r="H1804" s="36">
        <v>0.50347222222222221</v>
      </c>
      <c r="I1804" s="34">
        <v>320</v>
      </c>
      <c r="J1804" s="34" t="s">
        <v>1644</v>
      </c>
      <c r="K1804" s="34" t="s">
        <v>16</v>
      </c>
      <c r="L1804" s="4"/>
      <c r="M1804" s="4" t="s">
        <v>275</v>
      </c>
    </row>
    <row r="1805" spans="1:13" x14ac:dyDescent="0.25">
      <c r="A1805" s="34" t="s">
        <v>1436</v>
      </c>
      <c r="B1805" s="34" t="s">
        <v>0</v>
      </c>
      <c r="C1805" s="34" t="s">
        <v>11</v>
      </c>
      <c r="D1805" s="34" t="s">
        <v>12</v>
      </c>
      <c r="E1805" s="34" t="s">
        <v>48</v>
      </c>
      <c r="F1805" s="35">
        <v>43511</v>
      </c>
      <c r="G1805" s="35">
        <v>43525</v>
      </c>
      <c r="H1805" s="36">
        <v>0.51388888888888895</v>
      </c>
      <c r="I1805" s="34" t="s">
        <v>14</v>
      </c>
      <c r="J1805" s="34" t="s">
        <v>1243</v>
      </c>
      <c r="K1805" s="34" t="s">
        <v>16</v>
      </c>
      <c r="L1805" s="4"/>
      <c r="M1805" s="4" t="s">
        <v>275</v>
      </c>
    </row>
    <row r="1806" spans="1:13" x14ac:dyDescent="0.25">
      <c r="A1806" s="34" t="s">
        <v>1436</v>
      </c>
      <c r="B1806" s="34" t="s">
        <v>0</v>
      </c>
      <c r="C1806" s="34" t="s">
        <v>11</v>
      </c>
      <c r="D1806" s="34" t="s">
        <v>12</v>
      </c>
      <c r="E1806" s="34" t="s">
        <v>20</v>
      </c>
      <c r="F1806" s="35">
        <v>43411</v>
      </c>
      <c r="G1806" s="35">
        <v>43509</v>
      </c>
      <c r="H1806" s="36">
        <v>0.57638888888888895</v>
      </c>
      <c r="I1806" s="34" t="s">
        <v>14</v>
      </c>
      <c r="J1806" s="34" t="s">
        <v>1536</v>
      </c>
      <c r="K1806" s="34" t="s">
        <v>16</v>
      </c>
      <c r="L1806" s="4"/>
      <c r="M1806" s="4" t="s">
        <v>275</v>
      </c>
    </row>
    <row r="1807" spans="1:13" x14ac:dyDescent="0.25">
      <c r="A1807" s="34" t="s">
        <v>1436</v>
      </c>
      <c r="B1807" s="34" t="s">
        <v>0</v>
      </c>
      <c r="C1807" s="34" t="s">
        <v>11</v>
      </c>
      <c r="D1807" s="34" t="s">
        <v>12</v>
      </c>
      <c r="E1807" s="34" t="s">
        <v>59</v>
      </c>
      <c r="F1807" s="35">
        <v>43507</v>
      </c>
      <c r="G1807" s="35">
        <v>43549</v>
      </c>
      <c r="H1807" s="36">
        <v>0.64583333333333337</v>
      </c>
      <c r="I1807" s="34" t="s">
        <v>14</v>
      </c>
      <c r="J1807" s="34" t="s">
        <v>1647</v>
      </c>
      <c r="K1807" s="34" t="s">
        <v>16</v>
      </c>
      <c r="L1807" s="4"/>
      <c r="M1807" s="4" t="s">
        <v>275</v>
      </c>
    </row>
    <row r="1808" spans="1:13" x14ac:dyDescent="0.25">
      <c r="A1808" s="34" t="s">
        <v>1436</v>
      </c>
      <c r="B1808" s="34" t="s">
        <v>0</v>
      </c>
      <c r="C1808" s="34" t="s">
        <v>11</v>
      </c>
      <c r="D1808" s="34" t="s">
        <v>12</v>
      </c>
      <c r="E1808" s="34" t="s">
        <v>18</v>
      </c>
      <c r="F1808" s="35">
        <v>43513</v>
      </c>
      <c r="G1808" s="35">
        <v>43513</v>
      </c>
      <c r="H1808" s="36">
        <v>0.64583333333333337</v>
      </c>
      <c r="I1808" s="34" t="s">
        <v>14</v>
      </c>
      <c r="J1808" s="34" t="s">
        <v>1646</v>
      </c>
      <c r="K1808" s="34" t="s">
        <v>16</v>
      </c>
      <c r="L1808" s="4"/>
      <c r="M1808" s="4" t="s">
        <v>275</v>
      </c>
    </row>
    <row r="1809" spans="1:13" x14ac:dyDescent="0.25">
      <c r="A1809" s="34" t="s">
        <v>1436</v>
      </c>
      <c r="B1809" s="34" t="s">
        <v>0</v>
      </c>
      <c r="C1809" s="34" t="s">
        <v>11</v>
      </c>
      <c r="D1809" s="34" t="s">
        <v>12</v>
      </c>
      <c r="E1809" s="34" t="s">
        <v>22</v>
      </c>
      <c r="F1809" s="35">
        <v>43421</v>
      </c>
      <c r="G1809" s="35">
        <v>43547</v>
      </c>
      <c r="H1809" s="36">
        <v>0.69444444444444453</v>
      </c>
      <c r="I1809" s="34">
        <v>320</v>
      </c>
      <c r="J1809" s="34" t="s">
        <v>1644</v>
      </c>
      <c r="K1809" s="34" t="s">
        <v>16</v>
      </c>
      <c r="L1809" s="4"/>
      <c r="M1809" s="4" t="s">
        <v>275</v>
      </c>
    </row>
    <row r="1810" spans="1:13" x14ac:dyDescent="0.25">
      <c r="A1810" s="34" t="s">
        <v>1436</v>
      </c>
      <c r="B1810" s="34" t="s">
        <v>0</v>
      </c>
      <c r="C1810" s="34" t="s">
        <v>11</v>
      </c>
      <c r="D1810" s="34" t="s">
        <v>12</v>
      </c>
      <c r="E1810" s="34" t="s">
        <v>48</v>
      </c>
      <c r="F1810" s="35">
        <v>43511</v>
      </c>
      <c r="G1810" s="35">
        <v>43553</v>
      </c>
      <c r="H1810" s="36">
        <v>0.76041666666666663</v>
      </c>
      <c r="I1810" s="34" t="s">
        <v>698</v>
      </c>
      <c r="J1810" s="34" t="s">
        <v>1937</v>
      </c>
      <c r="K1810" s="34" t="s">
        <v>16</v>
      </c>
      <c r="L1810" s="4"/>
      <c r="M1810" s="4" t="s">
        <v>275</v>
      </c>
    </row>
    <row r="1811" spans="1:13" x14ac:dyDescent="0.25">
      <c r="A1811" s="34" t="s">
        <v>1436</v>
      </c>
      <c r="B1811" s="34" t="s">
        <v>0</v>
      </c>
      <c r="C1811" s="34" t="s">
        <v>11</v>
      </c>
      <c r="D1811" s="34" t="s">
        <v>12</v>
      </c>
      <c r="E1811" s="34" t="s">
        <v>13</v>
      </c>
      <c r="F1811" s="35">
        <v>43454</v>
      </c>
      <c r="G1811" s="35">
        <v>43552</v>
      </c>
      <c r="H1811" s="36">
        <v>0.78472222222222221</v>
      </c>
      <c r="I1811" s="34" t="s">
        <v>14</v>
      </c>
      <c r="J1811" s="34" t="s">
        <v>950</v>
      </c>
      <c r="K1811" s="34" t="s">
        <v>16</v>
      </c>
      <c r="L1811" s="4"/>
      <c r="M1811" s="4" t="s">
        <v>275</v>
      </c>
    </row>
    <row r="1812" spans="1:13" x14ac:dyDescent="0.25">
      <c r="A1812" s="34" t="s">
        <v>1436</v>
      </c>
      <c r="B1812" s="34" t="s">
        <v>0</v>
      </c>
      <c r="C1812" s="34" t="s">
        <v>11</v>
      </c>
      <c r="D1812" s="34" t="s">
        <v>12</v>
      </c>
      <c r="E1812" s="34" t="s">
        <v>48</v>
      </c>
      <c r="F1812" s="35">
        <v>43483</v>
      </c>
      <c r="G1812" s="35">
        <v>43553</v>
      </c>
      <c r="H1812" s="36">
        <v>0.78472222222222221</v>
      </c>
      <c r="I1812" s="34" t="s">
        <v>14</v>
      </c>
      <c r="J1812" s="34" t="s">
        <v>951</v>
      </c>
      <c r="K1812" s="34" t="s">
        <v>16</v>
      </c>
      <c r="L1812" s="4"/>
      <c r="M1812" s="4" t="s">
        <v>275</v>
      </c>
    </row>
    <row r="1813" spans="1:13" x14ac:dyDescent="0.25">
      <c r="A1813" s="34" t="s">
        <v>1436</v>
      </c>
      <c r="B1813" s="34" t="s">
        <v>0</v>
      </c>
      <c r="C1813" s="34" t="s">
        <v>11</v>
      </c>
      <c r="D1813" s="34" t="s">
        <v>12</v>
      </c>
      <c r="E1813" s="34" t="s">
        <v>22</v>
      </c>
      <c r="F1813" s="35">
        <v>43512</v>
      </c>
      <c r="G1813" s="35">
        <v>43554</v>
      </c>
      <c r="H1813" s="36">
        <v>0.80208333333333337</v>
      </c>
      <c r="I1813" s="34" t="s">
        <v>14</v>
      </c>
      <c r="J1813" s="34" t="s">
        <v>950</v>
      </c>
      <c r="K1813" s="34" t="s">
        <v>16</v>
      </c>
      <c r="L1813" s="4"/>
      <c r="M1813" s="4" t="s">
        <v>275</v>
      </c>
    </row>
    <row r="1814" spans="1:13" x14ac:dyDescent="0.25">
      <c r="A1814" s="34" t="s">
        <v>1436</v>
      </c>
      <c r="B1814" s="34" t="s">
        <v>0</v>
      </c>
      <c r="C1814" s="34" t="s">
        <v>11</v>
      </c>
      <c r="D1814" s="34" t="s">
        <v>12</v>
      </c>
      <c r="E1814" s="34" t="s">
        <v>22</v>
      </c>
      <c r="F1814" s="35">
        <v>43512</v>
      </c>
      <c r="G1814" s="35">
        <v>43512</v>
      </c>
      <c r="H1814" s="36">
        <v>0.82986111111111116</v>
      </c>
      <c r="I1814" s="34" t="s">
        <v>698</v>
      </c>
      <c r="J1814" s="34" t="s">
        <v>1645</v>
      </c>
      <c r="K1814" s="34" t="s">
        <v>16</v>
      </c>
      <c r="L1814" s="4"/>
      <c r="M1814" s="4" t="s">
        <v>275</v>
      </c>
    </row>
    <row r="1815" spans="1:13" x14ac:dyDescent="0.25">
      <c r="A1815" s="34" t="s">
        <v>1436</v>
      </c>
      <c r="B1815" s="34" t="s">
        <v>0</v>
      </c>
      <c r="C1815" s="34" t="s">
        <v>23</v>
      </c>
      <c r="D1815" s="34" t="s">
        <v>24</v>
      </c>
      <c r="E1815" s="34" t="s">
        <v>22</v>
      </c>
      <c r="F1815" s="35">
        <v>43477</v>
      </c>
      <c r="G1815" s="35">
        <v>43533</v>
      </c>
      <c r="H1815" s="36">
        <v>0.70486111111111116</v>
      </c>
      <c r="I1815" s="34">
        <v>717</v>
      </c>
      <c r="J1815" s="34" t="s">
        <v>953</v>
      </c>
      <c r="K1815" s="34" t="s">
        <v>1533</v>
      </c>
      <c r="L1815" s="4"/>
      <c r="M1815" s="4" t="s">
        <v>275</v>
      </c>
    </row>
    <row r="1816" spans="1:13" x14ac:dyDescent="0.25">
      <c r="A1816" s="34" t="s">
        <v>1436</v>
      </c>
      <c r="B1816" s="34" t="s">
        <v>0</v>
      </c>
      <c r="C1816" s="34" t="s">
        <v>27</v>
      </c>
      <c r="D1816" s="34" t="s">
        <v>28</v>
      </c>
      <c r="E1816" s="34" t="s">
        <v>109</v>
      </c>
      <c r="F1816" s="35">
        <v>43468</v>
      </c>
      <c r="G1816" s="35">
        <v>43552</v>
      </c>
      <c r="H1816" s="36">
        <v>0.2673611111111111</v>
      </c>
      <c r="I1816" s="34" t="s">
        <v>14</v>
      </c>
      <c r="J1816" s="34" t="s">
        <v>955</v>
      </c>
      <c r="K1816" s="34" t="s">
        <v>1533</v>
      </c>
      <c r="L1816" s="4"/>
      <c r="M1816" s="4" t="s">
        <v>275</v>
      </c>
    </row>
    <row r="1817" spans="1:13" x14ac:dyDescent="0.25">
      <c r="A1817" s="34" t="s">
        <v>1436</v>
      </c>
      <c r="B1817" s="34" t="s">
        <v>0</v>
      </c>
      <c r="C1817" s="34" t="s">
        <v>27</v>
      </c>
      <c r="D1817" s="34" t="s">
        <v>28</v>
      </c>
      <c r="E1817" s="34" t="s">
        <v>22</v>
      </c>
      <c r="F1817" s="35">
        <v>43498</v>
      </c>
      <c r="G1817" s="35">
        <v>43519</v>
      </c>
      <c r="H1817" s="36">
        <v>0.31944444444444448</v>
      </c>
      <c r="I1817" s="34" t="s">
        <v>14</v>
      </c>
      <c r="J1817" s="34" t="s">
        <v>955</v>
      </c>
      <c r="K1817" s="34" t="s">
        <v>1533</v>
      </c>
      <c r="L1817" s="4"/>
      <c r="M1817" s="4" t="s">
        <v>275</v>
      </c>
    </row>
    <row r="1818" spans="1:13" x14ac:dyDescent="0.25">
      <c r="A1818" s="34" t="s">
        <v>1436</v>
      </c>
      <c r="B1818" s="34" t="s">
        <v>0</v>
      </c>
      <c r="C1818" s="34" t="s">
        <v>27</v>
      </c>
      <c r="D1818" s="34" t="s">
        <v>28</v>
      </c>
      <c r="E1818" s="34" t="s">
        <v>19</v>
      </c>
      <c r="F1818" s="35">
        <v>43466</v>
      </c>
      <c r="G1818" s="35">
        <v>43550</v>
      </c>
      <c r="H1818" s="36">
        <v>0.33333333333333331</v>
      </c>
      <c r="I1818" s="34">
        <v>320</v>
      </c>
      <c r="J1818" s="34" t="s">
        <v>954</v>
      </c>
      <c r="K1818" s="34" t="s">
        <v>1533</v>
      </c>
      <c r="L1818" s="4"/>
      <c r="M1818" s="4" t="s">
        <v>275</v>
      </c>
    </row>
    <row r="1819" spans="1:13" x14ac:dyDescent="0.25">
      <c r="A1819" s="34" t="s">
        <v>1436</v>
      </c>
      <c r="B1819" s="34" t="s">
        <v>0</v>
      </c>
      <c r="C1819" s="34" t="s">
        <v>27</v>
      </c>
      <c r="D1819" s="34" t="s">
        <v>28</v>
      </c>
      <c r="E1819" s="34" t="s">
        <v>22</v>
      </c>
      <c r="F1819" s="35">
        <v>43407</v>
      </c>
      <c r="G1819" s="35">
        <v>43554</v>
      </c>
      <c r="H1819" s="36">
        <v>0.46180555555555558</v>
      </c>
      <c r="I1819" s="34">
        <v>320</v>
      </c>
      <c r="J1819" s="34" t="s">
        <v>954</v>
      </c>
      <c r="K1819" s="34" t="s">
        <v>1533</v>
      </c>
      <c r="L1819" s="4"/>
      <c r="M1819" s="4" t="s">
        <v>275</v>
      </c>
    </row>
    <row r="1820" spans="1:13" x14ac:dyDescent="0.25">
      <c r="A1820" s="34" t="s">
        <v>1436</v>
      </c>
      <c r="B1820" s="34" t="s">
        <v>0</v>
      </c>
      <c r="C1820" s="34" t="s">
        <v>27</v>
      </c>
      <c r="D1820" s="34" t="s">
        <v>28</v>
      </c>
      <c r="E1820" s="34" t="s">
        <v>13</v>
      </c>
      <c r="F1820" s="35">
        <v>43405</v>
      </c>
      <c r="G1820" s="35">
        <v>43552</v>
      </c>
      <c r="H1820" s="36">
        <v>0.76041666666666663</v>
      </c>
      <c r="I1820" s="34">
        <v>320</v>
      </c>
      <c r="J1820" s="34" t="s">
        <v>954</v>
      </c>
      <c r="K1820" s="34" t="s">
        <v>1533</v>
      </c>
      <c r="L1820" s="4"/>
      <c r="M1820" s="4" t="s">
        <v>275</v>
      </c>
    </row>
    <row r="1821" spans="1:13" x14ac:dyDescent="0.25">
      <c r="A1821" s="34" t="s">
        <v>1436</v>
      </c>
      <c r="B1821" s="34" t="s">
        <v>0</v>
      </c>
      <c r="C1821" s="34" t="s">
        <v>31</v>
      </c>
      <c r="D1821" s="34" t="s">
        <v>32</v>
      </c>
      <c r="E1821" s="34" t="s">
        <v>18</v>
      </c>
      <c r="F1821" s="35">
        <v>43408</v>
      </c>
      <c r="G1821" s="35">
        <v>43548</v>
      </c>
      <c r="H1821" s="36">
        <v>0.47222222222222227</v>
      </c>
      <c r="I1821" s="34" t="s">
        <v>106</v>
      </c>
      <c r="J1821" s="34" t="s">
        <v>957</v>
      </c>
      <c r="K1821" s="34" t="s">
        <v>34</v>
      </c>
      <c r="L1821" s="4"/>
      <c r="M1821" s="4" t="s">
        <v>275</v>
      </c>
    </row>
    <row r="1822" spans="1:13" x14ac:dyDescent="0.25">
      <c r="A1822" s="34" t="s">
        <v>1436</v>
      </c>
      <c r="B1822" s="34" t="s">
        <v>0</v>
      </c>
      <c r="C1822" s="34" t="s">
        <v>31</v>
      </c>
      <c r="D1822" s="34" t="s">
        <v>32</v>
      </c>
      <c r="E1822" s="34" t="s">
        <v>19</v>
      </c>
      <c r="F1822" s="35">
        <v>43403</v>
      </c>
      <c r="G1822" s="35">
        <v>43550</v>
      </c>
      <c r="H1822" s="36">
        <v>0.69444444444444453</v>
      </c>
      <c r="I1822" s="34">
        <v>320</v>
      </c>
      <c r="J1822" s="34" t="s">
        <v>956</v>
      </c>
      <c r="K1822" s="34" t="s">
        <v>34</v>
      </c>
      <c r="L1822" s="4"/>
      <c r="M1822" s="4" t="s">
        <v>275</v>
      </c>
    </row>
    <row r="1823" spans="1:13" x14ac:dyDescent="0.25">
      <c r="A1823" s="34" t="s">
        <v>1436</v>
      </c>
      <c r="B1823" s="34" t="s">
        <v>0</v>
      </c>
      <c r="C1823" s="34" t="s">
        <v>31</v>
      </c>
      <c r="D1823" s="34" t="s">
        <v>32</v>
      </c>
      <c r="E1823" s="34" t="s">
        <v>13</v>
      </c>
      <c r="F1823" s="35">
        <v>43496</v>
      </c>
      <c r="G1823" s="35">
        <v>43552</v>
      </c>
      <c r="H1823" s="36">
        <v>0.69444444444444453</v>
      </c>
      <c r="I1823" s="34">
        <v>320</v>
      </c>
      <c r="J1823" s="34" t="s">
        <v>956</v>
      </c>
      <c r="K1823" s="34" t="s">
        <v>34</v>
      </c>
      <c r="L1823" s="4"/>
      <c r="M1823" s="4" t="s">
        <v>275</v>
      </c>
    </row>
    <row r="1824" spans="1:13" x14ac:dyDescent="0.25">
      <c r="A1824" s="34" t="s">
        <v>1436</v>
      </c>
      <c r="B1824" s="34" t="s">
        <v>0</v>
      </c>
      <c r="C1824" s="34" t="s">
        <v>31</v>
      </c>
      <c r="D1824" s="34" t="s">
        <v>32</v>
      </c>
      <c r="E1824" s="34" t="s">
        <v>22</v>
      </c>
      <c r="F1824" s="35">
        <v>43407</v>
      </c>
      <c r="G1824" s="35">
        <v>43554</v>
      </c>
      <c r="H1824" s="36">
        <v>0.72222222222222221</v>
      </c>
      <c r="I1824" s="34">
        <v>320</v>
      </c>
      <c r="J1824" s="34" t="s">
        <v>956</v>
      </c>
      <c r="K1824" s="34" t="s">
        <v>34</v>
      </c>
      <c r="L1824" s="4"/>
      <c r="M1824" s="4" t="s">
        <v>275</v>
      </c>
    </row>
    <row r="1825" spans="1:13" x14ac:dyDescent="0.25">
      <c r="A1825" s="34" t="s">
        <v>1436</v>
      </c>
      <c r="B1825" s="34" t="s">
        <v>0</v>
      </c>
      <c r="C1825" s="34" t="s">
        <v>35</v>
      </c>
      <c r="D1825" s="34" t="s">
        <v>36</v>
      </c>
      <c r="E1825" s="34" t="s">
        <v>59</v>
      </c>
      <c r="F1825" s="35">
        <v>43472</v>
      </c>
      <c r="G1825" s="35">
        <v>43549</v>
      </c>
      <c r="H1825" s="36">
        <v>0.47916666666666669</v>
      </c>
      <c r="I1825" s="34" t="s">
        <v>14</v>
      </c>
      <c r="J1825" s="34" t="s">
        <v>1648</v>
      </c>
      <c r="K1825" s="34" t="s">
        <v>38</v>
      </c>
      <c r="L1825" s="4"/>
      <c r="M1825" s="4" t="s">
        <v>275</v>
      </c>
    </row>
    <row r="1826" spans="1:13" x14ac:dyDescent="0.25">
      <c r="A1826" s="34" t="s">
        <v>1436</v>
      </c>
      <c r="B1826" s="34" t="s">
        <v>0</v>
      </c>
      <c r="C1826" s="34" t="s">
        <v>35</v>
      </c>
      <c r="D1826" s="34" t="s">
        <v>36</v>
      </c>
      <c r="E1826" s="34" t="s">
        <v>72</v>
      </c>
      <c r="F1826" s="35">
        <v>43473</v>
      </c>
      <c r="G1826" s="35">
        <v>43554</v>
      </c>
      <c r="H1826" s="36">
        <v>0.57986111111111105</v>
      </c>
      <c r="I1826" s="34" t="s">
        <v>14</v>
      </c>
      <c r="J1826" s="34" t="s">
        <v>960</v>
      </c>
      <c r="K1826" s="34" t="s">
        <v>38</v>
      </c>
      <c r="L1826" s="4"/>
      <c r="M1826" s="4" t="s">
        <v>275</v>
      </c>
    </row>
    <row r="1827" spans="1:13" x14ac:dyDescent="0.25">
      <c r="A1827" s="34" t="s">
        <v>1436</v>
      </c>
      <c r="B1827" s="34" t="s">
        <v>0</v>
      </c>
      <c r="C1827" s="34" t="s">
        <v>35</v>
      </c>
      <c r="D1827" s="34" t="s">
        <v>36</v>
      </c>
      <c r="E1827" s="34" t="s">
        <v>48</v>
      </c>
      <c r="F1827" s="35">
        <v>43511</v>
      </c>
      <c r="G1827" s="35">
        <v>43553</v>
      </c>
      <c r="H1827" s="36">
        <v>0.57986111111111105</v>
      </c>
      <c r="I1827" s="34" t="s">
        <v>14</v>
      </c>
      <c r="J1827" s="34" t="s">
        <v>960</v>
      </c>
      <c r="K1827" s="34" t="s">
        <v>38</v>
      </c>
      <c r="L1827" s="4"/>
      <c r="M1827" s="4" t="s">
        <v>275</v>
      </c>
    </row>
    <row r="1828" spans="1:13" x14ac:dyDescent="0.25">
      <c r="A1828" s="34" t="s">
        <v>1436</v>
      </c>
      <c r="B1828" s="34" t="s">
        <v>0</v>
      </c>
      <c r="C1828" s="34" t="s">
        <v>35</v>
      </c>
      <c r="D1828" s="34" t="s">
        <v>36</v>
      </c>
      <c r="E1828" s="34" t="s">
        <v>13</v>
      </c>
      <c r="F1828" s="35">
        <v>43440</v>
      </c>
      <c r="G1828" s="35">
        <v>43524</v>
      </c>
      <c r="H1828" s="36">
        <v>0.60416666666666663</v>
      </c>
      <c r="I1828" s="34" t="s">
        <v>14</v>
      </c>
      <c r="J1828" s="34" t="s">
        <v>1648</v>
      </c>
      <c r="K1828" s="34" t="s">
        <v>38</v>
      </c>
      <c r="L1828" s="4"/>
      <c r="M1828" s="4" t="s">
        <v>275</v>
      </c>
    </row>
    <row r="1829" spans="1:13" x14ac:dyDescent="0.25">
      <c r="A1829" s="34" t="s">
        <v>1436</v>
      </c>
      <c r="B1829" s="34" t="s">
        <v>0</v>
      </c>
      <c r="C1829" s="34" t="s">
        <v>35</v>
      </c>
      <c r="D1829" s="34" t="s">
        <v>36</v>
      </c>
      <c r="E1829" s="34" t="s">
        <v>22</v>
      </c>
      <c r="F1829" s="35">
        <v>43512</v>
      </c>
      <c r="G1829" s="35">
        <v>43512</v>
      </c>
      <c r="H1829" s="36">
        <v>0.62152777777777779</v>
      </c>
      <c r="I1829" s="34" t="s">
        <v>39</v>
      </c>
      <c r="J1829" s="34" t="s">
        <v>959</v>
      </c>
      <c r="K1829" s="34" t="s">
        <v>38</v>
      </c>
      <c r="L1829" s="4"/>
      <c r="M1829" s="4" t="s">
        <v>275</v>
      </c>
    </row>
    <row r="1830" spans="1:13" x14ac:dyDescent="0.25">
      <c r="A1830" s="34" t="s">
        <v>1436</v>
      </c>
      <c r="B1830" s="34" t="s">
        <v>0</v>
      </c>
      <c r="C1830" s="34" t="s">
        <v>35</v>
      </c>
      <c r="D1830" s="34" t="s">
        <v>36</v>
      </c>
      <c r="E1830" s="34" t="s">
        <v>48</v>
      </c>
      <c r="F1830" s="35">
        <v>43511</v>
      </c>
      <c r="G1830" s="35">
        <v>43511</v>
      </c>
      <c r="H1830" s="36">
        <v>0.66666666666666663</v>
      </c>
      <c r="I1830" s="34" t="s">
        <v>39</v>
      </c>
      <c r="J1830" s="34" t="s">
        <v>958</v>
      </c>
      <c r="K1830" s="34" t="s">
        <v>38</v>
      </c>
      <c r="L1830" s="4"/>
      <c r="M1830" s="4" t="s">
        <v>275</v>
      </c>
    </row>
    <row r="1831" spans="1:13" x14ac:dyDescent="0.25">
      <c r="A1831" s="34" t="s">
        <v>1436</v>
      </c>
      <c r="B1831" s="34" t="s">
        <v>0</v>
      </c>
      <c r="C1831" s="34" t="s">
        <v>42</v>
      </c>
      <c r="D1831" s="34" t="s">
        <v>43</v>
      </c>
      <c r="E1831" s="34" t="s">
        <v>13</v>
      </c>
      <c r="F1831" s="35">
        <v>43405</v>
      </c>
      <c r="G1831" s="35">
        <v>43552</v>
      </c>
      <c r="H1831" s="36">
        <v>0.46180555555555558</v>
      </c>
      <c r="I1831" s="34" t="s">
        <v>14</v>
      </c>
      <c r="J1831" s="34" t="s">
        <v>961</v>
      </c>
      <c r="K1831" s="34" t="s">
        <v>45</v>
      </c>
      <c r="L1831" s="4"/>
      <c r="M1831" s="4" t="s">
        <v>275</v>
      </c>
    </row>
    <row r="1832" spans="1:13" x14ac:dyDescent="0.25">
      <c r="A1832" s="34" t="s">
        <v>1436</v>
      </c>
      <c r="B1832" s="34" t="s">
        <v>0</v>
      </c>
      <c r="C1832" s="34" t="s">
        <v>42</v>
      </c>
      <c r="D1832" s="34" t="s">
        <v>43</v>
      </c>
      <c r="E1832" s="34" t="s">
        <v>22</v>
      </c>
      <c r="F1832" s="35">
        <v>43407</v>
      </c>
      <c r="G1832" s="35">
        <v>43554</v>
      </c>
      <c r="H1832" s="36">
        <v>0.4861111111111111</v>
      </c>
      <c r="I1832" s="34" t="s">
        <v>14</v>
      </c>
      <c r="J1832" s="34" t="s">
        <v>961</v>
      </c>
      <c r="K1832" s="34" t="s">
        <v>45</v>
      </c>
      <c r="L1832" s="4"/>
      <c r="M1832" s="4" t="s">
        <v>275</v>
      </c>
    </row>
    <row r="1833" spans="1:13" x14ac:dyDescent="0.25">
      <c r="A1833" s="34" t="s">
        <v>1436</v>
      </c>
      <c r="B1833" s="34" t="s">
        <v>0</v>
      </c>
      <c r="C1833" s="34" t="s">
        <v>42</v>
      </c>
      <c r="D1833" s="34" t="s">
        <v>43</v>
      </c>
      <c r="E1833" s="34" t="s">
        <v>19</v>
      </c>
      <c r="F1833" s="35">
        <v>43466</v>
      </c>
      <c r="G1833" s="35">
        <v>43550</v>
      </c>
      <c r="H1833" s="36">
        <v>0.4861111111111111</v>
      </c>
      <c r="I1833" s="34" t="s">
        <v>14</v>
      </c>
      <c r="J1833" s="34" t="s">
        <v>961</v>
      </c>
      <c r="K1833" s="34" t="s">
        <v>45</v>
      </c>
      <c r="L1833" s="4"/>
      <c r="M1833" s="4" t="s">
        <v>275</v>
      </c>
    </row>
    <row r="1834" spans="1:13" x14ac:dyDescent="0.25">
      <c r="A1834" s="34" t="s">
        <v>1436</v>
      </c>
      <c r="B1834" s="34" t="s">
        <v>0</v>
      </c>
      <c r="C1834" s="34" t="s">
        <v>42</v>
      </c>
      <c r="D1834" s="34" t="s">
        <v>43</v>
      </c>
      <c r="E1834" s="34" t="s">
        <v>20</v>
      </c>
      <c r="F1834" s="35">
        <v>43404</v>
      </c>
      <c r="G1834" s="35">
        <v>43551</v>
      </c>
      <c r="H1834" s="36">
        <v>0.68055555555555547</v>
      </c>
      <c r="I1834" s="34">
        <v>320</v>
      </c>
      <c r="J1834" s="34" t="s">
        <v>1649</v>
      </c>
      <c r="K1834" s="34" t="s">
        <v>45</v>
      </c>
      <c r="L1834" s="4"/>
      <c r="M1834" s="4" t="s">
        <v>275</v>
      </c>
    </row>
    <row r="1835" spans="1:13" x14ac:dyDescent="0.25">
      <c r="A1835" s="34" t="s">
        <v>1436</v>
      </c>
      <c r="B1835" s="34" t="s">
        <v>0</v>
      </c>
      <c r="C1835" s="34" t="s">
        <v>42</v>
      </c>
      <c r="D1835" s="34" t="s">
        <v>43</v>
      </c>
      <c r="E1835" s="34" t="s">
        <v>59</v>
      </c>
      <c r="F1835" s="35">
        <v>43465</v>
      </c>
      <c r="G1835" s="35">
        <v>43549</v>
      </c>
      <c r="H1835" s="36">
        <v>0.68055555555555547</v>
      </c>
      <c r="I1835" s="34">
        <v>320</v>
      </c>
      <c r="J1835" s="34" t="s">
        <v>1649</v>
      </c>
      <c r="K1835" s="34" t="s">
        <v>45</v>
      </c>
      <c r="L1835" s="4"/>
      <c r="M1835" s="4" t="s">
        <v>275</v>
      </c>
    </row>
    <row r="1836" spans="1:13" x14ac:dyDescent="0.25">
      <c r="A1836" s="34" t="s">
        <v>1436</v>
      </c>
      <c r="B1836" s="34" t="s">
        <v>0</v>
      </c>
      <c r="C1836" s="34" t="s">
        <v>42</v>
      </c>
      <c r="D1836" s="34" t="s">
        <v>43</v>
      </c>
      <c r="E1836" s="34" t="s">
        <v>22</v>
      </c>
      <c r="F1836" s="35">
        <v>43407</v>
      </c>
      <c r="G1836" s="35">
        <v>43547</v>
      </c>
      <c r="H1836" s="36">
        <v>0.68402777777777779</v>
      </c>
      <c r="I1836" s="34">
        <v>320</v>
      </c>
      <c r="J1836" s="34" t="s">
        <v>1649</v>
      </c>
      <c r="K1836" s="34" t="s">
        <v>45</v>
      </c>
      <c r="L1836" s="4"/>
      <c r="M1836" s="4" t="s">
        <v>275</v>
      </c>
    </row>
    <row r="1837" spans="1:13" x14ac:dyDescent="0.25">
      <c r="A1837" s="34" t="s">
        <v>1436</v>
      </c>
      <c r="B1837" s="34" t="s">
        <v>0</v>
      </c>
      <c r="C1837" s="34" t="s">
        <v>42</v>
      </c>
      <c r="D1837" s="34" t="s">
        <v>43</v>
      </c>
      <c r="E1837" s="34" t="s">
        <v>13</v>
      </c>
      <c r="F1837" s="35">
        <v>43510</v>
      </c>
      <c r="G1837" s="35">
        <v>43510</v>
      </c>
      <c r="H1837" s="36">
        <v>0.70486111111111116</v>
      </c>
      <c r="I1837" s="34" t="s">
        <v>81</v>
      </c>
      <c r="J1837" s="34" t="s">
        <v>1650</v>
      </c>
      <c r="K1837" s="34" t="s">
        <v>45</v>
      </c>
      <c r="L1837" s="4"/>
      <c r="M1837" s="4" t="s">
        <v>275</v>
      </c>
    </row>
    <row r="1838" spans="1:13" x14ac:dyDescent="0.25">
      <c r="A1838" s="34" t="s">
        <v>1436</v>
      </c>
      <c r="B1838" s="34" t="s">
        <v>0</v>
      </c>
      <c r="C1838" s="34" t="s">
        <v>42</v>
      </c>
      <c r="D1838" s="34" t="s">
        <v>43</v>
      </c>
      <c r="E1838" s="34" t="s">
        <v>18</v>
      </c>
      <c r="F1838" s="35">
        <v>43513</v>
      </c>
      <c r="G1838" s="35">
        <v>43548</v>
      </c>
      <c r="H1838" s="36">
        <v>0.72916666666666663</v>
      </c>
      <c r="I1838" s="34" t="s">
        <v>81</v>
      </c>
      <c r="J1838" s="34" t="s">
        <v>1650</v>
      </c>
      <c r="K1838" s="34" t="s">
        <v>45</v>
      </c>
      <c r="L1838" s="4"/>
      <c r="M1838" s="4" t="s">
        <v>275</v>
      </c>
    </row>
    <row r="1839" spans="1:13" x14ac:dyDescent="0.25">
      <c r="A1839" s="34" t="s">
        <v>1436</v>
      </c>
      <c r="B1839" s="34" t="s">
        <v>0</v>
      </c>
      <c r="C1839" s="34" t="s">
        <v>46</v>
      </c>
      <c r="D1839" s="34" t="s">
        <v>47</v>
      </c>
      <c r="E1839" s="34" t="s">
        <v>48</v>
      </c>
      <c r="F1839" s="35">
        <v>43406</v>
      </c>
      <c r="G1839" s="35">
        <v>43553</v>
      </c>
      <c r="H1839" s="36">
        <v>0.44444444444444442</v>
      </c>
      <c r="I1839" s="34" t="s">
        <v>14</v>
      </c>
      <c r="J1839" s="34" t="s">
        <v>1651</v>
      </c>
      <c r="K1839" s="34" t="s">
        <v>45</v>
      </c>
      <c r="L1839" s="4"/>
      <c r="M1839" s="4" t="s">
        <v>275</v>
      </c>
    </row>
    <row r="1840" spans="1:13" x14ac:dyDescent="0.25">
      <c r="A1840" s="34" t="s">
        <v>1436</v>
      </c>
      <c r="B1840" s="34" t="s">
        <v>0</v>
      </c>
      <c r="C1840" s="34" t="s">
        <v>46</v>
      </c>
      <c r="D1840" s="34" t="s">
        <v>47</v>
      </c>
      <c r="E1840" s="34" t="s">
        <v>18</v>
      </c>
      <c r="F1840" s="35">
        <v>43401</v>
      </c>
      <c r="G1840" s="35">
        <v>43548</v>
      </c>
      <c r="H1840" s="36">
        <v>0.44791666666666669</v>
      </c>
      <c r="I1840" s="34" t="s">
        <v>14</v>
      </c>
      <c r="J1840" s="34" t="s">
        <v>1651</v>
      </c>
      <c r="K1840" s="34" t="s">
        <v>45</v>
      </c>
      <c r="L1840" s="4"/>
      <c r="M1840" s="4" t="s">
        <v>275</v>
      </c>
    </row>
    <row r="1841" spans="1:13" x14ac:dyDescent="0.25">
      <c r="A1841" s="34" t="s">
        <v>1436</v>
      </c>
      <c r="B1841" s="34" t="s">
        <v>0</v>
      </c>
      <c r="C1841" s="34" t="s">
        <v>46</v>
      </c>
      <c r="D1841" s="34" t="s">
        <v>47</v>
      </c>
      <c r="E1841" s="34" t="s">
        <v>19</v>
      </c>
      <c r="F1841" s="35">
        <v>43466</v>
      </c>
      <c r="G1841" s="35">
        <v>43550</v>
      </c>
      <c r="H1841" s="36">
        <v>0.44791666666666669</v>
      </c>
      <c r="I1841" s="34" t="s">
        <v>14</v>
      </c>
      <c r="J1841" s="34" t="s">
        <v>1651</v>
      </c>
      <c r="K1841" s="34" t="s">
        <v>45</v>
      </c>
      <c r="L1841" s="4"/>
      <c r="M1841" s="4" t="s">
        <v>275</v>
      </c>
    </row>
    <row r="1842" spans="1:13" x14ac:dyDescent="0.25">
      <c r="A1842" s="34" t="s">
        <v>1436</v>
      </c>
      <c r="B1842" s="34" t="s">
        <v>0</v>
      </c>
      <c r="C1842" s="34" t="s">
        <v>46</v>
      </c>
      <c r="D1842" s="34" t="s">
        <v>47</v>
      </c>
      <c r="E1842" s="34" t="s">
        <v>18</v>
      </c>
      <c r="F1842" s="35">
        <v>43513</v>
      </c>
      <c r="G1842" s="35">
        <v>43548</v>
      </c>
      <c r="H1842" s="36">
        <v>0.52430555555555558</v>
      </c>
      <c r="I1842" s="34">
        <v>319</v>
      </c>
      <c r="J1842" s="34" t="s">
        <v>962</v>
      </c>
      <c r="K1842" s="34" t="s">
        <v>45</v>
      </c>
      <c r="L1842" s="4"/>
      <c r="M1842" s="4" t="s">
        <v>275</v>
      </c>
    </row>
    <row r="1843" spans="1:13" x14ac:dyDescent="0.25">
      <c r="A1843" s="34" t="s">
        <v>1436</v>
      </c>
      <c r="B1843" s="34" t="s">
        <v>0</v>
      </c>
      <c r="C1843" s="34" t="s">
        <v>46</v>
      </c>
      <c r="D1843" s="34" t="s">
        <v>47</v>
      </c>
      <c r="E1843" s="34" t="s">
        <v>13</v>
      </c>
      <c r="F1843" s="35">
        <v>43405</v>
      </c>
      <c r="G1843" s="35">
        <v>43552</v>
      </c>
      <c r="H1843" s="36">
        <v>0.57986111111111105</v>
      </c>
      <c r="I1843" s="34">
        <v>319</v>
      </c>
      <c r="J1843" s="34" t="s">
        <v>962</v>
      </c>
      <c r="K1843" s="34" t="s">
        <v>45</v>
      </c>
      <c r="L1843" s="4"/>
      <c r="M1843" s="4" t="s">
        <v>275</v>
      </c>
    </row>
    <row r="1844" spans="1:13" x14ac:dyDescent="0.25">
      <c r="A1844" s="34" t="s">
        <v>1436</v>
      </c>
      <c r="B1844" s="34" t="s">
        <v>0</v>
      </c>
      <c r="C1844" s="34" t="s">
        <v>46</v>
      </c>
      <c r="D1844" s="34" t="s">
        <v>47</v>
      </c>
      <c r="E1844" s="34" t="s">
        <v>13</v>
      </c>
      <c r="F1844" s="35">
        <v>43405</v>
      </c>
      <c r="G1844" s="35">
        <v>43552</v>
      </c>
      <c r="H1844" s="36">
        <v>0.62152777777777779</v>
      </c>
      <c r="I1844" s="34" t="s">
        <v>106</v>
      </c>
      <c r="J1844" s="34" t="s">
        <v>963</v>
      </c>
      <c r="K1844" s="34" t="s">
        <v>45</v>
      </c>
      <c r="L1844" s="4"/>
      <c r="M1844" s="4" t="s">
        <v>275</v>
      </c>
    </row>
    <row r="1845" spans="1:13" x14ac:dyDescent="0.25">
      <c r="A1845" s="34" t="s">
        <v>1436</v>
      </c>
      <c r="B1845" s="34" t="s">
        <v>0</v>
      </c>
      <c r="C1845" s="34" t="s">
        <v>46</v>
      </c>
      <c r="D1845" s="34" t="s">
        <v>47</v>
      </c>
      <c r="E1845" s="34" t="s">
        <v>20</v>
      </c>
      <c r="F1845" s="35">
        <v>43460</v>
      </c>
      <c r="G1845" s="35">
        <v>43551</v>
      </c>
      <c r="H1845" s="36">
        <v>0.62152777777777779</v>
      </c>
      <c r="I1845" s="34" t="s">
        <v>106</v>
      </c>
      <c r="J1845" s="34" t="s">
        <v>963</v>
      </c>
      <c r="K1845" s="34" t="s">
        <v>45</v>
      </c>
      <c r="L1845" s="4"/>
      <c r="M1845" s="4" t="s">
        <v>275</v>
      </c>
    </row>
    <row r="1846" spans="1:13" x14ac:dyDescent="0.25">
      <c r="A1846" s="34" t="s">
        <v>1436</v>
      </c>
      <c r="B1846" s="34" t="s">
        <v>0</v>
      </c>
      <c r="C1846" s="34" t="s">
        <v>46</v>
      </c>
      <c r="D1846" s="34" t="s">
        <v>47</v>
      </c>
      <c r="E1846" s="34" t="s">
        <v>20</v>
      </c>
      <c r="F1846" s="35">
        <v>43404</v>
      </c>
      <c r="G1846" s="35">
        <v>43551</v>
      </c>
      <c r="H1846" s="36">
        <v>0.66319444444444442</v>
      </c>
      <c r="I1846" s="34">
        <v>319</v>
      </c>
      <c r="J1846" s="34" t="s">
        <v>1652</v>
      </c>
      <c r="K1846" s="34" t="s">
        <v>45</v>
      </c>
      <c r="L1846" s="4"/>
      <c r="M1846" s="4" t="s">
        <v>275</v>
      </c>
    </row>
    <row r="1847" spans="1:13" x14ac:dyDescent="0.25">
      <c r="A1847" s="34" t="s">
        <v>1436</v>
      </c>
      <c r="B1847" s="34" t="s">
        <v>0</v>
      </c>
      <c r="C1847" s="34" t="s">
        <v>46</v>
      </c>
      <c r="D1847" s="34" t="s">
        <v>47</v>
      </c>
      <c r="E1847" s="34" t="s">
        <v>22</v>
      </c>
      <c r="F1847" s="35">
        <v>43407</v>
      </c>
      <c r="G1847" s="35">
        <v>43554</v>
      </c>
      <c r="H1847" s="36">
        <v>0.68055555555555547</v>
      </c>
      <c r="I1847" s="34" t="s">
        <v>14</v>
      </c>
      <c r="J1847" s="34" t="s">
        <v>1651</v>
      </c>
      <c r="K1847" s="34" t="s">
        <v>45</v>
      </c>
      <c r="L1847" s="4"/>
      <c r="M1847" s="4" t="s">
        <v>275</v>
      </c>
    </row>
    <row r="1848" spans="1:13" x14ac:dyDescent="0.25">
      <c r="A1848" s="34" t="s">
        <v>1436</v>
      </c>
      <c r="B1848" s="34" t="s">
        <v>0</v>
      </c>
      <c r="C1848" s="34" t="s">
        <v>50</v>
      </c>
      <c r="D1848" s="34" t="s">
        <v>51</v>
      </c>
      <c r="E1848" s="34" t="s">
        <v>298</v>
      </c>
      <c r="F1848" s="35">
        <v>43404</v>
      </c>
      <c r="G1848" s="35">
        <v>43551</v>
      </c>
      <c r="H1848" s="36">
        <v>0.25</v>
      </c>
      <c r="I1848" s="34" t="s">
        <v>14</v>
      </c>
      <c r="J1848" s="34" t="s">
        <v>964</v>
      </c>
      <c r="K1848" s="34" t="s">
        <v>1533</v>
      </c>
      <c r="L1848" s="4"/>
      <c r="M1848" s="4" t="s">
        <v>275</v>
      </c>
    </row>
    <row r="1849" spans="1:13" x14ac:dyDescent="0.25">
      <c r="A1849" s="34" t="s">
        <v>1436</v>
      </c>
      <c r="B1849" s="34" t="s">
        <v>0</v>
      </c>
      <c r="C1849" s="34" t="s">
        <v>50</v>
      </c>
      <c r="D1849" s="34" t="s">
        <v>51</v>
      </c>
      <c r="E1849" s="34" t="s">
        <v>48</v>
      </c>
      <c r="F1849" s="35">
        <v>43483</v>
      </c>
      <c r="G1849" s="35">
        <v>43511</v>
      </c>
      <c r="H1849" s="36">
        <v>0.27083333333333331</v>
      </c>
      <c r="I1849" s="34" t="s">
        <v>14</v>
      </c>
      <c r="J1849" s="34" t="s">
        <v>964</v>
      </c>
      <c r="K1849" s="34" t="s">
        <v>1533</v>
      </c>
      <c r="L1849" s="4"/>
      <c r="M1849" s="4" t="s">
        <v>275</v>
      </c>
    </row>
    <row r="1850" spans="1:13" x14ac:dyDescent="0.25">
      <c r="A1850" s="34" t="s">
        <v>1436</v>
      </c>
      <c r="B1850" s="34" t="s">
        <v>0</v>
      </c>
      <c r="C1850" s="34" t="s">
        <v>56</v>
      </c>
      <c r="D1850" s="34" t="s">
        <v>57</v>
      </c>
      <c r="E1850" s="34" t="s">
        <v>59</v>
      </c>
      <c r="F1850" s="35">
        <v>43472</v>
      </c>
      <c r="G1850" s="35">
        <v>43549</v>
      </c>
      <c r="H1850" s="36">
        <v>0.45833333333333331</v>
      </c>
      <c r="I1850" s="34" t="s">
        <v>14</v>
      </c>
      <c r="J1850" s="34" t="s">
        <v>966</v>
      </c>
      <c r="K1850" s="34" t="s">
        <v>38</v>
      </c>
      <c r="L1850" s="4"/>
      <c r="M1850" s="4" t="s">
        <v>275</v>
      </c>
    </row>
    <row r="1851" spans="1:13" x14ac:dyDescent="0.25">
      <c r="A1851" s="34" t="s">
        <v>1436</v>
      </c>
      <c r="B1851" s="34" t="s">
        <v>0</v>
      </c>
      <c r="C1851" s="34" t="s">
        <v>56</v>
      </c>
      <c r="D1851" s="34" t="s">
        <v>57</v>
      </c>
      <c r="E1851" s="34" t="s">
        <v>19</v>
      </c>
      <c r="F1851" s="35">
        <v>43473</v>
      </c>
      <c r="G1851" s="35">
        <v>43550</v>
      </c>
      <c r="H1851" s="36">
        <v>0.46527777777777773</v>
      </c>
      <c r="I1851" s="34" t="s">
        <v>14</v>
      </c>
      <c r="J1851" s="34" t="s">
        <v>966</v>
      </c>
      <c r="K1851" s="34" t="s">
        <v>38</v>
      </c>
      <c r="L1851" s="4"/>
      <c r="M1851" s="4" t="s">
        <v>275</v>
      </c>
    </row>
    <row r="1852" spans="1:13" x14ac:dyDescent="0.25">
      <c r="A1852" s="34" t="s">
        <v>1436</v>
      </c>
      <c r="B1852" s="34" t="s">
        <v>0</v>
      </c>
      <c r="C1852" s="34" t="s">
        <v>56</v>
      </c>
      <c r="D1852" s="34" t="s">
        <v>57</v>
      </c>
      <c r="E1852" s="34" t="s">
        <v>13</v>
      </c>
      <c r="F1852" s="35">
        <v>43405</v>
      </c>
      <c r="G1852" s="35">
        <v>43552</v>
      </c>
      <c r="H1852" s="36">
        <v>0.48958333333333331</v>
      </c>
      <c r="I1852" s="34" t="s">
        <v>14</v>
      </c>
      <c r="J1852" s="34" t="s">
        <v>966</v>
      </c>
      <c r="K1852" s="34" t="s">
        <v>38</v>
      </c>
      <c r="L1852" s="4"/>
      <c r="M1852" s="4" t="s">
        <v>275</v>
      </c>
    </row>
    <row r="1853" spans="1:13" x14ac:dyDescent="0.25">
      <c r="A1853" s="34" t="s">
        <v>1436</v>
      </c>
      <c r="B1853" s="34" t="s">
        <v>0</v>
      </c>
      <c r="C1853" s="34" t="s">
        <v>56</v>
      </c>
      <c r="D1853" s="34" t="s">
        <v>57</v>
      </c>
      <c r="E1853" s="34" t="s">
        <v>22</v>
      </c>
      <c r="F1853" s="35">
        <v>43512</v>
      </c>
      <c r="G1853" s="35">
        <v>43554</v>
      </c>
      <c r="H1853" s="36">
        <v>0.55208333333333337</v>
      </c>
      <c r="I1853" s="34" t="s">
        <v>39</v>
      </c>
      <c r="J1853" s="34" t="s">
        <v>968</v>
      </c>
      <c r="K1853" s="34" t="s">
        <v>38</v>
      </c>
      <c r="L1853" s="4"/>
      <c r="M1853" s="4" t="s">
        <v>275</v>
      </c>
    </row>
    <row r="1854" spans="1:13" x14ac:dyDescent="0.25">
      <c r="A1854" s="34" t="s">
        <v>1436</v>
      </c>
      <c r="B1854" s="34" t="s">
        <v>0</v>
      </c>
      <c r="C1854" s="34" t="s">
        <v>56</v>
      </c>
      <c r="D1854" s="34" t="s">
        <v>57</v>
      </c>
      <c r="E1854" s="34" t="s">
        <v>228</v>
      </c>
      <c r="F1854" s="35">
        <v>43404</v>
      </c>
      <c r="G1854" s="35">
        <v>43552</v>
      </c>
      <c r="H1854" s="36">
        <v>0.64930555555555558</v>
      </c>
      <c r="I1854" s="34" t="s">
        <v>14</v>
      </c>
      <c r="J1854" s="34" t="s">
        <v>965</v>
      </c>
      <c r="K1854" s="34" t="s">
        <v>38</v>
      </c>
      <c r="L1854" s="4"/>
      <c r="M1854" s="4" t="s">
        <v>275</v>
      </c>
    </row>
    <row r="1855" spans="1:13" x14ac:dyDescent="0.25">
      <c r="A1855" s="34" t="s">
        <v>1436</v>
      </c>
      <c r="B1855" s="34" t="s">
        <v>0</v>
      </c>
      <c r="C1855" s="34" t="s">
        <v>56</v>
      </c>
      <c r="D1855" s="34" t="s">
        <v>57</v>
      </c>
      <c r="E1855" s="34" t="s">
        <v>18</v>
      </c>
      <c r="F1855" s="35">
        <v>43415</v>
      </c>
      <c r="G1855" s="35">
        <v>43548</v>
      </c>
      <c r="H1855" s="36">
        <v>0.64930555555555558</v>
      </c>
      <c r="I1855" s="34" t="s">
        <v>14</v>
      </c>
      <c r="J1855" s="34" t="s">
        <v>965</v>
      </c>
      <c r="K1855" s="34" t="s">
        <v>38</v>
      </c>
      <c r="L1855" s="4"/>
      <c r="M1855" s="4" t="s">
        <v>275</v>
      </c>
    </row>
    <row r="1856" spans="1:13" x14ac:dyDescent="0.25">
      <c r="A1856" s="34" t="s">
        <v>1436</v>
      </c>
      <c r="B1856" s="34" t="s">
        <v>0</v>
      </c>
      <c r="C1856" s="34" t="s">
        <v>56</v>
      </c>
      <c r="D1856" s="34" t="s">
        <v>57</v>
      </c>
      <c r="E1856" s="34" t="s">
        <v>19</v>
      </c>
      <c r="F1856" s="35">
        <v>43473</v>
      </c>
      <c r="G1856" s="35">
        <v>43550</v>
      </c>
      <c r="H1856" s="36">
        <v>0.64930555555555558</v>
      </c>
      <c r="I1856" s="34" t="s">
        <v>14</v>
      </c>
      <c r="J1856" s="34" t="s">
        <v>965</v>
      </c>
      <c r="K1856" s="34" t="s">
        <v>38</v>
      </c>
      <c r="L1856" s="4"/>
      <c r="M1856" s="4" t="s">
        <v>275</v>
      </c>
    </row>
    <row r="1857" spans="1:13" x14ac:dyDescent="0.25">
      <c r="A1857" s="34" t="s">
        <v>1436</v>
      </c>
      <c r="B1857" s="34" t="s">
        <v>0</v>
      </c>
      <c r="C1857" s="34" t="s">
        <v>56</v>
      </c>
      <c r="D1857" s="34" t="s">
        <v>57</v>
      </c>
      <c r="E1857" s="34" t="s">
        <v>59</v>
      </c>
      <c r="F1857" s="35">
        <v>43514</v>
      </c>
      <c r="G1857" s="35">
        <v>43549</v>
      </c>
      <c r="H1857" s="36">
        <v>0.64930555555555558</v>
      </c>
      <c r="I1857" s="34" t="s">
        <v>14</v>
      </c>
      <c r="J1857" s="34" t="s">
        <v>965</v>
      </c>
      <c r="K1857" s="34" t="s">
        <v>38</v>
      </c>
      <c r="L1857" s="4"/>
      <c r="M1857" s="4" t="s">
        <v>275</v>
      </c>
    </row>
    <row r="1858" spans="1:13" x14ac:dyDescent="0.25">
      <c r="A1858" s="34" t="s">
        <v>1436</v>
      </c>
      <c r="B1858" s="34" t="s">
        <v>0</v>
      </c>
      <c r="C1858" s="34" t="s">
        <v>56</v>
      </c>
      <c r="D1858" s="34" t="s">
        <v>57</v>
      </c>
      <c r="E1858" s="34" t="s">
        <v>19</v>
      </c>
      <c r="F1858" s="35">
        <v>43473</v>
      </c>
      <c r="G1858" s="35">
        <v>43508</v>
      </c>
      <c r="H1858" s="36">
        <v>0.65625</v>
      </c>
      <c r="I1858" s="34">
        <v>320</v>
      </c>
      <c r="J1858" s="34" t="s">
        <v>968</v>
      </c>
      <c r="K1858" s="34" t="s">
        <v>38</v>
      </c>
      <c r="L1858" s="4"/>
      <c r="M1858" s="4" t="s">
        <v>275</v>
      </c>
    </row>
    <row r="1859" spans="1:13" x14ac:dyDescent="0.25">
      <c r="A1859" s="34" t="s">
        <v>1436</v>
      </c>
      <c r="B1859" s="34" t="s">
        <v>0</v>
      </c>
      <c r="C1859" s="34" t="s">
        <v>56</v>
      </c>
      <c r="D1859" s="34" t="s">
        <v>57</v>
      </c>
      <c r="E1859" s="34" t="s">
        <v>22</v>
      </c>
      <c r="F1859" s="35">
        <v>43477</v>
      </c>
      <c r="G1859" s="35">
        <v>43554</v>
      </c>
      <c r="H1859" s="36">
        <v>0.66666666666666663</v>
      </c>
      <c r="I1859" s="34" t="s">
        <v>14</v>
      </c>
      <c r="J1859" s="34" t="s">
        <v>965</v>
      </c>
      <c r="K1859" s="34" t="s">
        <v>38</v>
      </c>
      <c r="L1859" s="4"/>
      <c r="M1859" s="4" t="s">
        <v>275</v>
      </c>
    </row>
    <row r="1860" spans="1:13" x14ac:dyDescent="0.25">
      <c r="A1860" s="34" t="s">
        <v>1436</v>
      </c>
      <c r="B1860" s="34" t="s">
        <v>0</v>
      </c>
      <c r="C1860" s="34" t="s">
        <v>56</v>
      </c>
      <c r="D1860" s="34" t="s">
        <v>57</v>
      </c>
      <c r="E1860" s="34" t="s">
        <v>48</v>
      </c>
      <c r="F1860" s="35">
        <v>43511</v>
      </c>
      <c r="G1860" s="35">
        <v>43553</v>
      </c>
      <c r="H1860" s="36">
        <v>0.68055555555555547</v>
      </c>
      <c r="I1860" s="34" t="s">
        <v>39</v>
      </c>
      <c r="J1860" s="34" t="s">
        <v>967</v>
      </c>
      <c r="K1860" s="34" t="s">
        <v>38</v>
      </c>
      <c r="L1860" s="4"/>
      <c r="M1860" s="4" t="s">
        <v>275</v>
      </c>
    </row>
    <row r="1861" spans="1:13" x14ac:dyDescent="0.25">
      <c r="A1861" s="34" t="s">
        <v>1436</v>
      </c>
      <c r="B1861" s="34" t="s">
        <v>0</v>
      </c>
      <c r="C1861" s="34" t="s">
        <v>56</v>
      </c>
      <c r="D1861" s="34" t="s">
        <v>57</v>
      </c>
      <c r="E1861" s="34" t="s">
        <v>48</v>
      </c>
      <c r="F1861" s="35">
        <v>43413</v>
      </c>
      <c r="G1861" s="35">
        <v>43553</v>
      </c>
      <c r="H1861" s="36">
        <v>0.72222222222222221</v>
      </c>
      <c r="I1861" s="34" t="s">
        <v>14</v>
      </c>
      <c r="J1861" s="34" t="s">
        <v>965</v>
      </c>
      <c r="K1861" s="34" t="s">
        <v>38</v>
      </c>
      <c r="L1861" s="34"/>
      <c r="M1861" s="4" t="s">
        <v>275</v>
      </c>
    </row>
    <row r="1862" spans="1:13" x14ac:dyDescent="0.25">
      <c r="A1862" s="34" t="s">
        <v>1436</v>
      </c>
      <c r="B1862" s="34" t="s">
        <v>0</v>
      </c>
      <c r="C1862" s="34" t="s">
        <v>56</v>
      </c>
      <c r="D1862" s="34" t="s">
        <v>57</v>
      </c>
      <c r="E1862" s="34" t="s">
        <v>22</v>
      </c>
      <c r="F1862" s="35">
        <v>43407</v>
      </c>
      <c r="G1862" s="35">
        <v>43554</v>
      </c>
      <c r="H1862" s="36">
        <v>0.73263888888888884</v>
      </c>
      <c r="I1862" s="34" t="s">
        <v>14</v>
      </c>
      <c r="J1862" s="34" t="s">
        <v>966</v>
      </c>
      <c r="K1862" s="34" t="s">
        <v>38</v>
      </c>
      <c r="L1862" s="34"/>
      <c r="M1862" s="4" t="s">
        <v>275</v>
      </c>
    </row>
    <row r="1863" spans="1:13" x14ac:dyDescent="0.25">
      <c r="A1863" s="34" t="s">
        <v>1436</v>
      </c>
      <c r="B1863" s="34" t="s">
        <v>0</v>
      </c>
      <c r="C1863" s="34" t="s">
        <v>56</v>
      </c>
      <c r="D1863" s="34" t="s">
        <v>57</v>
      </c>
      <c r="E1863" s="34" t="s">
        <v>22</v>
      </c>
      <c r="F1863" s="35">
        <v>43414</v>
      </c>
      <c r="G1863" s="35">
        <v>43554</v>
      </c>
      <c r="H1863" s="36">
        <v>0.73958333333333337</v>
      </c>
      <c r="I1863" s="34" t="s">
        <v>14</v>
      </c>
      <c r="J1863" s="34" t="s">
        <v>1853</v>
      </c>
      <c r="K1863" s="34" t="s">
        <v>38</v>
      </c>
      <c r="L1863" s="34"/>
      <c r="M1863" s="4" t="s">
        <v>275</v>
      </c>
    </row>
    <row r="1864" spans="1:13" x14ac:dyDescent="0.25">
      <c r="A1864" s="34" t="s">
        <v>1436</v>
      </c>
      <c r="B1864" s="34" t="s">
        <v>0</v>
      </c>
      <c r="C1864" s="34" t="s">
        <v>56</v>
      </c>
      <c r="D1864" s="34" t="s">
        <v>57</v>
      </c>
      <c r="E1864" s="34" t="s">
        <v>18</v>
      </c>
      <c r="F1864" s="35">
        <v>43513</v>
      </c>
      <c r="G1864" s="35">
        <v>43548</v>
      </c>
      <c r="H1864" s="36">
        <v>0.8125</v>
      </c>
      <c r="I1864" s="34">
        <v>320</v>
      </c>
      <c r="J1864" s="34" t="s">
        <v>1653</v>
      </c>
      <c r="K1864" s="34" t="s">
        <v>38</v>
      </c>
      <c r="L1864" s="34"/>
      <c r="M1864" s="4" t="s">
        <v>275</v>
      </c>
    </row>
    <row r="1865" spans="1:13" x14ac:dyDescent="0.25">
      <c r="A1865" s="34" t="s">
        <v>1436</v>
      </c>
      <c r="B1865" s="34" t="s">
        <v>0</v>
      </c>
      <c r="C1865" s="34" t="s">
        <v>63</v>
      </c>
      <c r="D1865" s="34" t="s">
        <v>64</v>
      </c>
      <c r="E1865" s="34" t="s">
        <v>59</v>
      </c>
      <c r="F1865" s="35">
        <v>43500</v>
      </c>
      <c r="G1865" s="35">
        <v>43514</v>
      </c>
      <c r="H1865" s="36">
        <v>0.54861111111111105</v>
      </c>
      <c r="I1865" s="34" t="s">
        <v>106</v>
      </c>
      <c r="J1865" s="34" t="s">
        <v>337</v>
      </c>
      <c r="K1865" s="34" t="s">
        <v>66</v>
      </c>
      <c r="L1865" s="34"/>
      <c r="M1865" s="4" t="s">
        <v>275</v>
      </c>
    </row>
    <row r="1866" spans="1:13" x14ac:dyDescent="0.25">
      <c r="A1866" s="34" t="s">
        <v>1436</v>
      </c>
      <c r="B1866" s="34" t="s">
        <v>0</v>
      </c>
      <c r="C1866" s="34" t="s">
        <v>63</v>
      </c>
      <c r="D1866" s="34" t="s">
        <v>64</v>
      </c>
      <c r="E1866" s="34" t="s">
        <v>95</v>
      </c>
      <c r="F1866" s="35">
        <v>43405</v>
      </c>
      <c r="G1866" s="35">
        <v>43554</v>
      </c>
      <c r="H1866" s="36">
        <v>0.69444444444444453</v>
      </c>
      <c r="I1866" s="34" t="s">
        <v>14</v>
      </c>
      <c r="J1866" s="34" t="s">
        <v>969</v>
      </c>
      <c r="K1866" s="34" t="s">
        <v>66</v>
      </c>
      <c r="L1866" s="34"/>
      <c r="M1866" s="4" t="s">
        <v>275</v>
      </c>
    </row>
    <row r="1867" spans="1:13" x14ac:dyDescent="0.25">
      <c r="A1867" s="34" t="s">
        <v>1436</v>
      </c>
      <c r="B1867" s="34" t="s">
        <v>0</v>
      </c>
      <c r="C1867" s="34" t="s">
        <v>63</v>
      </c>
      <c r="D1867" s="34" t="s">
        <v>64</v>
      </c>
      <c r="E1867" s="34" t="s">
        <v>19</v>
      </c>
      <c r="F1867" s="35">
        <v>43466</v>
      </c>
      <c r="G1867" s="35">
        <v>43550</v>
      </c>
      <c r="H1867" s="36">
        <v>0.69444444444444453</v>
      </c>
      <c r="I1867" s="34" t="s">
        <v>14</v>
      </c>
      <c r="J1867" s="34" t="s">
        <v>969</v>
      </c>
      <c r="K1867" s="34" t="s">
        <v>66</v>
      </c>
      <c r="L1867" s="34"/>
      <c r="M1867" s="4" t="s">
        <v>275</v>
      </c>
    </row>
    <row r="1868" spans="1:13" x14ac:dyDescent="0.25">
      <c r="A1868" s="34" t="s">
        <v>1436</v>
      </c>
      <c r="B1868" s="34" t="s">
        <v>0</v>
      </c>
      <c r="C1868" s="34" t="s">
        <v>499</v>
      </c>
      <c r="D1868" s="34" t="s">
        <v>500</v>
      </c>
      <c r="E1868" s="34" t="s">
        <v>20</v>
      </c>
      <c r="F1868" s="35">
        <v>43404</v>
      </c>
      <c r="G1868" s="35">
        <v>43551</v>
      </c>
      <c r="H1868" s="36">
        <v>0.625</v>
      </c>
      <c r="I1868" s="34" t="s">
        <v>14</v>
      </c>
      <c r="J1868" s="34" t="s">
        <v>970</v>
      </c>
      <c r="K1868" s="34" t="s">
        <v>38</v>
      </c>
      <c r="L1868" s="34"/>
      <c r="M1868" s="4" t="s">
        <v>275</v>
      </c>
    </row>
    <row r="1869" spans="1:13" x14ac:dyDescent="0.25">
      <c r="A1869" s="34" t="s">
        <v>1436</v>
      </c>
      <c r="B1869" s="34" t="s">
        <v>0</v>
      </c>
      <c r="C1869" s="34" t="s">
        <v>67</v>
      </c>
      <c r="D1869" s="34" t="s">
        <v>68</v>
      </c>
      <c r="E1869" s="34" t="s">
        <v>19</v>
      </c>
      <c r="F1869" s="35">
        <v>43473</v>
      </c>
      <c r="G1869" s="35">
        <v>43550</v>
      </c>
      <c r="H1869" s="36">
        <v>0.27083333333333331</v>
      </c>
      <c r="I1869" s="34" t="s">
        <v>14</v>
      </c>
      <c r="J1869" s="34" t="s">
        <v>1654</v>
      </c>
      <c r="K1869" s="34" t="s">
        <v>45</v>
      </c>
      <c r="L1869" s="34"/>
      <c r="M1869" s="4" t="s">
        <v>275</v>
      </c>
    </row>
    <row r="1870" spans="1:13" x14ac:dyDescent="0.25">
      <c r="A1870" s="34" t="s">
        <v>1436</v>
      </c>
      <c r="B1870" s="34" t="s">
        <v>0</v>
      </c>
      <c r="C1870" s="34" t="s">
        <v>67</v>
      </c>
      <c r="D1870" s="34" t="s">
        <v>68</v>
      </c>
      <c r="E1870" s="34" t="s">
        <v>18</v>
      </c>
      <c r="F1870" s="35">
        <v>43415</v>
      </c>
      <c r="G1870" s="35">
        <v>43548</v>
      </c>
      <c r="H1870" s="36">
        <v>0.46527777777777773</v>
      </c>
      <c r="I1870" s="34">
        <v>319</v>
      </c>
      <c r="J1870" s="34" t="s">
        <v>971</v>
      </c>
      <c r="K1870" s="34" t="s">
        <v>45</v>
      </c>
      <c r="L1870" s="34"/>
      <c r="M1870" s="4" t="s">
        <v>275</v>
      </c>
    </row>
    <row r="1871" spans="1:13" x14ac:dyDescent="0.25">
      <c r="A1871" s="34" t="s">
        <v>1436</v>
      </c>
      <c r="B1871" s="34" t="s">
        <v>0</v>
      </c>
      <c r="C1871" s="34" t="s">
        <v>67</v>
      </c>
      <c r="D1871" s="34" t="s">
        <v>68</v>
      </c>
      <c r="E1871" s="34" t="s">
        <v>13</v>
      </c>
      <c r="F1871" s="35">
        <v>43489</v>
      </c>
      <c r="G1871" s="35">
        <v>43552</v>
      </c>
      <c r="H1871" s="36">
        <v>0.5</v>
      </c>
      <c r="I1871" s="34">
        <v>319</v>
      </c>
      <c r="J1871" s="34" t="s">
        <v>971</v>
      </c>
      <c r="K1871" s="34" t="s">
        <v>45</v>
      </c>
      <c r="L1871" s="34"/>
      <c r="M1871" s="4" t="s">
        <v>275</v>
      </c>
    </row>
    <row r="1872" spans="1:13" x14ac:dyDescent="0.25">
      <c r="A1872" s="34" t="s">
        <v>1436</v>
      </c>
      <c r="B1872" s="34" t="s">
        <v>0</v>
      </c>
      <c r="C1872" s="34" t="s">
        <v>972</v>
      </c>
      <c r="D1872" s="34" t="s">
        <v>973</v>
      </c>
      <c r="E1872" s="34" t="s">
        <v>48</v>
      </c>
      <c r="F1872" s="35">
        <v>43504</v>
      </c>
      <c r="G1872" s="35">
        <v>43553</v>
      </c>
      <c r="H1872" s="36">
        <v>0.39583333333333331</v>
      </c>
      <c r="I1872" s="34" t="s">
        <v>14</v>
      </c>
      <c r="J1872" s="34" t="s">
        <v>1655</v>
      </c>
      <c r="K1872" s="34" t="s">
        <v>221</v>
      </c>
      <c r="L1872" s="34" t="s">
        <v>405</v>
      </c>
      <c r="M1872" s="4" t="s">
        <v>275</v>
      </c>
    </row>
    <row r="1873" spans="1:13" x14ac:dyDescent="0.25">
      <c r="A1873" s="34" t="s">
        <v>1436</v>
      </c>
      <c r="B1873" s="34" t="s">
        <v>0</v>
      </c>
      <c r="C1873" s="34" t="s">
        <v>70</v>
      </c>
      <c r="D1873" s="34" t="s">
        <v>71</v>
      </c>
      <c r="E1873" s="34" t="s">
        <v>19</v>
      </c>
      <c r="F1873" s="35">
        <v>43473</v>
      </c>
      <c r="G1873" s="35">
        <v>43550</v>
      </c>
      <c r="H1873" s="36">
        <v>0.49305555555555558</v>
      </c>
      <c r="I1873" s="34" t="s">
        <v>14</v>
      </c>
      <c r="J1873" s="34" t="s">
        <v>974</v>
      </c>
      <c r="K1873" s="34" t="s">
        <v>38</v>
      </c>
      <c r="L1873" s="34"/>
      <c r="M1873" s="4" t="s">
        <v>275</v>
      </c>
    </row>
    <row r="1874" spans="1:13" x14ac:dyDescent="0.25">
      <c r="A1874" s="34" t="s">
        <v>1436</v>
      </c>
      <c r="B1874" s="34" t="s">
        <v>0</v>
      </c>
      <c r="C1874" s="34" t="s">
        <v>70</v>
      </c>
      <c r="D1874" s="34" t="s">
        <v>71</v>
      </c>
      <c r="E1874" s="34" t="s">
        <v>95</v>
      </c>
      <c r="F1874" s="35">
        <v>43405</v>
      </c>
      <c r="G1874" s="35">
        <v>43554</v>
      </c>
      <c r="H1874" s="36">
        <v>0.50347222222222221</v>
      </c>
      <c r="I1874" s="34" t="s">
        <v>14</v>
      </c>
      <c r="J1874" s="34" t="s">
        <v>974</v>
      </c>
      <c r="K1874" s="34" t="s">
        <v>38</v>
      </c>
      <c r="L1874" s="34"/>
      <c r="M1874" s="4" t="s">
        <v>275</v>
      </c>
    </row>
    <row r="1875" spans="1:13" x14ac:dyDescent="0.25">
      <c r="A1875" s="34" t="s">
        <v>1436</v>
      </c>
      <c r="B1875" s="34" t="s">
        <v>0</v>
      </c>
      <c r="C1875" s="34" t="s">
        <v>70</v>
      </c>
      <c r="D1875" s="34" t="s">
        <v>71</v>
      </c>
      <c r="E1875" s="34" t="s">
        <v>48</v>
      </c>
      <c r="F1875" s="35">
        <v>43434</v>
      </c>
      <c r="G1875" s="35">
        <v>43553</v>
      </c>
      <c r="H1875" s="36">
        <v>0.61805555555555558</v>
      </c>
      <c r="I1875" s="34" t="s">
        <v>39</v>
      </c>
      <c r="J1875" s="34" t="s">
        <v>978</v>
      </c>
      <c r="K1875" s="34" t="s">
        <v>38</v>
      </c>
      <c r="L1875" s="34"/>
      <c r="M1875" s="4" t="s">
        <v>275</v>
      </c>
    </row>
    <row r="1876" spans="1:13" x14ac:dyDescent="0.25">
      <c r="A1876" s="34" t="s">
        <v>1436</v>
      </c>
      <c r="B1876" s="34" t="s">
        <v>0</v>
      </c>
      <c r="C1876" s="34" t="s">
        <v>70</v>
      </c>
      <c r="D1876" s="34" t="s">
        <v>71</v>
      </c>
      <c r="E1876" s="34" t="s">
        <v>19</v>
      </c>
      <c r="F1876" s="35">
        <v>43410</v>
      </c>
      <c r="G1876" s="35">
        <v>43550</v>
      </c>
      <c r="H1876" s="36">
        <v>0.63888888888888895</v>
      </c>
      <c r="I1876" s="34" t="s">
        <v>39</v>
      </c>
      <c r="J1876" s="34" t="s">
        <v>977</v>
      </c>
      <c r="K1876" s="34" t="s">
        <v>38</v>
      </c>
      <c r="L1876" s="34"/>
      <c r="M1876" s="4" t="s">
        <v>275</v>
      </c>
    </row>
    <row r="1877" spans="1:13" x14ac:dyDescent="0.25">
      <c r="A1877" s="34" t="s">
        <v>1436</v>
      </c>
      <c r="B1877" s="34" t="s">
        <v>0</v>
      </c>
      <c r="C1877" s="34" t="s">
        <v>70</v>
      </c>
      <c r="D1877" s="34" t="s">
        <v>71</v>
      </c>
      <c r="E1877" s="34" t="s">
        <v>95</v>
      </c>
      <c r="F1877" s="35">
        <v>43405</v>
      </c>
      <c r="G1877" s="35">
        <v>43554</v>
      </c>
      <c r="H1877" s="36">
        <v>0.77083333333333337</v>
      </c>
      <c r="I1877" s="34">
        <v>320</v>
      </c>
      <c r="J1877" s="34" t="s">
        <v>975</v>
      </c>
      <c r="K1877" s="34" t="s">
        <v>38</v>
      </c>
      <c r="L1877" s="34"/>
      <c r="M1877" s="4" t="s">
        <v>275</v>
      </c>
    </row>
    <row r="1878" spans="1:13" x14ac:dyDescent="0.25">
      <c r="A1878" s="34" t="s">
        <v>1436</v>
      </c>
      <c r="B1878" s="34" t="s">
        <v>0</v>
      </c>
      <c r="C1878" s="34" t="s">
        <v>70</v>
      </c>
      <c r="D1878" s="34" t="s">
        <v>71</v>
      </c>
      <c r="E1878" s="34" t="s">
        <v>146</v>
      </c>
      <c r="F1878" s="35">
        <v>43465</v>
      </c>
      <c r="G1878" s="35">
        <v>43550</v>
      </c>
      <c r="H1878" s="36">
        <v>0.77083333333333337</v>
      </c>
      <c r="I1878" s="34">
        <v>320</v>
      </c>
      <c r="J1878" s="34" t="s">
        <v>975</v>
      </c>
      <c r="K1878" s="34" t="s">
        <v>38</v>
      </c>
      <c r="L1878" s="34"/>
      <c r="M1878" s="4" t="s">
        <v>275</v>
      </c>
    </row>
    <row r="1879" spans="1:13" x14ac:dyDescent="0.25">
      <c r="A1879" s="34" t="s">
        <v>1436</v>
      </c>
      <c r="B1879" s="34" t="s">
        <v>0</v>
      </c>
      <c r="C1879" s="34" t="s">
        <v>76</v>
      </c>
      <c r="D1879" s="34" t="s">
        <v>77</v>
      </c>
      <c r="E1879" s="34" t="s">
        <v>22</v>
      </c>
      <c r="F1879" s="35">
        <v>43442</v>
      </c>
      <c r="G1879" s="35">
        <v>43519</v>
      </c>
      <c r="H1879" s="36">
        <v>0.43402777777777773</v>
      </c>
      <c r="I1879" s="34" t="s">
        <v>698</v>
      </c>
      <c r="J1879" s="34" t="s">
        <v>1656</v>
      </c>
      <c r="K1879" s="34" t="s">
        <v>79</v>
      </c>
      <c r="L1879" s="34"/>
      <c r="M1879" s="4" t="s">
        <v>275</v>
      </c>
    </row>
    <row r="1880" spans="1:13" x14ac:dyDescent="0.25">
      <c r="A1880" s="34" t="s">
        <v>1436</v>
      </c>
      <c r="B1880" s="34" t="s">
        <v>0</v>
      </c>
      <c r="C1880" s="34" t="s">
        <v>76</v>
      </c>
      <c r="D1880" s="34" t="s">
        <v>77</v>
      </c>
      <c r="E1880" s="34" t="s">
        <v>48</v>
      </c>
      <c r="F1880" s="35">
        <v>43497</v>
      </c>
      <c r="G1880" s="35">
        <v>43553</v>
      </c>
      <c r="H1880" s="36">
        <v>0.43402777777777773</v>
      </c>
      <c r="I1880" s="34" t="s">
        <v>698</v>
      </c>
      <c r="J1880" s="34" t="s">
        <v>1656</v>
      </c>
      <c r="K1880" s="34" t="s">
        <v>79</v>
      </c>
      <c r="L1880" s="34"/>
      <c r="M1880" s="4" t="s">
        <v>275</v>
      </c>
    </row>
    <row r="1881" spans="1:13" x14ac:dyDescent="0.25">
      <c r="A1881" s="34" t="s">
        <v>1436</v>
      </c>
      <c r="B1881" s="34" t="s">
        <v>0</v>
      </c>
      <c r="C1881" s="34" t="s">
        <v>76</v>
      </c>
      <c r="D1881" s="34" t="s">
        <v>77</v>
      </c>
      <c r="E1881" s="34" t="s">
        <v>18</v>
      </c>
      <c r="F1881" s="35">
        <v>43499</v>
      </c>
      <c r="G1881" s="35">
        <v>43513</v>
      </c>
      <c r="H1881" s="36">
        <v>0.43402777777777773</v>
      </c>
      <c r="I1881" s="34" t="s">
        <v>698</v>
      </c>
      <c r="J1881" s="34" t="s">
        <v>1656</v>
      </c>
      <c r="K1881" s="34" t="s">
        <v>79</v>
      </c>
      <c r="L1881" s="34"/>
      <c r="M1881" s="4" t="s">
        <v>275</v>
      </c>
    </row>
    <row r="1882" spans="1:13" x14ac:dyDescent="0.25">
      <c r="A1882" s="34" t="s">
        <v>1436</v>
      </c>
      <c r="B1882" s="34" t="s">
        <v>0</v>
      </c>
      <c r="C1882" s="34" t="s">
        <v>76</v>
      </c>
      <c r="D1882" s="34" t="s">
        <v>77</v>
      </c>
      <c r="E1882" s="34" t="s">
        <v>20</v>
      </c>
      <c r="F1882" s="35">
        <v>43474</v>
      </c>
      <c r="G1882" s="35">
        <v>43509</v>
      </c>
      <c r="H1882" s="36">
        <v>0.44444444444444442</v>
      </c>
      <c r="I1882" s="34" t="s">
        <v>698</v>
      </c>
      <c r="J1882" s="34" t="s">
        <v>1656</v>
      </c>
      <c r="K1882" s="34" t="s">
        <v>79</v>
      </c>
      <c r="L1882" s="34"/>
      <c r="M1882" s="4" t="s">
        <v>275</v>
      </c>
    </row>
    <row r="1883" spans="1:13" x14ac:dyDescent="0.25">
      <c r="A1883" s="34" t="s">
        <v>1436</v>
      </c>
      <c r="B1883" s="34" t="s">
        <v>0</v>
      </c>
      <c r="C1883" s="34" t="s">
        <v>76</v>
      </c>
      <c r="D1883" s="34" t="s">
        <v>77</v>
      </c>
      <c r="E1883" s="34" t="s">
        <v>19</v>
      </c>
      <c r="F1883" s="35">
        <v>43480</v>
      </c>
      <c r="G1883" s="35">
        <v>43508</v>
      </c>
      <c r="H1883" s="36">
        <v>0.44791666666666669</v>
      </c>
      <c r="I1883" s="34" t="s">
        <v>698</v>
      </c>
      <c r="J1883" s="34" t="s">
        <v>1656</v>
      </c>
      <c r="K1883" s="34" t="s">
        <v>79</v>
      </c>
      <c r="L1883" s="34"/>
      <c r="M1883" s="4" t="s">
        <v>275</v>
      </c>
    </row>
    <row r="1884" spans="1:13" x14ac:dyDescent="0.25">
      <c r="A1884" s="34" t="s">
        <v>1436</v>
      </c>
      <c r="B1884" s="34" t="s">
        <v>0</v>
      </c>
      <c r="C1884" s="34" t="s">
        <v>76</v>
      </c>
      <c r="D1884" s="34" t="s">
        <v>77</v>
      </c>
      <c r="E1884" s="34" t="s">
        <v>13</v>
      </c>
      <c r="F1884" s="35">
        <v>43489</v>
      </c>
      <c r="G1884" s="35">
        <v>43552</v>
      </c>
      <c r="H1884" s="36">
        <v>0.4548611111111111</v>
      </c>
      <c r="I1884" s="34" t="s">
        <v>698</v>
      </c>
      <c r="J1884" s="34" t="s">
        <v>1656</v>
      </c>
      <c r="K1884" s="34" t="s">
        <v>79</v>
      </c>
      <c r="L1884" s="34"/>
      <c r="M1884" s="4" t="s">
        <v>275</v>
      </c>
    </row>
    <row r="1885" spans="1:13" x14ac:dyDescent="0.25">
      <c r="A1885" s="34" t="s">
        <v>1436</v>
      </c>
      <c r="B1885" s="34" t="s">
        <v>0</v>
      </c>
      <c r="C1885" s="34" t="s">
        <v>76</v>
      </c>
      <c r="D1885" s="34" t="s">
        <v>77</v>
      </c>
      <c r="E1885" s="34" t="s">
        <v>59</v>
      </c>
      <c r="F1885" s="35">
        <v>43479</v>
      </c>
      <c r="G1885" s="35">
        <v>43521</v>
      </c>
      <c r="H1885" s="36">
        <v>0.46527777777777773</v>
      </c>
      <c r="I1885" s="34" t="s">
        <v>698</v>
      </c>
      <c r="J1885" s="34" t="s">
        <v>1656</v>
      </c>
      <c r="K1885" s="34" t="s">
        <v>79</v>
      </c>
      <c r="L1885" s="34" t="s">
        <v>138</v>
      </c>
      <c r="M1885" s="4" t="s">
        <v>275</v>
      </c>
    </row>
    <row r="1886" spans="1:13" x14ac:dyDescent="0.25">
      <c r="A1886" s="34" t="s">
        <v>1436</v>
      </c>
      <c r="B1886" s="34" t="s">
        <v>0</v>
      </c>
      <c r="C1886" s="34" t="s">
        <v>76</v>
      </c>
      <c r="D1886" s="34" t="s">
        <v>77</v>
      </c>
      <c r="E1886" s="34" t="s">
        <v>144</v>
      </c>
      <c r="F1886" s="35">
        <v>43401</v>
      </c>
      <c r="G1886" s="35">
        <v>43554</v>
      </c>
      <c r="H1886" s="36">
        <v>0.49305555555555558</v>
      </c>
      <c r="I1886" s="34">
        <v>320</v>
      </c>
      <c r="J1886" s="34" t="s">
        <v>1657</v>
      </c>
      <c r="K1886" s="34" t="s">
        <v>79</v>
      </c>
      <c r="L1886" s="34"/>
      <c r="M1886" s="4" t="s">
        <v>275</v>
      </c>
    </row>
    <row r="1887" spans="1:13" x14ac:dyDescent="0.25">
      <c r="A1887" s="34" t="s">
        <v>1436</v>
      </c>
      <c r="B1887" s="34" t="s">
        <v>0</v>
      </c>
      <c r="C1887" s="34" t="s">
        <v>76</v>
      </c>
      <c r="D1887" s="34" t="s">
        <v>77</v>
      </c>
      <c r="E1887" s="34" t="s">
        <v>48</v>
      </c>
      <c r="F1887" s="35">
        <v>43490</v>
      </c>
      <c r="G1887" s="35">
        <v>43553</v>
      </c>
      <c r="H1887" s="36">
        <v>0.72916666666666663</v>
      </c>
      <c r="I1887" s="34" t="s">
        <v>14</v>
      </c>
      <c r="J1887" s="34" t="s">
        <v>1658</v>
      </c>
      <c r="K1887" s="34" t="s">
        <v>79</v>
      </c>
      <c r="L1887" s="34"/>
      <c r="M1887" s="4" t="s">
        <v>275</v>
      </c>
    </row>
    <row r="1888" spans="1:13" x14ac:dyDescent="0.25">
      <c r="A1888" s="34" t="s">
        <v>1436</v>
      </c>
      <c r="B1888" s="34" t="s">
        <v>0</v>
      </c>
      <c r="C1888" s="34" t="s">
        <v>76</v>
      </c>
      <c r="D1888" s="34" t="s">
        <v>77</v>
      </c>
      <c r="E1888" s="34" t="s">
        <v>22</v>
      </c>
      <c r="F1888" s="35">
        <v>43498</v>
      </c>
      <c r="G1888" s="35">
        <v>43554</v>
      </c>
      <c r="H1888" s="36">
        <v>0.74652777777777779</v>
      </c>
      <c r="I1888" s="34">
        <v>319</v>
      </c>
      <c r="J1888" s="34" t="s">
        <v>979</v>
      </c>
      <c r="K1888" s="34" t="s">
        <v>79</v>
      </c>
      <c r="L1888" s="34"/>
      <c r="M1888" s="4" t="s">
        <v>275</v>
      </c>
    </row>
    <row r="1889" spans="1:13" x14ac:dyDescent="0.25">
      <c r="A1889" s="34" t="s">
        <v>1436</v>
      </c>
      <c r="B1889" s="34" t="s">
        <v>0</v>
      </c>
      <c r="C1889" s="34" t="s">
        <v>76</v>
      </c>
      <c r="D1889" s="34" t="s">
        <v>77</v>
      </c>
      <c r="E1889" s="34" t="s">
        <v>22</v>
      </c>
      <c r="F1889" s="35">
        <v>43456</v>
      </c>
      <c r="G1889" s="35">
        <v>43540</v>
      </c>
      <c r="H1889" s="36">
        <v>0.80902777777777779</v>
      </c>
      <c r="I1889" s="34" t="s">
        <v>81</v>
      </c>
      <c r="J1889" s="34" t="s">
        <v>1659</v>
      </c>
      <c r="K1889" s="34" t="s">
        <v>79</v>
      </c>
      <c r="L1889" s="34"/>
      <c r="M1889" s="4" t="s">
        <v>275</v>
      </c>
    </row>
    <row r="1890" spans="1:13" x14ac:dyDescent="0.25">
      <c r="A1890" s="34" t="s">
        <v>1436</v>
      </c>
      <c r="B1890" s="34" t="s">
        <v>0</v>
      </c>
      <c r="C1890" s="34" t="s">
        <v>82</v>
      </c>
      <c r="D1890" s="34" t="s">
        <v>83</v>
      </c>
      <c r="E1890" s="34" t="s">
        <v>48</v>
      </c>
      <c r="F1890" s="35">
        <v>43406</v>
      </c>
      <c r="G1890" s="35">
        <v>43553</v>
      </c>
      <c r="H1890" s="36">
        <v>0.44097222222222227</v>
      </c>
      <c r="I1890" s="34" t="s">
        <v>14</v>
      </c>
      <c r="J1890" s="34" t="s">
        <v>980</v>
      </c>
      <c r="K1890" s="34" t="s">
        <v>79</v>
      </c>
      <c r="L1890" s="34"/>
      <c r="M1890" s="4" t="s">
        <v>275</v>
      </c>
    </row>
    <row r="1891" spans="1:13" x14ac:dyDescent="0.25">
      <c r="A1891" s="34" t="s">
        <v>1436</v>
      </c>
      <c r="B1891" s="34" t="s">
        <v>0</v>
      </c>
      <c r="C1891" s="34" t="s">
        <v>82</v>
      </c>
      <c r="D1891" s="34" t="s">
        <v>83</v>
      </c>
      <c r="E1891" s="34" t="s">
        <v>18</v>
      </c>
      <c r="F1891" s="35">
        <v>43506</v>
      </c>
      <c r="G1891" s="35">
        <v>43513</v>
      </c>
      <c r="H1891" s="36">
        <v>0.4513888888888889</v>
      </c>
      <c r="I1891" s="34" t="s">
        <v>14</v>
      </c>
      <c r="J1891" s="34" t="s">
        <v>1660</v>
      </c>
      <c r="K1891" s="34" t="s">
        <v>79</v>
      </c>
      <c r="L1891" s="34"/>
      <c r="M1891" s="4" t="s">
        <v>275</v>
      </c>
    </row>
    <row r="1892" spans="1:13" x14ac:dyDescent="0.25">
      <c r="A1892" s="34" t="s">
        <v>1436</v>
      </c>
      <c r="B1892" s="34" t="s">
        <v>0</v>
      </c>
      <c r="C1892" s="34" t="s">
        <v>82</v>
      </c>
      <c r="D1892" s="34" t="s">
        <v>83</v>
      </c>
      <c r="E1892" s="34" t="s">
        <v>20</v>
      </c>
      <c r="F1892" s="35">
        <v>43467</v>
      </c>
      <c r="G1892" s="35">
        <v>43551</v>
      </c>
      <c r="H1892" s="36">
        <v>0.46527777777777773</v>
      </c>
      <c r="I1892" s="34" t="s">
        <v>14</v>
      </c>
      <c r="J1892" s="34" t="s">
        <v>980</v>
      </c>
      <c r="K1892" s="34" t="s">
        <v>79</v>
      </c>
      <c r="L1892" s="34"/>
      <c r="M1892" s="4" t="s">
        <v>275</v>
      </c>
    </row>
    <row r="1893" spans="1:13" x14ac:dyDescent="0.25">
      <c r="A1893" s="34" t="s">
        <v>1436</v>
      </c>
      <c r="B1893" s="34" t="s">
        <v>0</v>
      </c>
      <c r="C1893" s="34" t="s">
        <v>82</v>
      </c>
      <c r="D1893" s="34" t="s">
        <v>83</v>
      </c>
      <c r="E1893" s="34" t="s">
        <v>22</v>
      </c>
      <c r="F1893" s="35">
        <v>43484</v>
      </c>
      <c r="G1893" s="35">
        <v>43554</v>
      </c>
      <c r="H1893" s="36">
        <v>0.54513888888888895</v>
      </c>
      <c r="I1893" s="34" t="s">
        <v>14</v>
      </c>
      <c r="J1893" s="34" t="s">
        <v>1088</v>
      </c>
      <c r="K1893" s="34" t="s">
        <v>79</v>
      </c>
      <c r="L1893" s="4"/>
      <c r="M1893" s="4" t="s">
        <v>275</v>
      </c>
    </row>
    <row r="1894" spans="1:13" x14ac:dyDescent="0.25">
      <c r="A1894" s="34" t="s">
        <v>1436</v>
      </c>
      <c r="B1894" s="34" t="s">
        <v>0</v>
      </c>
      <c r="C1894" s="34" t="s">
        <v>82</v>
      </c>
      <c r="D1894" s="34" t="s">
        <v>83</v>
      </c>
      <c r="E1894" s="34" t="s">
        <v>20</v>
      </c>
      <c r="F1894" s="35">
        <v>43488</v>
      </c>
      <c r="G1894" s="35">
        <v>43530</v>
      </c>
      <c r="H1894" s="36">
        <v>0.54513888888888895</v>
      </c>
      <c r="I1894" s="34" t="s">
        <v>14</v>
      </c>
      <c r="J1894" s="34" t="s">
        <v>1088</v>
      </c>
      <c r="K1894" s="34" t="s">
        <v>79</v>
      </c>
      <c r="L1894" s="4"/>
      <c r="M1894" s="4" t="s">
        <v>275</v>
      </c>
    </row>
    <row r="1895" spans="1:13" x14ac:dyDescent="0.25">
      <c r="A1895" s="34" t="s">
        <v>1436</v>
      </c>
      <c r="B1895" s="34" t="s">
        <v>0</v>
      </c>
      <c r="C1895" s="34" t="s">
        <v>82</v>
      </c>
      <c r="D1895" s="34" t="s">
        <v>83</v>
      </c>
      <c r="E1895" s="34" t="s">
        <v>59</v>
      </c>
      <c r="F1895" s="35">
        <v>43465</v>
      </c>
      <c r="G1895" s="35">
        <v>43549</v>
      </c>
      <c r="H1895" s="36">
        <v>0.69444444444444453</v>
      </c>
      <c r="I1895" s="34" t="s">
        <v>14</v>
      </c>
      <c r="J1895" s="34" t="s">
        <v>980</v>
      </c>
      <c r="K1895" s="34" t="s">
        <v>79</v>
      </c>
      <c r="L1895" s="4"/>
      <c r="M1895" s="4" t="s">
        <v>275</v>
      </c>
    </row>
    <row r="1896" spans="1:13" x14ac:dyDescent="0.25">
      <c r="A1896" s="34" t="s">
        <v>1436</v>
      </c>
      <c r="B1896" s="34" t="s">
        <v>0</v>
      </c>
      <c r="C1896" s="34" t="s">
        <v>82</v>
      </c>
      <c r="D1896" s="34" t="s">
        <v>83</v>
      </c>
      <c r="E1896" s="34" t="s">
        <v>95</v>
      </c>
      <c r="F1896" s="35">
        <v>43405</v>
      </c>
      <c r="G1896" s="35">
        <v>43554</v>
      </c>
      <c r="H1896" s="36">
        <v>0.72222222222222221</v>
      </c>
      <c r="I1896" s="34" t="s">
        <v>14</v>
      </c>
      <c r="J1896" s="34" t="s">
        <v>980</v>
      </c>
      <c r="K1896" s="34" t="s">
        <v>79</v>
      </c>
      <c r="L1896" s="4"/>
      <c r="M1896" s="4" t="s">
        <v>275</v>
      </c>
    </row>
    <row r="1897" spans="1:13" x14ac:dyDescent="0.25">
      <c r="A1897" s="34" t="s">
        <v>1436</v>
      </c>
      <c r="B1897" s="34" t="s">
        <v>0</v>
      </c>
      <c r="C1897" s="34" t="s">
        <v>82</v>
      </c>
      <c r="D1897" s="34" t="s">
        <v>83</v>
      </c>
      <c r="E1897" s="34" t="s">
        <v>19</v>
      </c>
      <c r="F1897" s="35">
        <v>43466</v>
      </c>
      <c r="G1897" s="35">
        <v>43550</v>
      </c>
      <c r="H1897" s="36">
        <v>0.72222222222222221</v>
      </c>
      <c r="I1897" s="34" t="s">
        <v>14</v>
      </c>
      <c r="J1897" s="34" t="s">
        <v>980</v>
      </c>
      <c r="K1897" s="34" t="s">
        <v>79</v>
      </c>
      <c r="L1897" s="4"/>
      <c r="M1897" s="4" t="s">
        <v>275</v>
      </c>
    </row>
    <row r="1898" spans="1:13" x14ac:dyDescent="0.25">
      <c r="A1898" s="34" t="s">
        <v>1436</v>
      </c>
      <c r="B1898" s="34" t="s">
        <v>0</v>
      </c>
      <c r="C1898" s="34" t="s">
        <v>82</v>
      </c>
      <c r="D1898" s="34" t="s">
        <v>83</v>
      </c>
      <c r="E1898" s="34" t="s">
        <v>48</v>
      </c>
      <c r="F1898" s="35">
        <v>43483</v>
      </c>
      <c r="G1898" s="35">
        <v>43553</v>
      </c>
      <c r="H1898" s="36">
        <v>0.72916666666666663</v>
      </c>
      <c r="I1898" s="34" t="s">
        <v>14</v>
      </c>
      <c r="J1898" s="34" t="s">
        <v>1660</v>
      </c>
      <c r="K1898" s="34" t="s">
        <v>79</v>
      </c>
      <c r="L1898" s="4"/>
      <c r="M1898" s="4" t="s">
        <v>275</v>
      </c>
    </row>
    <row r="1899" spans="1:13" x14ac:dyDescent="0.25">
      <c r="A1899" s="34" t="s">
        <v>1436</v>
      </c>
      <c r="B1899" s="34" t="s">
        <v>0</v>
      </c>
      <c r="C1899" s="34" t="s">
        <v>981</v>
      </c>
      <c r="D1899" s="34" t="s">
        <v>982</v>
      </c>
      <c r="E1899" s="34" t="s">
        <v>48</v>
      </c>
      <c r="F1899" s="35">
        <v>43406</v>
      </c>
      <c r="G1899" s="35">
        <v>43553</v>
      </c>
      <c r="H1899" s="36">
        <v>0.76041666666666663</v>
      </c>
      <c r="I1899" s="34">
        <v>320</v>
      </c>
      <c r="J1899" s="34" t="s">
        <v>983</v>
      </c>
      <c r="K1899" s="34" t="s">
        <v>984</v>
      </c>
      <c r="L1899" s="4"/>
      <c r="M1899" s="4" t="s">
        <v>275</v>
      </c>
    </row>
    <row r="1900" spans="1:13" x14ac:dyDescent="0.25">
      <c r="A1900" s="34" t="s">
        <v>1436</v>
      </c>
      <c r="B1900" s="34" t="s">
        <v>0</v>
      </c>
      <c r="C1900" s="34" t="s">
        <v>341</v>
      </c>
      <c r="D1900" s="34" t="s">
        <v>342</v>
      </c>
      <c r="E1900" s="34" t="s">
        <v>48</v>
      </c>
      <c r="F1900" s="35">
        <v>43406</v>
      </c>
      <c r="G1900" s="35">
        <v>43553</v>
      </c>
      <c r="H1900" s="36">
        <v>0.73611111111111116</v>
      </c>
      <c r="I1900" s="34">
        <v>320</v>
      </c>
      <c r="J1900" s="34" t="s">
        <v>985</v>
      </c>
      <c r="K1900" s="34" t="s">
        <v>344</v>
      </c>
      <c r="L1900" s="4"/>
      <c r="M1900" s="4" t="s">
        <v>275</v>
      </c>
    </row>
    <row r="1901" spans="1:13" x14ac:dyDescent="0.25">
      <c r="A1901" s="34" t="s">
        <v>1436</v>
      </c>
      <c r="B1901" s="34" t="s">
        <v>0</v>
      </c>
      <c r="C1901" s="34" t="s">
        <v>341</v>
      </c>
      <c r="D1901" s="34" t="s">
        <v>342</v>
      </c>
      <c r="E1901" s="34" t="s">
        <v>59</v>
      </c>
      <c r="F1901" s="35">
        <v>43472</v>
      </c>
      <c r="G1901" s="35">
        <v>43549</v>
      </c>
      <c r="H1901" s="36">
        <v>0.73611111111111116</v>
      </c>
      <c r="I1901" s="34">
        <v>320</v>
      </c>
      <c r="J1901" s="34" t="s">
        <v>985</v>
      </c>
      <c r="K1901" s="34" t="s">
        <v>344</v>
      </c>
      <c r="L1901" s="4"/>
      <c r="M1901" s="4" t="s">
        <v>275</v>
      </c>
    </row>
    <row r="1902" spans="1:13" x14ac:dyDescent="0.25">
      <c r="A1902" s="34" t="s">
        <v>1436</v>
      </c>
      <c r="B1902" s="34" t="s">
        <v>0</v>
      </c>
      <c r="C1902" s="34" t="s">
        <v>986</v>
      </c>
      <c r="D1902" s="34" t="s">
        <v>987</v>
      </c>
      <c r="E1902" s="34" t="s">
        <v>22</v>
      </c>
      <c r="F1902" s="35">
        <v>43477</v>
      </c>
      <c r="G1902" s="35">
        <v>43533</v>
      </c>
      <c r="H1902" s="36">
        <v>0.4236111111111111</v>
      </c>
      <c r="I1902" s="34">
        <v>319</v>
      </c>
      <c r="J1902" s="34" t="s">
        <v>988</v>
      </c>
      <c r="K1902" s="34" t="s">
        <v>221</v>
      </c>
      <c r="L1902" s="4"/>
      <c r="M1902" s="4" t="s">
        <v>275</v>
      </c>
    </row>
    <row r="1903" spans="1:13" x14ac:dyDescent="0.25">
      <c r="A1903" s="34" t="s">
        <v>1436</v>
      </c>
      <c r="B1903" s="34" t="s">
        <v>0</v>
      </c>
      <c r="C1903" s="34" t="s">
        <v>986</v>
      </c>
      <c r="D1903" s="34" t="s">
        <v>987</v>
      </c>
      <c r="E1903" s="34" t="s">
        <v>18</v>
      </c>
      <c r="F1903" s="35">
        <v>43478</v>
      </c>
      <c r="G1903" s="35">
        <v>43534</v>
      </c>
      <c r="H1903" s="36">
        <v>0.87152777777777779</v>
      </c>
      <c r="I1903" s="34">
        <v>319</v>
      </c>
      <c r="J1903" s="34" t="s">
        <v>988</v>
      </c>
      <c r="K1903" s="34" t="s">
        <v>221</v>
      </c>
      <c r="L1903" s="4"/>
      <c r="M1903" s="4" t="s">
        <v>275</v>
      </c>
    </row>
    <row r="1904" spans="1:13" x14ac:dyDescent="0.25">
      <c r="A1904" s="34" t="s">
        <v>1436</v>
      </c>
      <c r="B1904" s="34" t="s">
        <v>0</v>
      </c>
      <c r="C1904" s="34" t="s">
        <v>86</v>
      </c>
      <c r="D1904" s="34" t="s">
        <v>87</v>
      </c>
      <c r="E1904" s="34" t="s">
        <v>59</v>
      </c>
      <c r="F1904" s="35">
        <v>43472</v>
      </c>
      <c r="G1904" s="35">
        <v>43549</v>
      </c>
      <c r="H1904" s="36">
        <v>0.28125</v>
      </c>
      <c r="I1904" s="34" t="s">
        <v>14</v>
      </c>
      <c r="J1904" s="34" t="s">
        <v>989</v>
      </c>
      <c r="K1904" s="34" t="s">
        <v>38</v>
      </c>
      <c r="L1904" s="4"/>
      <c r="M1904" s="4" t="s">
        <v>275</v>
      </c>
    </row>
    <row r="1905" spans="1:13" x14ac:dyDescent="0.25">
      <c r="A1905" s="34" t="s">
        <v>1436</v>
      </c>
      <c r="B1905" s="34" t="s">
        <v>0</v>
      </c>
      <c r="C1905" s="34" t="s">
        <v>86</v>
      </c>
      <c r="D1905" s="34" t="s">
        <v>87</v>
      </c>
      <c r="E1905" s="34" t="s">
        <v>13</v>
      </c>
      <c r="F1905" s="35">
        <v>43475</v>
      </c>
      <c r="G1905" s="35">
        <v>43524</v>
      </c>
      <c r="H1905" s="36">
        <v>0.63541666666666663</v>
      </c>
      <c r="I1905" s="34" t="s">
        <v>14</v>
      </c>
      <c r="J1905" s="34" t="s">
        <v>989</v>
      </c>
      <c r="K1905" s="34" t="s">
        <v>38</v>
      </c>
      <c r="L1905" s="4"/>
      <c r="M1905" s="4" t="s">
        <v>275</v>
      </c>
    </row>
    <row r="1906" spans="1:13" x14ac:dyDescent="0.25">
      <c r="A1906" s="34" t="s">
        <v>1436</v>
      </c>
      <c r="B1906" s="34" t="s">
        <v>0</v>
      </c>
      <c r="C1906" s="34" t="s">
        <v>1232</v>
      </c>
      <c r="D1906" s="34" t="s">
        <v>128</v>
      </c>
      <c r="E1906" s="34" t="s">
        <v>13</v>
      </c>
      <c r="F1906" s="35">
        <v>43468</v>
      </c>
      <c r="G1906" s="35">
        <v>43552</v>
      </c>
      <c r="H1906" s="36">
        <v>0.625</v>
      </c>
      <c r="I1906" s="34">
        <v>738</v>
      </c>
      <c r="J1906" s="34" t="s">
        <v>1938</v>
      </c>
      <c r="K1906" s="34" t="s">
        <v>129</v>
      </c>
      <c r="L1906" s="4"/>
      <c r="M1906" s="4" t="s">
        <v>275</v>
      </c>
    </row>
    <row r="1907" spans="1:13" x14ac:dyDescent="0.25">
      <c r="A1907" s="34" t="s">
        <v>1436</v>
      </c>
      <c r="B1907" s="34" t="s">
        <v>0</v>
      </c>
      <c r="C1907" s="34" t="s">
        <v>1232</v>
      </c>
      <c r="D1907" s="34" t="s">
        <v>128</v>
      </c>
      <c r="E1907" s="34" t="s">
        <v>18</v>
      </c>
      <c r="F1907" s="35">
        <v>43499</v>
      </c>
      <c r="G1907" s="35">
        <v>43548</v>
      </c>
      <c r="H1907" s="36">
        <v>0.98263888888888884</v>
      </c>
      <c r="I1907" s="34" t="s">
        <v>14</v>
      </c>
      <c r="J1907" s="34" t="s">
        <v>1661</v>
      </c>
      <c r="K1907" s="34" t="s">
        <v>129</v>
      </c>
      <c r="L1907" s="4"/>
      <c r="M1907" s="4" t="s">
        <v>275</v>
      </c>
    </row>
    <row r="1908" spans="1:13" x14ac:dyDescent="0.25">
      <c r="A1908" s="34" t="s">
        <v>1436</v>
      </c>
      <c r="B1908" s="34" t="s">
        <v>0</v>
      </c>
      <c r="C1908" s="34" t="s">
        <v>88</v>
      </c>
      <c r="D1908" s="34" t="s">
        <v>89</v>
      </c>
      <c r="E1908" s="34" t="s">
        <v>20</v>
      </c>
      <c r="F1908" s="35">
        <v>43467</v>
      </c>
      <c r="G1908" s="35">
        <v>43551</v>
      </c>
      <c r="H1908" s="36">
        <v>0.47916666666666669</v>
      </c>
      <c r="I1908" s="34" t="s">
        <v>14</v>
      </c>
      <c r="J1908" s="34" t="s">
        <v>990</v>
      </c>
      <c r="K1908" s="34" t="s">
        <v>45</v>
      </c>
      <c r="L1908" s="4"/>
      <c r="M1908" s="4" t="s">
        <v>275</v>
      </c>
    </row>
    <row r="1909" spans="1:13" x14ac:dyDescent="0.25">
      <c r="A1909" s="34" t="s">
        <v>1436</v>
      </c>
      <c r="B1909" s="34" t="s">
        <v>0</v>
      </c>
      <c r="C1909" s="34" t="s">
        <v>88</v>
      </c>
      <c r="D1909" s="34" t="s">
        <v>89</v>
      </c>
      <c r="E1909" s="34" t="s">
        <v>22</v>
      </c>
      <c r="F1909" s="35">
        <v>43407</v>
      </c>
      <c r="G1909" s="35">
        <v>43554</v>
      </c>
      <c r="H1909" s="36">
        <v>0.4861111111111111</v>
      </c>
      <c r="I1909" s="34">
        <v>319</v>
      </c>
      <c r="J1909" s="34" t="s">
        <v>1662</v>
      </c>
      <c r="K1909" s="34" t="s">
        <v>45</v>
      </c>
      <c r="L1909" s="4"/>
      <c r="M1909" s="4" t="s">
        <v>275</v>
      </c>
    </row>
    <row r="1910" spans="1:13" x14ac:dyDescent="0.25">
      <c r="A1910" s="34" t="s">
        <v>1436</v>
      </c>
      <c r="B1910" s="34" t="s">
        <v>0</v>
      </c>
      <c r="C1910" s="34" t="s">
        <v>88</v>
      </c>
      <c r="D1910" s="34" t="s">
        <v>89</v>
      </c>
      <c r="E1910" s="34" t="s">
        <v>18</v>
      </c>
      <c r="F1910" s="35">
        <v>43478</v>
      </c>
      <c r="G1910" s="35">
        <v>43548</v>
      </c>
      <c r="H1910" s="36">
        <v>0.4861111111111111</v>
      </c>
      <c r="I1910" s="34">
        <v>319</v>
      </c>
      <c r="J1910" s="34" t="s">
        <v>1662</v>
      </c>
      <c r="K1910" s="34" t="s">
        <v>45</v>
      </c>
      <c r="L1910" s="4"/>
      <c r="M1910" s="4" t="s">
        <v>275</v>
      </c>
    </row>
    <row r="1911" spans="1:13" x14ac:dyDescent="0.25">
      <c r="A1911" s="34" t="s">
        <v>1436</v>
      </c>
      <c r="B1911" s="34" t="s">
        <v>0</v>
      </c>
      <c r="C1911" s="34" t="s">
        <v>88</v>
      </c>
      <c r="D1911" s="34" t="s">
        <v>89</v>
      </c>
      <c r="E1911" s="34" t="s">
        <v>13</v>
      </c>
      <c r="F1911" s="35">
        <v>43405</v>
      </c>
      <c r="G1911" s="35">
        <v>43552</v>
      </c>
      <c r="H1911" s="36">
        <v>0.49305555555555558</v>
      </c>
      <c r="I1911" s="34" t="s">
        <v>106</v>
      </c>
      <c r="J1911" s="34" t="s">
        <v>991</v>
      </c>
      <c r="K1911" s="34" t="s">
        <v>45</v>
      </c>
      <c r="L1911" s="4"/>
      <c r="M1911" s="4" t="s">
        <v>275</v>
      </c>
    </row>
    <row r="1912" spans="1:13" x14ac:dyDescent="0.25">
      <c r="A1912" s="34" t="s">
        <v>1436</v>
      </c>
      <c r="B1912" s="34" t="s">
        <v>0</v>
      </c>
      <c r="C1912" s="34" t="s">
        <v>88</v>
      </c>
      <c r="D1912" s="34" t="s">
        <v>89</v>
      </c>
      <c r="E1912" s="34" t="s">
        <v>18</v>
      </c>
      <c r="F1912" s="35">
        <v>43429</v>
      </c>
      <c r="G1912" s="35">
        <v>43548</v>
      </c>
      <c r="H1912" s="36">
        <v>0.52430555555555558</v>
      </c>
      <c r="I1912" s="34" t="s">
        <v>14</v>
      </c>
      <c r="J1912" s="34" t="s">
        <v>990</v>
      </c>
      <c r="K1912" s="34" t="s">
        <v>45</v>
      </c>
      <c r="L1912" s="4"/>
      <c r="M1912" s="4" t="s">
        <v>275</v>
      </c>
    </row>
    <row r="1913" spans="1:13" x14ac:dyDescent="0.25">
      <c r="A1913" s="34" t="s">
        <v>1436</v>
      </c>
      <c r="B1913" s="34" t="s">
        <v>0</v>
      </c>
      <c r="C1913" s="34" t="s">
        <v>88</v>
      </c>
      <c r="D1913" s="34" t="s">
        <v>89</v>
      </c>
      <c r="E1913" s="34" t="s">
        <v>22</v>
      </c>
      <c r="F1913" s="35">
        <v>43407</v>
      </c>
      <c r="G1913" s="35">
        <v>43554</v>
      </c>
      <c r="H1913" s="36">
        <v>0.8125</v>
      </c>
      <c r="I1913" s="34" t="s">
        <v>106</v>
      </c>
      <c r="J1913" s="34" t="s">
        <v>991</v>
      </c>
      <c r="K1913" s="34" t="s">
        <v>45</v>
      </c>
      <c r="L1913" s="4"/>
      <c r="M1913" s="4" t="s">
        <v>275</v>
      </c>
    </row>
    <row r="1914" spans="1:13" x14ac:dyDescent="0.25">
      <c r="A1914" s="34" t="s">
        <v>1436</v>
      </c>
      <c r="B1914" s="34" t="s">
        <v>0</v>
      </c>
      <c r="C1914" s="34" t="s">
        <v>512</v>
      </c>
      <c r="D1914" s="34" t="s">
        <v>513</v>
      </c>
      <c r="E1914" s="34" t="s">
        <v>228</v>
      </c>
      <c r="F1914" s="35">
        <v>43404</v>
      </c>
      <c r="G1914" s="35">
        <v>43552</v>
      </c>
      <c r="H1914" s="36">
        <v>0.29166666666666669</v>
      </c>
      <c r="I1914" s="34" t="s">
        <v>14</v>
      </c>
      <c r="J1914" s="34" t="s">
        <v>992</v>
      </c>
      <c r="K1914" s="34" t="s">
        <v>515</v>
      </c>
      <c r="L1914" s="4"/>
      <c r="M1914" s="4" t="s">
        <v>275</v>
      </c>
    </row>
    <row r="1915" spans="1:13" x14ac:dyDescent="0.25">
      <c r="A1915" s="34" t="s">
        <v>1436</v>
      </c>
      <c r="B1915" s="34" t="s">
        <v>0</v>
      </c>
      <c r="C1915" s="34" t="s">
        <v>512</v>
      </c>
      <c r="D1915" s="34" t="s">
        <v>513</v>
      </c>
      <c r="E1915" s="34" t="s">
        <v>22</v>
      </c>
      <c r="F1915" s="35">
        <v>43407</v>
      </c>
      <c r="G1915" s="35">
        <v>43554</v>
      </c>
      <c r="H1915" s="36">
        <v>0.33333333333333331</v>
      </c>
      <c r="I1915" s="34" t="s">
        <v>14</v>
      </c>
      <c r="J1915" s="34" t="s">
        <v>1663</v>
      </c>
      <c r="K1915" s="34" t="s">
        <v>515</v>
      </c>
      <c r="L1915" s="4"/>
      <c r="M1915" s="4" t="s">
        <v>275</v>
      </c>
    </row>
    <row r="1916" spans="1:13" x14ac:dyDescent="0.25">
      <c r="A1916" s="34" t="s">
        <v>1436</v>
      </c>
      <c r="B1916" s="34" t="s">
        <v>0</v>
      </c>
      <c r="C1916" s="34" t="s">
        <v>512</v>
      </c>
      <c r="D1916" s="34" t="s">
        <v>513</v>
      </c>
      <c r="E1916" s="34" t="s">
        <v>48</v>
      </c>
      <c r="F1916" s="35">
        <v>43441</v>
      </c>
      <c r="G1916" s="35">
        <v>43525</v>
      </c>
      <c r="H1916" s="36">
        <v>0.4375</v>
      </c>
      <c r="I1916" s="34" t="s">
        <v>14</v>
      </c>
      <c r="J1916" s="34" t="s">
        <v>1664</v>
      </c>
      <c r="K1916" s="34" t="s">
        <v>515</v>
      </c>
      <c r="L1916" s="4"/>
      <c r="M1916" s="4" t="s">
        <v>275</v>
      </c>
    </row>
    <row r="1917" spans="1:13" x14ac:dyDescent="0.25">
      <c r="A1917" s="34" t="s">
        <v>1436</v>
      </c>
      <c r="B1917" s="34" t="s">
        <v>0</v>
      </c>
      <c r="C1917" s="34" t="s">
        <v>512</v>
      </c>
      <c r="D1917" s="34" t="s">
        <v>513</v>
      </c>
      <c r="E1917" s="34" t="s">
        <v>18</v>
      </c>
      <c r="F1917" s="35">
        <v>43401</v>
      </c>
      <c r="G1917" s="35">
        <v>43548</v>
      </c>
      <c r="H1917" s="36">
        <v>0.49652777777777773</v>
      </c>
      <c r="I1917" s="34" t="s">
        <v>14</v>
      </c>
      <c r="J1917" s="34" t="s">
        <v>1665</v>
      </c>
      <c r="K1917" s="34" t="s">
        <v>515</v>
      </c>
      <c r="L1917" s="4"/>
      <c r="M1917" s="4" t="s">
        <v>275</v>
      </c>
    </row>
    <row r="1918" spans="1:13" x14ac:dyDescent="0.25">
      <c r="A1918" s="34" t="s">
        <v>1436</v>
      </c>
      <c r="B1918" s="34" t="s">
        <v>0</v>
      </c>
      <c r="C1918" s="34" t="s">
        <v>512</v>
      </c>
      <c r="D1918" s="34" t="s">
        <v>513</v>
      </c>
      <c r="E1918" s="34" t="s">
        <v>48</v>
      </c>
      <c r="F1918" s="35">
        <v>43406</v>
      </c>
      <c r="G1918" s="35">
        <v>43553</v>
      </c>
      <c r="H1918" s="36">
        <v>0.5</v>
      </c>
      <c r="I1918" s="34" t="s">
        <v>14</v>
      </c>
      <c r="J1918" s="34" t="s">
        <v>1665</v>
      </c>
      <c r="K1918" s="34" t="s">
        <v>515</v>
      </c>
      <c r="L1918" s="4"/>
      <c r="M1918" s="4" t="s">
        <v>275</v>
      </c>
    </row>
    <row r="1919" spans="1:13" x14ac:dyDescent="0.25">
      <c r="A1919" s="34" t="s">
        <v>1436</v>
      </c>
      <c r="B1919" s="34" t="s">
        <v>0</v>
      </c>
      <c r="C1919" s="34" t="s">
        <v>512</v>
      </c>
      <c r="D1919" s="34" t="s">
        <v>513</v>
      </c>
      <c r="E1919" s="34" t="s">
        <v>59</v>
      </c>
      <c r="F1919" s="35">
        <v>43402</v>
      </c>
      <c r="G1919" s="35">
        <v>43549</v>
      </c>
      <c r="H1919" s="36">
        <v>0.51388888888888895</v>
      </c>
      <c r="I1919" s="34" t="s">
        <v>14</v>
      </c>
      <c r="J1919" s="34" t="s">
        <v>992</v>
      </c>
      <c r="K1919" s="34" t="s">
        <v>515</v>
      </c>
      <c r="L1919" s="4"/>
      <c r="M1919" s="4" t="s">
        <v>275</v>
      </c>
    </row>
    <row r="1920" spans="1:13" x14ac:dyDescent="0.25">
      <c r="A1920" s="34" t="s">
        <v>1436</v>
      </c>
      <c r="B1920" s="34" t="s">
        <v>0</v>
      </c>
      <c r="C1920" s="34" t="s">
        <v>512</v>
      </c>
      <c r="D1920" s="34" t="s">
        <v>513</v>
      </c>
      <c r="E1920" s="34" t="s">
        <v>22</v>
      </c>
      <c r="F1920" s="35">
        <v>43505</v>
      </c>
      <c r="G1920" s="35">
        <v>43554</v>
      </c>
      <c r="H1920" s="36">
        <v>0.55208333333333337</v>
      </c>
      <c r="I1920" s="34">
        <v>321</v>
      </c>
      <c r="J1920" s="34" t="s">
        <v>1666</v>
      </c>
      <c r="K1920" s="34" t="s">
        <v>515</v>
      </c>
      <c r="L1920" s="4"/>
      <c r="M1920" s="4" t="s">
        <v>275</v>
      </c>
    </row>
    <row r="1921" spans="1:13" x14ac:dyDescent="0.25">
      <c r="A1921" s="34" t="s">
        <v>1436</v>
      </c>
      <c r="B1921" s="34" t="s">
        <v>0</v>
      </c>
      <c r="C1921" s="34" t="s">
        <v>512</v>
      </c>
      <c r="D1921" s="34" t="s">
        <v>513</v>
      </c>
      <c r="E1921" s="34" t="s">
        <v>19</v>
      </c>
      <c r="F1921" s="35">
        <v>43403</v>
      </c>
      <c r="G1921" s="35">
        <v>43550</v>
      </c>
      <c r="H1921" s="36">
        <v>0.625</v>
      </c>
      <c r="I1921" s="34" t="s">
        <v>14</v>
      </c>
      <c r="J1921" s="34" t="s">
        <v>1665</v>
      </c>
      <c r="K1921" s="34" t="s">
        <v>515</v>
      </c>
      <c r="L1921" s="4"/>
      <c r="M1921" s="4" t="s">
        <v>275</v>
      </c>
    </row>
    <row r="1922" spans="1:13" x14ac:dyDescent="0.25">
      <c r="A1922" s="34" t="s">
        <v>1436</v>
      </c>
      <c r="B1922" s="34" t="s">
        <v>0</v>
      </c>
      <c r="C1922" s="34" t="s">
        <v>512</v>
      </c>
      <c r="D1922" s="34" t="s">
        <v>513</v>
      </c>
      <c r="E1922" s="34" t="s">
        <v>18</v>
      </c>
      <c r="F1922" s="35">
        <v>43401</v>
      </c>
      <c r="G1922" s="35">
        <v>43548</v>
      </c>
      <c r="H1922" s="36">
        <v>0.98958333333333337</v>
      </c>
      <c r="I1922" s="34" t="s">
        <v>14</v>
      </c>
      <c r="J1922" s="34" t="s">
        <v>1667</v>
      </c>
      <c r="K1922" s="34" t="s">
        <v>515</v>
      </c>
      <c r="L1922" s="4"/>
      <c r="M1922" s="4" t="s">
        <v>275</v>
      </c>
    </row>
    <row r="1923" spans="1:13" x14ac:dyDescent="0.25">
      <c r="A1923" s="34" t="s">
        <v>1436</v>
      </c>
      <c r="B1923" s="34" t="s">
        <v>0</v>
      </c>
      <c r="C1923" s="34" t="s">
        <v>90</v>
      </c>
      <c r="D1923" s="34" t="s">
        <v>91</v>
      </c>
      <c r="E1923" s="34" t="s">
        <v>37</v>
      </c>
      <c r="F1923" s="35">
        <v>43402</v>
      </c>
      <c r="G1923" s="35">
        <v>43553</v>
      </c>
      <c r="H1923" s="36">
        <v>0.50347222222222221</v>
      </c>
      <c r="I1923" s="34">
        <v>320</v>
      </c>
      <c r="J1923" s="34" t="s">
        <v>1280</v>
      </c>
      <c r="K1923" s="34" t="s">
        <v>93</v>
      </c>
      <c r="L1923" s="4"/>
      <c r="M1923" s="4" t="s">
        <v>275</v>
      </c>
    </row>
    <row r="1924" spans="1:13" x14ac:dyDescent="0.25">
      <c r="A1924" s="34" t="s">
        <v>1436</v>
      </c>
      <c r="B1924" s="34" t="s">
        <v>0</v>
      </c>
      <c r="C1924" s="34" t="s">
        <v>90</v>
      </c>
      <c r="D1924" s="34" t="s">
        <v>91</v>
      </c>
      <c r="E1924" s="34" t="s">
        <v>48</v>
      </c>
      <c r="F1924" s="35">
        <v>43476</v>
      </c>
      <c r="G1924" s="35">
        <v>43518</v>
      </c>
      <c r="H1924" s="36">
        <v>0.59027777777777779</v>
      </c>
      <c r="I1924" s="34" t="s">
        <v>14</v>
      </c>
      <c r="J1924" s="34" t="s">
        <v>993</v>
      </c>
      <c r="K1924" s="34" t="s">
        <v>93</v>
      </c>
      <c r="L1924" s="4"/>
      <c r="M1924" s="4" t="s">
        <v>275</v>
      </c>
    </row>
    <row r="1925" spans="1:13" x14ac:dyDescent="0.25">
      <c r="A1925" s="34" t="s">
        <v>1436</v>
      </c>
      <c r="B1925" s="34" t="s">
        <v>0</v>
      </c>
      <c r="C1925" s="34" t="s">
        <v>518</v>
      </c>
      <c r="D1925" s="34" t="s">
        <v>519</v>
      </c>
      <c r="E1925" s="34" t="s">
        <v>13</v>
      </c>
      <c r="F1925" s="35">
        <v>43405</v>
      </c>
      <c r="G1925" s="35">
        <v>43552</v>
      </c>
      <c r="H1925" s="36">
        <v>0.49652777777777773</v>
      </c>
      <c r="I1925" s="34" t="s">
        <v>14</v>
      </c>
      <c r="J1925" s="34" t="s">
        <v>994</v>
      </c>
      <c r="K1925" s="34" t="s">
        <v>129</v>
      </c>
      <c r="L1925" s="4"/>
      <c r="M1925" s="4" t="s">
        <v>275</v>
      </c>
    </row>
    <row r="1926" spans="1:13" x14ac:dyDescent="0.25">
      <c r="A1926" s="34" t="s">
        <v>1436</v>
      </c>
      <c r="B1926" s="34" t="s">
        <v>0</v>
      </c>
      <c r="C1926" s="34" t="s">
        <v>518</v>
      </c>
      <c r="D1926" s="34" t="s">
        <v>519</v>
      </c>
      <c r="E1926" s="34" t="s">
        <v>18</v>
      </c>
      <c r="F1926" s="35">
        <v>43401</v>
      </c>
      <c r="G1926" s="35">
        <v>43548</v>
      </c>
      <c r="H1926" s="36">
        <v>0.6875</v>
      </c>
      <c r="I1926" s="34" t="s">
        <v>14</v>
      </c>
      <c r="J1926" s="34" t="s">
        <v>994</v>
      </c>
      <c r="K1926" s="34" t="s">
        <v>129</v>
      </c>
      <c r="L1926" s="4"/>
      <c r="M1926" s="4" t="s">
        <v>275</v>
      </c>
    </row>
    <row r="1927" spans="1:13" x14ac:dyDescent="0.25">
      <c r="A1927" s="34" t="s">
        <v>1436</v>
      </c>
      <c r="B1927" s="34" t="s">
        <v>0</v>
      </c>
      <c r="C1927" s="34" t="s">
        <v>346</v>
      </c>
      <c r="D1927" s="34" t="s">
        <v>347</v>
      </c>
      <c r="E1927" s="34" t="s">
        <v>13</v>
      </c>
      <c r="F1927" s="35">
        <v>43405</v>
      </c>
      <c r="G1927" s="35">
        <v>43552</v>
      </c>
      <c r="H1927" s="36">
        <v>0.72222222222222221</v>
      </c>
      <c r="I1927" s="34" t="s">
        <v>81</v>
      </c>
      <c r="J1927" s="34" t="s">
        <v>995</v>
      </c>
      <c r="K1927" s="34" t="s">
        <v>45</v>
      </c>
      <c r="L1927" s="4"/>
      <c r="M1927" s="4" t="s">
        <v>275</v>
      </c>
    </row>
    <row r="1928" spans="1:13" x14ac:dyDescent="0.25">
      <c r="A1928" s="34" t="s">
        <v>1436</v>
      </c>
      <c r="B1928" s="34" t="s">
        <v>0</v>
      </c>
      <c r="C1928" s="34" t="s">
        <v>346</v>
      </c>
      <c r="D1928" s="34" t="s">
        <v>347</v>
      </c>
      <c r="E1928" s="34" t="s">
        <v>18</v>
      </c>
      <c r="F1928" s="35">
        <v>43513</v>
      </c>
      <c r="G1928" s="35">
        <v>43548</v>
      </c>
      <c r="H1928" s="36">
        <v>0.72569444444444453</v>
      </c>
      <c r="I1928" s="34">
        <v>319</v>
      </c>
      <c r="J1928" s="34" t="s">
        <v>995</v>
      </c>
      <c r="K1928" s="34" t="s">
        <v>45</v>
      </c>
      <c r="L1928" s="4"/>
      <c r="M1928" s="4" t="s">
        <v>275</v>
      </c>
    </row>
    <row r="1929" spans="1:13" x14ac:dyDescent="0.25">
      <c r="A1929" s="34" t="s">
        <v>1436</v>
      </c>
      <c r="B1929" s="34" t="s">
        <v>0</v>
      </c>
      <c r="C1929" s="34" t="s">
        <v>96</v>
      </c>
      <c r="D1929" s="34" t="s">
        <v>97</v>
      </c>
      <c r="E1929" s="34" t="s">
        <v>13</v>
      </c>
      <c r="F1929" s="35">
        <v>43405</v>
      </c>
      <c r="G1929" s="35">
        <v>43552</v>
      </c>
      <c r="H1929" s="36">
        <v>0.46875</v>
      </c>
      <c r="I1929" s="34" t="s">
        <v>14</v>
      </c>
      <c r="J1929" s="34" t="s">
        <v>996</v>
      </c>
      <c r="K1929" s="34" t="s">
        <v>93</v>
      </c>
      <c r="L1929" s="4"/>
      <c r="M1929" s="4" t="s">
        <v>275</v>
      </c>
    </row>
    <row r="1930" spans="1:13" x14ac:dyDescent="0.25">
      <c r="A1930" s="34" t="s">
        <v>1436</v>
      </c>
      <c r="B1930" s="34" t="s">
        <v>0</v>
      </c>
      <c r="C1930" s="34" t="s">
        <v>96</v>
      </c>
      <c r="D1930" s="34" t="s">
        <v>97</v>
      </c>
      <c r="E1930" s="34" t="s">
        <v>18</v>
      </c>
      <c r="F1930" s="35">
        <v>43443</v>
      </c>
      <c r="G1930" s="35">
        <v>43548</v>
      </c>
      <c r="H1930" s="36">
        <v>0.51736111111111105</v>
      </c>
      <c r="I1930" s="34" t="s">
        <v>14</v>
      </c>
      <c r="J1930" s="34" t="s">
        <v>996</v>
      </c>
      <c r="K1930" s="34" t="s">
        <v>93</v>
      </c>
      <c r="L1930" s="4"/>
      <c r="M1930" s="4" t="s">
        <v>275</v>
      </c>
    </row>
    <row r="1931" spans="1:13" x14ac:dyDescent="0.25">
      <c r="A1931" s="34" t="s">
        <v>1436</v>
      </c>
      <c r="B1931" s="34" t="s">
        <v>0</v>
      </c>
      <c r="C1931" s="34" t="s">
        <v>96</v>
      </c>
      <c r="D1931" s="34" t="s">
        <v>97</v>
      </c>
      <c r="E1931" s="34" t="s">
        <v>22</v>
      </c>
      <c r="F1931" s="35">
        <v>43407</v>
      </c>
      <c r="G1931" s="35">
        <v>43554</v>
      </c>
      <c r="H1931" s="36">
        <v>0.56597222222222221</v>
      </c>
      <c r="I1931" s="34" t="s">
        <v>14</v>
      </c>
      <c r="J1931" s="34" t="s">
        <v>996</v>
      </c>
      <c r="K1931" s="34" t="s">
        <v>93</v>
      </c>
      <c r="L1931" s="4"/>
      <c r="M1931" s="4" t="s">
        <v>275</v>
      </c>
    </row>
    <row r="1932" spans="1:13" x14ac:dyDescent="0.25">
      <c r="A1932" s="34" t="s">
        <v>1436</v>
      </c>
      <c r="B1932" s="34" t="s">
        <v>0</v>
      </c>
      <c r="C1932" s="34" t="s">
        <v>96</v>
      </c>
      <c r="D1932" s="34" t="s">
        <v>97</v>
      </c>
      <c r="E1932" s="34" t="s">
        <v>22</v>
      </c>
      <c r="F1932" s="35">
        <v>43407</v>
      </c>
      <c r="G1932" s="35">
        <v>43547</v>
      </c>
      <c r="H1932" s="36">
        <v>0.77777777777777779</v>
      </c>
      <c r="I1932" s="34">
        <v>320</v>
      </c>
      <c r="J1932" s="34" t="s">
        <v>997</v>
      </c>
      <c r="K1932" s="34" t="s">
        <v>93</v>
      </c>
      <c r="L1932" s="4"/>
      <c r="M1932" s="4" t="s">
        <v>275</v>
      </c>
    </row>
    <row r="1933" spans="1:13" x14ac:dyDescent="0.25">
      <c r="A1933" s="34" t="s">
        <v>1436</v>
      </c>
      <c r="B1933" s="34" t="s">
        <v>0</v>
      </c>
      <c r="C1933" s="34" t="s">
        <v>96</v>
      </c>
      <c r="D1933" s="34" t="s">
        <v>97</v>
      </c>
      <c r="E1933" s="34" t="s">
        <v>1847</v>
      </c>
      <c r="F1933" s="35">
        <v>43465</v>
      </c>
      <c r="G1933" s="35">
        <v>43549</v>
      </c>
      <c r="H1933" s="36">
        <v>0.77777777777777779</v>
      </c>
      <c r="I1933" s="34">
        <v>320</v>
      </c>
      <c r="J1933" s="34" t="s">
        <v>997</v>
      </c>
      <c r="K1933" s="34" t="s">
        <v>93</v>
      </c>
      <c r="L1933" s="4"/>
      <c r="M1933" s="4" t="s">
        <v>275</v>
      </c>
    </row>
    <row r="1934" spans="1:13" x14ac:dyDescent="0.25">
      <c r="A1934" s="34" t="s">
        <v>1436</v>
      </c>
      <c r="B1934" s="34" t="s">
        <v>0</v>
      </c>
      <c r="C1934" s="34" t="s">
        <v>96</v>
      </c>
      <c r="D1934" s="34" t="s">
        <v>97</v>
      </c>
      <c r="E1934" s="34" t="s">
        <v>18</v>
      </c>
      <c r="F1934" s="35">
        <v>43513</v>
      </c>
      <c r="G1934" s="35">
        <v>43548</v>
      </c>
      <c r="H1934" s="36">
        <v>0.77777777777777779</v>
      </c>
      <c r="I1934" s="34">
        <v>320</v>
      </c>
      <c r="J1934" s="34" t="s">
        <v>997</v>
      </c>
      <c r="K1934" s="34" t="s">
        <v>93</v>
      </c>
      <c r="L1934" s="4"/>
      <c r="M1934" s="4" t="s">
        <v>275</v>
      </c>
    </row>
    <row r="1935" spans="1:13" x14ac:dyDescent="0.25">
      <c r="A1935" s="34" t="s">
        <v>1436</v>
      </c>
      <c r="B1935" s="34" t="s">
        <v>0</v>
      </c>
      <c r="C1935" s="34" t="s">
        <v>96</v>
      </c>
      <c r="D1935" s="34" t="s">
        <v>97</v>
      </c>
      <c r="E1935" s="34" t="s">
        <v>132</v>
      </c>
      <c r="F1935" s="35">
        <v>43404</v>
      </c>
      <c r="G1935" s="35">
        <v>43553</v>
      </c>
      <c r="H1935" s="36">
        <v>0.80555555555555547</v>
      </c>
      <c r="I1935" s="34" t="s">
        <v>14</v>
      </c>
      <c r="J1935" s="34" t="s">
        <v>996</v>
      </c>
      <c r="K1935" s="34" t="s">
        <v>93</v>
      </c>
      <c r="L1935" s="4"/>
      <c r="M1935" s="4" t="s">
        <v>275</v>
      </c>
    </row>
    <row r="1936" spans="1:13" x14ac:dyDescent="0.25">
      <c r="A1936" s="34" t="s">
        <v>1436</v>
      </c>
      <c r="B1936" s="34" t="s">
        <v>0</v>
      </c>
      <c r="C1936" s="34" t="s">
        <v>96</v>
      </c>
      <c r="D1936" s="34" t="s">
        <v>97</v>
      </c>
      <c r="E1936" s="34" t="s">
        <v>146</v>
      </c>
      <c r="F1936" s="35">
        <v>43466</v>
      </c>
      <c r="G1936" s="35">
        <v>43550</v>
      </c>
      <c r="H1936" s="36">
        <v>0.80555555555555547</v>
      </c>
      <c r="I1936" s="34" t="s">
        <v>14</v>
      </c>
      <c r="J1936" s="34" t="s">
        <v>996</v>
      </c>
      <c r="K1936" s="34" t="s">
        <v>93</v>
      </c>
      <c r="L1936" s="4"/>
      <c r="M1936" s="4" t="s">
        <v>275</v>
      </c>
    </row>
    <row r="1937" spans="1:13" x14ac:dyDescent="0.25">
      <c r="A1937" s="34" t="s">
        <v>1436</v>
      </c>
      <c r="B1937" s="34" t="s">
        <v>0</v>
      </c>
      <c r="C1937" s="34" t="s">
        <v>102</v>
      </c>
      <c r="D1937" s="34" t="s">
        <v>103</v>
      </c>
      <c r="E1937" s="34" t="s">
        <v>419</v>
      </c>
      <c r="F1937" s="35">
        <v>43401</v>
      </c>
      <c r="G1937" s="35">
        <v>43554</v>
      </c>
      <c r="H1937" s="36">
        <v>0.42708333333333331</v>
      </c>
      <c r="I1937" s="34" t="s">
        <v>14</v>
      </c>
      <c r="J1937" s="34" t="s">
        <v>1668</v>
      </c>
      <c r="K1937" s="34" t="s">
        <v>45</v>
      </c>
      <c r="L1937" s="4"/>
      <c r="M1937" s="4" t="s">
        <v>275</v>
      </c>
    </row>
    <row r="1938" spans="1:13" x14ac:dyDescent="0.25">
      <c r="A1938" s="34" t="s">
        <v>1436</v>
      </c>
      <c r="B1938" s="34" t="s">
        <v>0</v>
      </c>
      <c r="C1938" s="34" t="s">
        <v>102</v>
      </c>
      <c r="D1938" s="34" t="s">
        <v>103</v>
      </c>
      <c r="E1938" s="34" t="s">
        <v>13</v>
      </c>
      <c r="F1938" s="35">
        <v>43405</v>
      </c>
      <c r="G1938" s="35">
        <v>43552</v>
      </c>
      <c r="H1938" s="36">
        <v>0.43402777777777773</v>
      </c>
      <c r="I1938" s="34" t="s">
        <v>14</v>
      </c>
      <c r="J1938" s="34" t="s">
        <v>1668</v>
      </c>
      <c r="K1938" s="34" t="s">
        <v>45</v>
      </c>
      <c r="L1938" s="4"/>
      <c r="M1938" s="4" t="s">
        <v>275</v>
      </c>
    </row>
    <row r="1939" spans="1:13" x14ac:dyDescent="0.25">
      <c r="A1939" s="34" t="s">
        <v>1436</v>
      </c>
      <c r="B1939" s="34" t="s">
        <v>0</v>
      </c>
      <c r="C1939" s="34" t="s">
        <v>102</v>
      </c>
      <c r="D1939" s="34" t="s">
        <v>103</v>
      </c>
      <c r="E1939" s="34" t="s">
        <v>59</v>
      </c>
      <c r="F1939" s="35">
        <v>43465</v>
      </c>
      <c r="G1939" s="35">
        <v>43549</v>
      </c>
      <c r="H1939" s="36">
        <v>0.43402777777777773</v>
      </c>
      <c r="I1939" s="34" t="s">
        <v>14</v>
      </c>
      <c r="J1939" s="34" t="s">
        <v>1668</v>
      </c>
      <c r="K1939" s="34" t="s">
        <v>45</v>
      </c>
      <c r="L1939" s="4"/>
      <c r="M1939" s="4" t="s">
        <v>275</v>
      </c>
    </row>
    <row r="1940" spans="1:13" x14ac:dyDescent="0.25">
      <c r="A1940" s="34" t="s">
        <v>1436</v>
      </c>
      <c r="B1940" s="34" t="s">
        <v>0</v>
      </c>
      <c r="C1940" s="34" t="s">
        <v>102</v>
      </c>
      <c r="D1940" s="34" t="s">
        <v>103</v>
      </c>
      <c r="E1940" s="34" t="s">
        <v>13</v>
      </c>
      <c r="F1940" s="35">
        <v>43503</v>
      </c>
      <c r="G1940" s="35">
        <v>43552</v>
      </c>
      <c r="H1940" s="36">
        <v>0.44444444444444442</v>
      </c>
      <c r="I1940" s="34" t="s">
        <v>106</v>
      </c>
      <c r="J1940" s="34" t="s">
        <v>999</v>
      </c>
      <c r="K1940" s="34" t="s">
        <v>45</v>
      </c>
      <c r="L1940" s="4"/>
      <c r="M1940" s="4" t="s">
        <v>275</v>
      </c>
    </row>
    <row r="1941" spans="1:13" x14ac:dyDescent="0.25">
      <c r="A1941" s="34" t="s">
        <v>1436</v>
      </c>
      <c r="B1941" s="34" t="s">
        <v>0</v>
      </c>
      <c r="C1941" s="34" t="s">
        <v>102</v>
      </c>
      <c r="D1941" s="34" t="s">
        <v>103</v>
      </c>
      <c r="E1941" s="34" t="s">
        <v>22</v>
      </c>
      <c r="F1941" s="35">
        <v>43505</v>
      </c>
      <c r="G1941" s="35">
        <v>43512</v>
      </c>
      <c r="H1941" s="36">
        <v>0.44444444444444442</v>
      </c>
      <c r="I1941" s="34" t="s">
        <v>106</v>
      </c>
      <c r="J1941" s="34" t="s">
        <v>999</v>
      </c>
      <c r="K1941" s="34" t="s">
        <v>45</v>
      </c>
      <c r="L1941" s="4"/>
      <c r="M1941" s="4" t="s">
        <v>275</v>
      </c>
    </row>
    <row r="1942" spans="1:13" x14ac:dyDescent="0.25">
      <c r="A1942" s="34" t="s">
        <v>1436</v>
      </c>
      <c r="B1942" s="34" t="s">
        <v>0</v>
      </c>
      <c r="C1942" s="34" t="s">
        <v>102</v>
      </c>
      <c r="D1942" s="34" t="s">
        <v>103</v>
      </c>
      <c r="E1942" s="34" t="s">
        <v>22</v>
      </c>
      <c r="F1942" s="35">
        <v>43442</v>
      </c>
      <c r="G1942" s="35">
        <v>43554</v>
      </c>
      <c r="H1942" s="36">
        <v>0.45833333333333331</v>
      </c>
      <c r="I1942" s="34" t="s">
        <v>39</v>
      </c>
      <c r="J1942" s="34" t="s">
        <v>1000</v>
      </c>
      <c r="K1942" s="34" t="s">
        <v>45</v>
      </c>
      <c r="L1942" s="4"/>
      <c r="M1942" s="4" t="s">
        <v>275</v>
      </c>
    </row>
    <row r="1943" spans="1:13" x14ac:dyDescent="0.25">
      <c r="A1943" s="34" t="s">
        <v>1436</v>
      </c>
      <c r="B1943" s="34" t="s">
        <v>0</v>
      </c>
      <c r="C1943" s="34" t="s">
        <v>102</v>
      </c>
      <c r="D1943" s="34" t="s">
        <v>103</v>
      </c>
      <c r="E1943" s="34" t="s">
        <v>59</v>
      </c>
      <c r="F1943" s="35">
        <v>43500</v>
      </c>
      <c r="G1943" s="35">
        <v>43521</v>
      </c>
      <c r="H1943" s="36">
        <v>0.50694444444444442</v>
      </c>
      <c r="I1943" s="34" t="s">
        <v>39</v>
      </c>
      <c r="J1943" s="34" t="s">
        <v>1000</v>
      </c>
      <c r="K1943" s="34" t="s">
        <v>45</v>
      </c>
      <c r="L1943" s="4"/>
      <c r="M1943" s="4" t="s">
        <v>275</v>
      </c>
    </row>
    <row r="1944" spans="1:13" x14ac:dyDescent="0.25">
      <c r="A1944" s="34" t="s">
        <v>1436</v>
      </c>
      <c r="B1944" s="34" t="s">
        <v>0</v>
      </c>
      <c r="C1944" s="34" t="s">
        <v>102</v>
      </c>
      <c r="D1944" s="34" t="s">
        <v>103</v>
      </c>
      <c r="E1944" s="34" t="s">
        <v>22</v>
      </c>
      <c r="F1944" s="35">
        <v>43407</v>
      </c>
      <c r="G1944" s="35">
        <v>43547</v>
      </c>
      <c r="H1944" s="36">
        <v>0.53472222222222221</v>
      </c>
      <c r="I1944" s="34" t="s">
        <v>14</v>
      </c>
      <c r="J1944" s="34" t="s">
        <v>998</v>
      </c>
      <c r="K1944" s="34" t="s">
        <v>45</v>
      </c>
      <c r="L1944" s="4"/>
      <c r="M1944" s="4" t="s">
        <v>275</v>
      </c>
    </row>
    <row r="1945" spans="1:13" x14ac:dyDescent="0.25">
      <c r="A1945" s="34" t="s">
        <v>1436</v>
      </c>
      <c r="B1945" s="34" t="s">
        <v>0</v>
      </c>
      <c r="C1945" s="34" t="s">
        <v>102</v>
      </c>
      <c r="D1945" s="34" t="s">
        <v>103</v>
      </c>
      <c r="E1945" s="34" t="s">
        <v>22</v>
      </c>
      <c r="F1945" s="35">
        <v>43407</v>
      </c>
      <c r="G1945" s="35">
        <v>43554</v>
      </c>
      <c r="H1945" s="36">
        <v>0.54513888888888895</v>
      </c>
      <c r="I1945" s="34" t="s">
        <v>352</v>
      </c>
      <c r="J1945" s="34" t="s">
        <v>1669</v>
      </c>
      <c r="K1945" s="34" t="s">
        <v>45</v>
      </c>
      <c r="L1945" s="4"/>
      <c r="M1945" s="4" t="s">
        <v>275</v>
      </c>
    </row>
    <row r="1946" spans="1:13" x14ac:dyDescent="0.25">
      <c r="A1946" s="34" t="s">
        <v>1436</v>
      </c>
      <c r="B1946" s="34" t="s">
        <v>0</v>
      </c>
      <c r="C1946" s="34" t="s">
        <v>102</v>
      </c>
      <c r="D1946" s="34" t="s">
        <v>103</v>
      </c>
      <c r="E1946" s="34" t="s">
        <v>19</v>
      </c>
      <c r="F1946" s="35">
        <v>43494</v>
      </c>
      <c r="G1946" s="35">
        <v>43550</v>
      </c>
      <c r="H1946" s="36">
        <v>0.54513888888888895</v>
      </c>
      <c r="I1946" s="34" t="s">
        <v>352</v>
      </c>
      <c r="J1946" s="34" t="s">
        <v>1669</v>
      </c>
      <c r="K1946" s="34" t="s">
        <v>45</v>
      </c>
      <c r="L1946" s="4"/>
      <c r="M1946" s="4" t="s">
        <v>275</v>
      </c>
    </row>
    <row r="1947" spans="1:13" x14ac:dyDescent="0.25">
      <c r="A1947" s="34" t="s">
        <v>1436</v>
      </c>
      <c r="B1947" s="34" t="s">
        <v>0</v>
      </c>
      <c r="C1947" s="34" t="s">
        <v>102</v>
      </c>
      <c r="D1947" s="34" t="s">
        <v>103</v>
      </c>
      <c r="E1947" s="34" t="s">
        <v>143</v>
      </c>
      <c r="F1947" s="35">
        <v>43497</v>
      </c>
      <c r="G1947" s="35">
        <v>43553</v>
      </c>
      <c r="H1947" s="36">
        <v>0.54861111111111105</v>
      </c>
      <c r="I1947" s="34" t="s">
        <v>352</v>
      </c>
      <c r="J1947" s="34" t="s">
        <v>1669</v>
      </c>
      <c r="K1947" s="34" t="s">
        <v>45</v>
      </c>
      <c r="L1947" s="4"/>
      <c r="M1947" s="4" t="s">
        <v>275</v>
      </c>
    </row>
    <row r="1948" spans="1:13" x14ac:dyDescent="0.25">
      <c r="A1948" s="34" t="s">
        <v>1436</v>
      </c>
      <c r="B1948" s="34" t="s">
        <v>0</v>
      </c>
      <c r="C1948" s="34" t="s">
        <v>102</v>
      </c>
      <c r="D1948" s="34" t="s">
        <v>103</v>
      </c>
      <c r="E1948" s="34" t="s">
        <v>20</v>
      </c>
      <c r="F1948" s="35">
        <v>43509</v>
      </c>
      <c r="G1948" s="35">
        <v>43551</v>
      </c>
      <c r="H1948" s="36">
        <v>0.54861111111111105</v>
      </c>
      <c r="I1948" s="34" t="s">
        <v>352</v>
      </c>
      <c r="J1948" s="34" t="s">
        <v>1669</v>
      </c>
      <c r="K1948" s="34" t="s">
        <v>45</v>
      </c>
      <c r="L1948" s="4"/>
      <c r="M1948" s="4" t="s">
        <v>275</v>
      </c>
    </row>
    <row r="1949" spans="1:13" x14ac:dyDescent="0.25">
      <c r="A1949" s="34" t="s">
        <v>1436</v>
      </c>
      <c r="B1949" s="34" t="s">
        <v>0</v>
      </c>
      <c r="C1949" s="34" t="s">
        <v>102</v>
      </c>
      <c r="D1949" s="34" t="s">
        <v>103</v>
      </c>
      <c r="E1949" s="34" t="s">
        <v>20</v>
      </c>
      <c r="F1949" s="35">
        <v>43495</v>
      </c>
      <c r="G1949" s="35">
        <v>43523</v>
      </c>
      <c r="H1949" s="36">
        <v>0.57291666666666663</v>
      </c>
      <c r="I1949" s="34">
        <v>320</v>
      </c>
      <c r="J1949" s="34" t="s">
        <v>1000</v>
      </c>
      <c r="K1949" s="34" t="s">
        <v>45</v>
      </c>
      <c r="L1949" s="4"/>
      <c r="M1949" s="4" t="s">
        <v>275</v>
      </c>
    </row>
    <row r="1950" spans="1:13" x14ac:dyDescent="0.25">
      <c r="A1950" s="34" t="s">
        <v>1436</v>
      </c>
      <c r="B1950" s="34" t="s">
        <v>0</v>
      </c>
      <c r="C1950" s="34" t="s">
        <v>102</v>
      </c>
      <c r="D1950" s="34" t="s">
        <v>103</v>
      </c>
      <c r="E1950" s="34" t="s">
        <v>20</v>
      </c>
      <c r="F1950" s="35">
        <v>43404</v>
      </c>
      <c r="G1950" s="35">
        <v>43551</v>
      </c>
      <c r="H1950" s="36">
        <v>0.60416666666666663</v>
      </c>
      <c r="I1950" s="34" t="s">
        <v>14</v>
      </c>
      <c r="J1950" s="34" t="s">
        <v>998</v>
      </c>
      <c r="K1950" s="34" t="s">
        <v>45</v>
      </c>
      <c r="L1950" s="4"/>
      <c r="M1950" s="4" t="s">
        <v>275</v>
      </c>
    </row>
    <row r="1951" spans="1:13" x14ac:dyDescent="0.25">
      <c r="A1951" s="34" t="s">
        <v>1436</v>
      </c>
      <c r="B1951" s="34" t="s">
        <v>0</v>
      </c>
      <c r="C1951" s="34" t="s">
        <v>102</v>
      </c>
      <c r="D1951" s="34" t="s">
        <v>103</v>
      </c>
      <c r="E1951" s="34" t="s">
        <v>19</v>
      </c>
      <c r="F1951" s="35">
        <v>43466</v>
      </c>
      <c r="G1951" s="35">
        <v>43550</v>
      </c>
      <c r="H1951" s="36">
        <v>0.69791666666666663</v>
      </c>
      <c r="I1951" s="34" t="s">
        <v>14</v>
      </c>
      <c r="J1951" s="34" t="s">
        <v>1668</v>
      </c>
      <c r="K1951" s="34" t="s">
        <v>45</v>
      </c>
      <c r="L1951" s="4"/>
      <c r="M1951" s="4" t="s">
        <v>275</v>
      </c>
    </row>
    <row r="1952" spans="1:13" x14ac:dyDescent="0.25">
      <c r="A1952" s="34" t="s">
        <v>1436</v>
      </c>
      <c r="B1952" s="34" t="s">
        <v>0</v>
      </c>
      <c r="C1952" s="34" t="s">
        <v>102</v>
      </c>
      <c r="D1952" s="34" t="s">
        <v>103</v>
      </c>
      <c r="E1952" s="34" t="s">
        <v>48</v>
      </c>
      <c r="F1952" s="35">
        <v>43483</v>
      </c>
      <c r="G1952" s="35">
        <v>43511</v>
      </c>
      <c r="H1952" s="36">
        <v>0.70486111111111116</v>
      </c>
      <c r="I1952" s="34" t="s">
        <v>39</v>
      </c>
      <c r="J1952" s="34" t="s">
        <v>1000</v>
      </c>
      <c r="K1952" s="34" t="s">
        <v>45</v>
      </c>
      <c r="L1952" s="4"/>
      <c r="M1952" s="4" t="s">
        <v>275</v>
      </c>
    </row>
    <row r="1953" spans="1:13" x14ac:dyDescent="0.25">
      <c r="A1953" s="34" t="s">
        <v>1436</v>
      </c>
      <c r="B1953" s="34" t="s">
        <v>0</v>
      </c>
      <c r="C1953" s="34" t="s">
        <v>102</v>
      </c>
      <c r="D1953" s="34" t="s">
        <v>103</v>
      </c>
      <c r="E1953" s="34" t="s">
        <v>18</v>
      </c>
      <c r="F1953" s="35">
        <v>43485</v>
      </c>
      <c r="G1953" s="35">
        <v>43548</v>
      </c>
      <c r="H1953" s="36">
        <v>0.70486111111111116</v>
      </c>
      <c r="I1953" s="34" t="s">
        <v>39</v>
      </c>
      <c r="J1953" s="34" t="s">
        <v>1000</v>
      </c>
      <c r="K1953" s="34" t="s">
        <v>45</v>
      </c>
      <c r="L1953" s="4"/>
      <c r="M1953" s="4" t="s">
        <v>275</v>
      </c>
    </row>
    <row r="1954" spans="1:13" x14ac:dyDescent="0.25">
      <c r="A1954" s="34" t="s">
        <v>1436</v>
      </c>
      <c r="B1954" s="34" t="s">
        <v>0</v>
      </c>
      <c r="C1954" s="34" t="s">
        <v>102</v>
      </c>
      <c r="D1954" s="34" t="s">
        <v>103</v>
      </c>
      <c r="E1954" s="34" t="s">
        <v>20</v>
      </c>
      <c r="F1954" s="35">
        <v>43460</v>
      </c>
      <c r="G1954" s="35">
        <v>43551</v>
      </c>
      <c r="H1954" s="36">
        <v>0.72222222222222221</v>
      </c>
      <c r="I1954" s="34" t="s">
        <v>106</v>
      </c>
      <c r="J1954" s="34" t="s">
        <v>999</v>
      </c>
      <c r="K1954" s="34" t="s">
        <v>45</v>
      </c>
      <c r="L1954" s="4"/>
      <c r="M1954" s="4" t="s">
        <v>275</v>
      </c>
    </row>
    <row r="1955" spans="1:13" x14ac:dyDescent="0.25">
      <c r="A1955" s="34" t="s">
        <v>1436</v>
      </c>
      <c r="B1955" s="34" t="s">
        <v>0</v>
      </c>
      <c r="C1955" s="34" t="s">
        <v>102</v>
      </c>
      <c r="D1955" s="34" t="s">
        <v>103</v>
      </c>
      <c r="E1955" s="34" t="s">
        <v>19</v>
      </c>
      <c r="F1955" s="35">
        <v>43473</v>
      </c>
      <c r="G1955" s="35">
        <v>43508</v>
      </c>
      <c r="H1955" s="36">
        <v>0.72222222222222221</v>
      </c>
      <c r="I1955" s="34" t="s">
        <v>106</v>
      </c>
      <c r="J1955" s="34" t="s">
        <v>999</v>
      </c>
      <c r="K1955" s="34" t="s">
        <v>45</v>
      </c>
      <c r="L1955" s="4"/>
      <c r="M1955" s="4" t="s">
        <v>275</v>
      </c>
    </row>
    <row r="1956" spans="1:13" x14ac:dyDescent="0.25">
      <c r="A1956" s="34" t="s">
        <v>1436</v>
      </c>
      <c r="B1956" s="34" t="s">
        <v>0</v>
      </c>
      <c r="C1956" s="34" t="s">
        <v>107</v>
      </c>
      <c r="D1956" s="34" t="s">
        <v>108</v>
      </c>
      <c r="E1956" s="34" t="s">
        <v>22</v>
      </c>
      <c r="F1956" s="35">
        <v>43470</v>
      </c>
      <c r="G1956" s="35">
        <v>43554</v>
      </c>
      <c r="H1956" s="36">
        <v>0.52083333333333337</v>
      </c>
      <c r="I1956" s="34" t="s">
        <v>14</v>
      </c>
      <c r="J1956" s="34" t="s">
        <v>1001</v>
      </c>
      <c r="K1956" s="34" t="s">
        <v>38</v>
      </c>
      <c r="L1956" s="4"/>
      <c r="M1956" s="4" t="s">
        <v>275</v>
      </c>
    </row>
    <row r="1957" spans="1:13" x14ac:dyDescent="0.25">
      <c r="A1957" s="34" t="s">
        <v>1436</v>
      </c>
      <c r="B1957" s="34" t="s">
        <v>0</v>
      </c>
      <c r="C1957" s="34" t="s">
        <v>107</v>
      </c>
      <c r="D1957" s="34" t="s">
        <v>108</v>
      </c>
      <c r="E1957" s="34" t="s">
        <v>48</v>
      </c>
      <c r="F1957" s="35">
        <v>43476</v>
      </c>
      <c r="G1957" s="35">
        <v>43553</v>
      </c>
      <c r="H1957" s="36">
        <v>0.53819444444444442</v>
      </c>
      <c r="I1957" s="34" t="s">
        <v>14</v>
      </c>
      <c r="J1957" s="34" t="s">
        <v>1001</v>
      </c>
      <c r="K1957" s="34" t="s">
        <v>38</v>
      </c>
      <c r="L1957" s="4"/>
      <c r="M1957" s="4" t="s">
        <v>275</v>
      </c>
    </row>
    <row r="1958" spans="1:13" x14ac:dyDescent="0.25">
      <c r="A1958" s="34" t="s">
        <v>1436</v>
      </c>
      <c r="B1958" s="34" t="s">
        <v>0</v>
      </c>
      <c r="C1958" s="34" t="s">
        <v>107</v>
      </c>
      <c r="D1958" s="34" t="s">
        <v>108</v>
      </c>
      <c r="E1958" s="34" t="s">
        <v>13</v>
      </c>
      <c r="F1958" s="35">
        <v>43412</v>
      </c>
      <c r="G1958" s="35">
        <v>43552</v>
      </c>
      <c r="H1958" s="36">
        <v>0.59375</v>
      </c>
      <c r="I1958" s="34" t="s">
        <v>14</v>
      </c>
      <c r="J1958" s="34" t="s">
        <v>1003</v>
      </c>
      <c r="K1958" s="34" t="s">
        <v>38</v>
      </c>
      <c r="L1958" s="4"/>
      <c r="M1958" s="4" t="s">
        <v>275</v>
      </c>
    </row>
    <row r="1959" spans="1:13" x14ac:dyDescent="0.25">
      <c r="A1959" s="34" t="s">
        <v>1436</v>
      </c>
      <c r="B1959" s="34" t="s">
        <v>0</v>
      </c>
      <c r="C1959" s="34" t="s">
        <v>107</v>
      </c>
      <c r="D1959" s="34" t="s">
        <v>108</v>
      </c>
      <c r="E1959" s="34" t="s">
        <v>59</v>
      </c>
      <c r="F1959" s="35">
        <v>43472</v>
      </c>
      <c r="G1959" s="35">
        <v>43549</v>
      </c>
      <c r="H1959" s="36">
        <v>0.60763888888888895</v>
      </c>
      <c r="I1959" s="34" t="s">
        <v>14</v>
      </c>
      <c r="J1959" s="34" t="s">
        <v>1003</v>
      </c>
      <c r="K1959" s="34" t="s">
        <v>38</v>
      </c>
      <c r="L1959" s="4"/>
      <c r="M1959" s="4" t="s">
        <v>275</v>
      </c>
    </row>
    <row r="1960" spans="1:13" x14ac:dyDescent="0.25">
      <c r="A1960" s="34" t="s">
        <v>1436</v>
      </c>
      <c r="B1960" s="34" t="s">
        <v>0</v>
      </c>
      <c r="C1960" s="34" t="s">
        <v>107</v>
      </c>
      <c r="D1960" s="34" t="s">
        <v>108</v>
      </c>
      <c r="E1960" s="34" t="s">
        <v>22</v>
      </c>
      <c r="F1960" s="35">
        <v>43407</v>
      </c>
      <c r="G1960" s="35">
        <v>43547</v>
      </c>
      <c r="H1960" s="36">
        <v>0.61458333333333337</v>
      </c>
      <c r="I1960" s="34" t="s">
        <v>39</v>
      </c>
      <c r="J1960" s="34" t="s">
        <v>1004</v>
      </c>
      <c r="K1960" s="34" t="s">
        <v>38</v>
      </c>
      <c r="L1960" s="4"/>
      <c r="M1960" s="4" t="s">
        <v>275</v>
      </c>
    </row>
    <row r="1961" spans="1:13" x14ac:dyDescent="0.25">
      <c r="A1961" s="34" t="s">
        <v>1436</v>
      </c>
      <c r="B1961" s="34" t="s">
        <v>0</v>
      </c>
      <c r="C1961" s="34" t="s">
        <v>107</v>
      </c>
      <c r="D1961" s="34" t="s">
        <v>108</v>
      </c>
      <c r="E1961" s="34" t="s">
        <v>22</v>
      </c>
      <c r="F1961" s="35">
        <v>43414</v>
      </c>
      <c r="G1961" s="35">
        <v>43554</v>
      </c>
      <c r="H1961" s="36">
        <v>0.62152777777777779</v>
      </c>
      <c r="I1961" s="34" t="s">
        <v>14</v>
      </c>
      <c r="J1961" s="34" t="s">
        <v>1003</v>
      </c>
      <c r="K1961" s="34" t="s">
        <v>38</v>
      </c>
      <c r="L1961" s="4"/>
      <c r="M1961" s="4" t="s">
        <v>275</v>
      </c>
    </row>
    <row r="1962" spans="1:13" x14ac:dyDescent="0.25">
      <c r="A1962" s="34" t="s">
        <v>1436</v>
      </c>
      <c r="B1962" s="34" t="s">
        <v>0</v>
      </c>
      <c r="C1962" s="34" t="s">
        <v>107</v>
      </c>
      <c r="D1962" s="34" t="s">
        <v>108</v>
      </c>
      <c r="E1962" s="34" t="s">
        <v>48</v>
      </c>
      <c r="F1962" s="35">
        <v>43406</v>
      </c>
      <c r="G1962" s="35">
        <v>43553</v>
      </c>
      <c r="H1962" s="36">
        <v>0.64583333333333337</v>
      </c>
      <c r="I1962" s="34" t="s">
        <v>39</v>
      </c>
      <c r="J1962" s="34" t="s">
        <v>1002</v>
      </c>
      <c r="K1962" s="34" t="s">
        <v>38</v>
      </c>
      <c r="L1962" s="4"/>
      <c r="M1962" s="4" t="s">
        <v>275</v>
      </c>
    </row>
    <row r="1963" spans="1:13" x14ac:dyDescent="0.25">
      <c r="A1963" s="34" t="s">
        <v>1436</v>
      </c>
      <c r="B1963" s="34" t="s">
        <v>0</v>
      </c>
      <c r="C1963" s="34" t="s">
        <v>107</v>
      </c>
      <c r="D1963" s="34" t="s">
        <v>108</v>
      </c>
      <c r="E1963" s="34" t="s">
        <v>48</v>
      </c>
      <c r="F1963" s="35">
        <v>43406</v>
      </c>
      <c r="G1963" s="35">
        <v>43553</v>
      </c>
      <c r="H1963" s="36">
        <v>0.65972222222222221</v>
      </c>
      <c r="I1963" s="34" t="s">
        <v>14</v>
      </c>
      <c r="J1963" s="34" t="s">
        <v>1003</v>
      </c>
      <c r="K1963" s="34" t="s">
        <v>38</v>
      </c>
      <c r="L1963" s="4"/>
      <c r="M1963" s="4" t="s">
        <v>275</v>
      </c>
    </row>
    <row r="1964" spans="1:13" x14ac:dyDescent="0.25">
      <c r="A1964" s="34" t="s">
        <v>1436</v>
      </c>
      <c r="B1964" s="34" t="s">
        <v>0</v>
      </c>
      <c r="C1964" s="34" t="s">
        <v>107</v>
      </c>
      <c r="D1964" s="34" t="s">
        <v>108</v>
      </c>
      <c r="E1964" s="34" t="s">
        <v>19</v>
      </c>
      <c r="F1964" s="35">
        <v>43403</v>
      </c>
      <c r="G1964" s="35">
        <v>43550</v>
      </c>
      <c r="H1964" s="36">
        <v>0.66319444444444442</v>
      </c>
      <c r="I1964" s="34" t="s">
        <v>39</v>
      </c>
      <c r="J1964" s="34" t="s">
        <v>1004</v>
      </c>
      <c r="K1964" s="34" t="s">
        <v>38</v>
      </c>
      <c r="L1964" s="4"/>
      <c r="M1964" s="4" t="s">
        <v>275</v>
      </c>
    </row>
    <row r="1965" spans="1:13" x14ac:dyDescent="0.25">
      <c r="A1965" s="34" t="s">
        <v>1436</v>
      </c>
      <c r="B1965" s="34" t="s">
        <v>0</v>
      </c>
      <c r="C1965" s="34" t="s">
        <v>107</v>
      </c>
      <c r="D1965" s="34" t="s">
        <v>108</v>
      </c>
      <c r="E1965" s="34" t="s">
        <v>18</v>
      </c>
      <c r="F1965" s="35">
        <v>43457</v>
      </c>
      <c r="G1965" s="35">
        <v>43548</v>
      </c>
      <c r="H1965" s="36">
        <v>0.67013888888888884</v>
      </c>
      <c r="I1965" s="34" t="s">
        <v>39</v>
      </c>
      <c r="J1965" s="34" t="s">
        <v>1670</v>
      </c>
      <c r="K1965" s="34" t="s">
        <v>38</v>
      </c>
      <c r="L1965" s="4"/>
      <c r="M1965" s="4" t="s">
        <v>275</v>
      </c>
    </row>
    <row r="1966" spans="1:13" x14ac:dyDescent="0.25">
      <c r="A1966" s="34" t="s">
        <v>1436</v>
      </c>
      <c r="B1966" s="34" t="s">
        <v>0</v>
      </c>
      <c r="C1966" s="34" t="s">
        <v>107</v>
      </c>
      <c r="D1966" s="34" t="s">
        <v>108</v>
      </c>
      <c r="E1966" s="34" t="s">
        <v>18</v>
      </c>
      <c r="F1966" s="35">
        <v>43415</v>
      </c>
      <c r="G1966" s="35">
        <v>43548</v>
      </c>
      <c r="H1966" s="36">
        <v>0.68055555555555547</v>
      </c>
      <c r="I1966" s="34" t="s">
        <v>14</v>
      </c>
      <c r="J1966" s="34" t="s">
        <v>1003</v>
      </c>
      <c r="K1966" s="34" t="s">
        <v>38</v>
      </c>
      <c r="L1966" s="4"/>
      <c r="M1966" s="4" t="s">
        <v>275</v>
      </c>
    </row>
    <row r="1967" spans="1:13" x14ac:dyDescent="0.25">
      <c r="A1967" s="34" t="s">
        <v>1436</v>
      </c>
      <c r="B1967" s="34" t="s">
        <v>0</v>
      </c>
      <c r="C1967" s="34" t="s">
        <v>107</v>
      </c>
      <c r="D1967" s="34" t="s">
        <v>108</v>
      </c>
      <c r="E1967" s="34" t="s">
        <v>173</v>
      </c>
      <c r="F1967" s="35">
        <v>43401</v>
      </c>
      <c r="G1967" s="35">
        <v>43552</v>
      </c>
      <c r="H1967" s="36">
        <v>0.77777777777777779</v>
      </c>
      <c r="I1967" s="34" t="s">
        <v>14</v>
      </c>
      <c r="J1967" s="34" t="s">
        <v>1001</v>
      </c>
      <c r="K1967" s="34" t="s">
        <v>38</v>
      </c>
      <c r="L1967" s="4"/>
      <c r="M1967" s="4" t="s">
        <v>275</v>
      </c>
    </row>
    <row r="1968" spans="1:13" x14ac:dyDescent="0.25">
      <c r="A1968" s="34" t="s">
        <v>1436</v>
      </c>
      <c r="B1968" s="34" t="s">
        <v>0</v>
      </c>
      <c r="C1968" s="34" t="s">
        <v>107</v>
      </c>
      <c r="D1968" s="34" t="s">
        <v>108</v>
      </c>
      <c r="E1968" s="34" t="s">
        <v>59</v>
      </c>
      <c r="F1968" s="35">
        <v>43472</v>
      </c>
      <c r="G1968" s="35">
        <v>43549</v>
      </c>
      <c r="H1968" s="36">
        <v>0.77777777777777779</v>
      </c>
      <c r="I1968" s="34" t="s">
        <v>14</v>
      </c>
      <c r="J1968" s="34" t="s">
        <v>1001</v>
      </c>
      <c r="K1968" s="34" t="s">
        <v>38</v>
      </c>
      <c r="L1968" s="4"/>
      <c r="M1968" s="4" t="s">
        <v>275</v>
      </c>
    </row>
    <row r="1969" spans="1:13" x14ac:dyDescent="0.25">
      <c r="A1969" s="34" t="s">
        <v>1436</v>
      </c>
      <c r="B1969" s="34" t="s">
        <v>0</v>
      </c>
      <c r="C1969" s="34" t="s">
        <v>115</v>
      </c>
      <c r="D1969" s="34" t="s">
        <v>116</v>
      </c>
      <c r="E1969" s="34" t="s">
        <v>48</v>
      </c>
      <c r="F1969" s="35">
        <v>43406</v>
      </c>
      <c r="G1969" s="35">
        <v>43553</v>
      </c>
      <c r="H1969" s="36">
        <v>0.49652777777777773</v>
      </c>
      <c r="I1969" s="34" t="s">
        <v>14</v>
      </c>
      <c r="J1969" s="34" t="s">
        <v>1006</v>
      </c>
      <c r="K1969" s="34" t="s">
        <v>38</v>
      </c>
      <c r="L1969" s="4"/>
      <c r="M1969" s="4" t="s">
        <v>275</v>
      </c>
    </row>
    <row r="1970" spans="1:13" x14ac:dyDescent="0.25">
      <c r="A1970" s="34" t="s">
        <v>1436</v>
      </c>
      <c r="B1970" s="34" t="s">
        <v>0</v>
      </c>
      <c r="C1970" s="34" t="s">
        <v>115</v>
      </c>
      <c r="D1970" s="34" t="s">
        <v>116</v>
      </c>
      <c r="E1970" s="34" t="s">
        <v>59</v>
      </c>
      <c r="F1970" s="35">
        <v>43402</v>
      </c>
      <c r="G1970" s="35">
        <v>43549</v>
      </c>
      <c r="H1970" s="36">
        <v>0.5</v>
      </c>
      <c r="I1970" s="34" t="s">
        <v>14</v>
      </c>
      <c r="J1970" s="34" t="s">
        <v>1006</v>
      </c>
      <c r="K1970" s="34" t="s">
        <v>38</v>
      </c>
      <c r="L1970" s="4"/>
      <c r="M1970" s="4" t="s">
        <v>275</v>
      </c>
    </row>
    <row r="1971" spans="1:13" x14ac:dyDescent="0.25">
      <c r="A1971" s="34" t="s">
        <v>1436</v>
      </c>
      <c r="B1971" s="34" t="s">
        <v>0</v>
      </c>
      <c r="C1971" s="34" t="s">
        <v>115</v>
      </c>
      <c r="D1971" s="34" t="s">
        <v>116</v>
      </c>
      <c r="E1971" s="34" t="s">
        <v>20</v>
      </c>
      <c r="F1971" s="35">
        <v>43467</v>
      </c>
      <c r="G1971" s="35">
        <v>43551</v>
      </c>
      <c r="H1971" s="36">
        <v>0.5</v>
      </c>
      <c r="I1971" s="34" t="s">
        <v>14</v>
      </c>
      <c r="J1971" s="34" t="s">
        <v>1006</v>
      </c>
      <c r="K1971" s="34" t="s">
        <v>38</v>
      </c>
      <c r="L1971" s="4"/>
      <c r="M1971" s="4" t="s">
        <v>275</v>
      </c>
    </row>
    <row r="1972" spans="1:13" x14ac:dyDescent="0.25">
      <c r="A1972" s="34" t="s">
        <v>1436</v>
      </c>
      <c r="B1972" s="34" t="s">
        <v>0</v>
      </c>
      <c r="C1972" s="34" t="s">
        <v>115</v>
      </c>
      <c r="D1972" s="34" t="s">
        <v>116</v>
      </c>
      <c r="E1972" s="34" t="s">
        <v>13</v>
      </c>
      <c r="F1972" s="35">
        <v>43405</v>
      </c>
      <c r="G1972" s="35">
        <v>43552</v>
      </c>
      <c r="H1972" s="36">
        <v>0.59027777777777779</v>
      </c>
      <c r="I1972" s="34" t="s">
        <v>14</v>
      </c>
      <c r="J1972" s="34" t="s">
        <v>1007</v>
      </c>
      <c r="K1972" s="34" t="s">
        <v>38</v>
      </c>
      <c r="L1972" s="4"/>
      <c r="M1972" s="4" t="s">
        <v>275</v>
      </c>
    </row>
    <row r="1973" spans="1:13" x14ac:dyDescent="0.25">
      <c r="A1973" s="34" t="s">
        <v>1436</v>
      </c>
      <c r="B1973" s="34" t="s">
        <v>0</v>
      </c>
      <c r="C1973" s="34" t="s">
        <v>115</v>
      </c>
      <c r="D1973" s="34" t="s">
        <v>116</v>
      </c>
      <c r="E1973" s="34" t="s">
        <v>19</v>
      </c>
      <c r="F1973" s="35">
        <v>43508</v>
      </c>
      <c r="G1973" s="35">
        <v>43550</v>
      </c>
      <c r="H1973" s="36">
        <v>0.60069444444444442</v>
      </c>
      <c r="I1973" s="34" t="s">
        <v>14</v>
      </c>
      <c r="J1973" s="34" t="s">
        <v>1007</v>
      </c>
      <c r="K1973" s="34" t="s">
        <v>38</v>
      </c>
      <c r="L1973" s="4"/>
      <c r="M1973" s="4" t="s">
        <v>275</v>
      </c>
    </row>
    <row r="1974" spans="1:13" x14ac:dyDescent="0.25">
      <c r="A1974" s="34" t="s">
        <v>1436</v>
      </c>
      <c r="B1974" s="34" t="s">
        <v>0</v>
      </c>
      <c r="C1974" s="34" t="s">
        <v>115</v>
      </c>
      <c r="D1974" s="34" t="s">
        <v>116</v>
      </c>
      <c r="E1974" s="34" t="s">
        <v>22</v>
      </c>
      <c r="F1974" s="35">
        <v>43407</v>
      </c>
      <c r="G1974" s="35">
        <v>43547</v>
      </c>
      <c r="H1974" s="36">
        <v>0.65625</v>
      </c>
      <c r="I1974" s="34" t="s">
        <v>14</v>
      </c>
      <c r="J1974" s="34" t="s">
        <v>1007</v>
      </c>
      <c r="K1974" s="34" t="s">
        <v>38</v>
      </c>
      <c r="L1974" s="4"/>
      <c r="M1974" s="4" t="s">
        <v>275</v>
      </c>
    </row>
    <row r="1975" spans="1:13" x14ac:dyDescent="0.25">
      <c r="A1975" s="34" t="s">
        <v>1436</v>
      </c>
      <c r="B1975" s="34" t="s">
        <v>0</v>
      </c>
      <c r="C1975" s="34" t="s">
        <v>115</v>
      </c>
      <c r="D1975" s="34" t="s">
        <v>116</v>
      </c>
      <c r="E1975" s="34" t="s">
        <v>18</v>
      </c>
      <c r="F1975" s="35">
        <v>43408</v>
      </c>
      <c r="G1975" s="35">
        <v>43548</v>
      </c>
      <c r="H1975" s="36">
        <v>0.67361111111111116</v>
      </c>
      <c r="I1975" s="34" t="s">
        <v>14</v>
      </c>
      <c r="J1975" s="34" t="s">
        <v>1007</v>
      </c>
      <c r="K1975" s="34" t="s">
        <v>38</v>
      </c>
      <c r="L1975" s="4"/>
      <c r="M1975" s="4" t="s">
        <v>275</v>
      </c>
    </row>
    <row r="1976" spans="1:13" x14ac:dyDescent="0.25">
      <c r="A1976" s="34" t="s">
        <v>1436</v>
      </c>
      <c r="B1976" s="34" t="s">
        <v>0</v>
      </c>
      <c r="C1976" s="34" t="s">
        <v>115</v>
      </c>
      <c r="D1976" s="34" t="s">
        <v>116</v>
      </c>
      <c r="E1976" s="34" t="s">
        <v>20</v>
      </c>
      <c r="F1976" s="35">
        <v>43404</v>
      </c>
      <c r="G1976" s="35">
        <v>43551</v>
      </c>
      <c r="H1976" s="36">
        <v>0.69097222222222221</v>
      </c>
      <c r="I1976" s="34">
        <v>320</v>
      </c>
      <c r="J1976" s="34" t="s">
        <v>1005</v>
      </c>
      <c r="K1976" s="34" t="s">
        <v>38</v>
      </c>
      <c r="L1976" s="4"/>
      <c r="M1976" s="4" t="s">
        <v>275</v>
      </c>
    </row>
    <row r="1977" spans="1:13" x14ac:dyDescent="0.25">
      <c r="A1977" s="34" t="s">
        <v>1436</v>
      </c>
      <c r="B1977" s="34" t="s">
        <v>0</v>
      </c>
      <c r="C1977" s="34" t="s">
        <v>115</v>
      </c>
      <c r="D1977" s="34" t="s">
        <v>116</v>
      </c>
      <c r="E1977" s="34" t="s">
        <v>48</v>
      </c>
      <c r="F1977" s="35">
        <v>43406</v>
      </c>
      <c r="G1977" s="35">
        <v>43553</v>
      </c>
      <c r="H1977" s="36">
        <v>0.77430555555555547</v>
      </c>
      <c r="I1977" s="34">
        <v>320</v>
      </c>
      <c r="J1977" s="34" t="s">
        <v>1005</v>
      </c>
      <c r="K1977" s="34" t="s">
        <v>38</v>
      </c>
      <c r="L1977" s="4"/>
      <c r="M1977" s="4" t="s">
        <v>275</v>
      </c>
    </row>
    <row r="1978" spans="1:13" x14ac:dyDescent="0.25">
      <c r="A1978" s="34" t="s">
        <v>1436</v>
      </c>
      <c r="B1978" s="34" t="s">
        <v>0</v>
      </c>
      <c r="C1978" s="34" t="s">
        <v>115</v>
      </c>
      <c r="D1978" s="34" t="s">
        <v>116</v>
      </c>
      <c r="E1978" s="34" t="s">
        <v>22</v>
      </c>
      <c r="F1978" s="35">
        <v>43407</v>
      </c>
      <c r="G1978" s="35">
        <v>43554</v>
      </c>
      <c r="H1978" s="36">
        <v>0.78819444444444453</v>
      </c>
      <c r="I1978" s="34" t="s">
        <v>14</v>
      </c>
      <c r="J1978" s="34" t="s">
        <v>1006</v>
      </c>
      <c r="K1978" s="34" t="s">
        <v>38</v>
      </c>
      <c r="L1978" s="4"/>
      <c r="M1978" s="4" t="s">
        <v>275</v>
      </c>
    </row>
    <row r="1979" spans="1:13" x14ac:dyDescent="0.25">
      <c r="A1979" s="34" t="s">
        <v>1436</v>
      </c>
      <c r="B1979" s="34" t="s">
        <v>0</v>
      </c>
      <c r="C1979" s="34" t="s">
        <v>115</v>
      </c>
      <c r="D1979" s="34" t="s">
        <v>116</v>
      </c>
      <c r="E1979" s="34" t="s">
        <v>59</v>
      </c>
      <c r="F1979" s="35">
        <v>43465</v>
      </c>
      <c r="G1979" s="35">
        <v>43549</v>
      </c>
      <c r="H1979" s="36">
        <v>0.82291666666666663</v>
      </c>
      <c r="I1979" s="34">
        <v>320</v>
      </c>
      <c r="J1979" s="34" t="s">
        <v>1005</v>
      </c>
      <c r="K1979" s="34" t="s">
        <v>38</v>
      </c>
      <c r="L1979" s="4"/>
      <c r="M1979" s="4" t="s">
        <v>275</v>
      </c>
    </row>
    <row r="1980" spans="1:13" x14ac:dyDescent="0.25">
      <c r="A1980" s="34" t="s">
        <v>1436</v>
      </c>
      <c r="B1980" s="34" t="s">
        <v>0</v>
      </c>
      <c r="C1980" s="34" t="s">
        <v>119</v>
      </c>
      <c r="D1980" s="34" t="s">
        <v>120</v>
      </c>
      <c r="E1980" s="34" t="s">
        <v>22</v>
      </c>
      <c r="F1980" s="35">
        <v>43477</v>
      </c>
      <c r="G1980" s="35">
        <v>43554</v>
      </c>
      <c r="H1980" s="36">
        <v>0.47916666666666669</v>
      </c>
      <c r="I1980" s="34" t="s">
        <v>14</v>
      </c>
      <c r="J1980" s="34" t="s">
        <v>1008</v>
      </c>
      <c r="K1980" s="34" t="s">
        <v>16</v>
      </c>
      <c r="L1980" s="4"/>
      <c r="M1980" s="4" t="s">
        <v>275</v>
      </c>
    </row>
    <row r="1981" spans="1:13" x14ac:dyDescent="0.25">
      <c r="A1981" s="34" t="s">
        <v>1436</v>
      </c>
      <c r="B1981" s="34" t="s">
        <v>0</v>
      </c>
      <c r="C1981" s="34" t="s">
        <v>119</v>
      </c>
      <c r="D1981" s="34" t="s">
        <v>120</v>
      </c>
      <c r="E1981" s="34" t="s">
        <v>18</v>
      </c>
      <c r="F1981" s="35">
        <v>43513</v>
      </c>
      <c r="G1981" s="35">
        <v>43548</v>
      </c>
      <c r="H1981" s="36">
        <v>0.51041666666666663</v>
      </c>
      <c r="I1981" s="34" t="s">
        <v>14</v>
      </c>
      <c r="J1981" s="34" t="s">
        <v>1009</v>
      </c>
      <c r="K1981" s="34" t="s">
        <v>16</v>
      </c>
      <c r="L1981" s="4"/>
      <c r="M1981" s="4" t="s">
        <v>275</v>
      </c>
    </row>
    <row r="1982" spans="1:13" x14ac:dyDescent="0.25">
      <c r="A1982" s="34" t="s">
        <v>1436</v>
      </c>
      <c r="B1982" s="34" t="s">
        <v>0</v>
      </c>
      <c r="C1982" s="34" t="s">
        <v>119</v>
      </c>
      <c r="D1982" s="34" t="s">
        <v>120</v>
      </c>
      <c r="E1982" s="34" t="s">
        <v>109</v>
      </c>
      <c r="F1982" s="35">
        <v>43405</v>
      </c>
      <c r="G1982" s="35">
        <v>43552</v>
      </c>
      <c r="H1982" s="36">
        <v>0.73263888888888884</v>
      </c>
      <c r="I1982" s="34" t="s">
        <v>14</v>
      </c>
      <c r="J1982" s="34" t="s">
        <v>1009</v>
      </c>
      <c r="K1982" s="34" t="s">
        <v>16</v>
      </c>
      <c r="L1982" s="4"/>
      <c r="M1982" s="4" t="s">
        <v>275</v>
      </c>
    </row>
    <row r="1983" spans="1:13" x14ac:dyDescent="0.25">
      <c r="A1983" s="34" t="s">
        <v>1436</v>
      </c>
      <c r="B1983" s="34" t="s">
        <v>0</v>
      </c>
      <c r="C1983" s="34" t="s">
        <v>360</v>
      </c>
      <c r="D1983" s="34" t="s">
        <v>361</v>
      </c>
      <c r="E1983" s="34" t="s">
        <v>48</v>
      </c>
      <c r="F1983" s="35">
        <v>43406</v>
      </c>
      <c r="G1983" s="35">
        <v>43553</v>
      </c>
      <c r="H1983" s="36">
        <v>0.76736111111111116</v>
      </c>
      <c r="I1983" s="34">
        <v>319</v>
      </c>
      <c r="J1983" s="34" t="s">
        <v>1010</v>
      </c>
      <c r="K1983" s="34" t="s">
        <v>45</v>
      </c>
      <c r="L1983" s="4"/>
      <c r="M1983" s="4" t="s">
        <v>275</v>
      </c>
    </row>
    <row r="1984" spans="1:13" x14ac:dyDescent="0.25">
      <c r="A1984" s="34" t="s">
        <v>1436</v>
      </c>
      <c r="B1984" s="34" t="s">
        <v>0</v>
      </c>
      <c r="C1984" s="34" t="s">
        <v>542</v>
      </c>
      <c r="D1984" s="34" t="s">
        <v>543</v>
      </c>
      <c r="E1984" s="34" t="s">
        <v>19</v>
      </c>
      <c r="F1984" s="35">
        <v>43403</v>
      </c>
      <c r="G1984" s="35">
        <v>43550</v>
      </c>
      <c r="H1984" s="36">
        <v>0.375</v>
      </c>
      <c r="I1984" s="34" t="s">
        <v>14</v>
      </c>
      <c r="J1984" s="34" t="s">
        <v>1011</v>
      </c>
      <c r="K1984" s="34" t="s">
        <v>544</v>
      </c>
      <c r="L1984" s="4"/>
      <c r="M1984" s="4" t="s">
        <v>275</v>
      </c>
    </row>
    <row r="1985" spans="1:13" x14ac:dyDescent="0.25">
      <c r="A1985" s="34" t="s">
        <v>1436</v>
      </c>
      <c r="B1985" s="34" t="s">
        <v>0</v>
      </c>
      <c r="C1985" s="34" t="s">
        <v>542</v>
      </c>
      <c r="D1985" s="34" t="s">
        <v>543</v>
      </c>
      <c r="E1985" s="34" t="s">
        <v>111</v>
      </c>
      <c r="F1985" s="35">
        <v>43405</v>
      </c>
      <c r="G1985" s="35">
        <v>43552</v>
      </c>
      <c r="H1985" s="36">
        <v>0.47916666666666669</v>
      </c>
      <c r="I1985" s="34" t="s">
        <v>14</v>
      </c>
      <c r="J1985" s="34" t="s">
        <v>1011</v>
      </c>
      <c r="K1985" s="34" t="s">
        <v>544</v>
      </c>
      <c r="L1985" s="4"/>
      <c r="M1985" s="4" t="s">
        <v>275</v>
      </c>
    </row>
    <row r="1986" spans="1:13" x14ac:dyDescent="0.25">
      <c r="A1986" s="34" t="s">
        <v>1436</v>
      </c>
      <c r="B1986" s="34" t="s">
        <v>0</v>
      </c>
      <c r="C1986" s="34" t="s">
        <v>542</v>
      </c>
      <c r="D1986" s="34" t="s">
        <v>543</v>
      </c>
      <c r="E1986" s="34" t="s">
        <v>22</v>
      </c>
      <c r="F1986" s="35">
        <v>43456</v>
      </c>
      <c r="G1986" s="35">
        <v>43554</v>
      </c>
      <c r="H1986" s="36">
        <v>0.66319444444444442</v>
      </c>
      <c r="I1986" s="34" t="s">
        <v>14</v>
      </c>
      <c r="J1986" s="34" t="s">
        <v>1671</v>
      </c>
      <c r="K1986" s="34" t="s">
        <v>544</v>
      </c>
      <c r="L1986" s="4"/>
      <c r="M1986" s="4" t="s">
        <v>275</v>
      </c>
    </row>
    <row r="1987" spans="1:13" x14ac:dyDescent="0.25">
      <c r="A1987" s="34" t="s">
        <v>1436</v>
      </c>
      <c r="B1987" s="34" t="s">
        <v>0</v>
      </c>
      <c r="C1987" s="34" t="s">
        <v>1567</v>
      </c>
      <c r="D1987" s="34" t="s">
        <v>1568</v>
      </c>
      <c r="E1987" s="34" t="s">
        <v>22</v>
      </c>
      <c r="F1987" s="35">
        <v>43407</v>
      </c>
      <c r="G1987" s="35">
        <v>43554</v>
      </c>
      <c r="H1987" s="36">
        <v>0.4375</v>
      </c>
      <c r="I1987" s="34" t="s">
        <v>14</v>
      </c>
      <c r="J1987" s="34" t="s">
        <v>1672</v>
      </c>
      <c r="K1987" s="34" t="s">
        <v>544</v>
      </c>
      <c r="L1987" s="4"/>
      <c r="M1987" s="4" t="s">
        <v>275</v>
      </c>
    </row>
    <row r="1988" spans="1:13" x14ac:dyDescent="0.25">
      <c r="A1988" s="34" t="s">
        <v>1436</v>
      </c>
      <c r="B1988" s="34" t="s">
        <v>0</v>
      </c>
      <c r="C1988" s="34" t="s">
        <v>546</v>
      </c>
      <c r="D1988" s="34" t="s">
        <v>547</v>
      </c>
      <c r="E1988" s="34" t="s">
        <v>59</v>
      </c>
      <c r="F1988" s="35">
        <v>43472</v>
      </c>
      <c r="G1988" s="35">
        <v>43549</v>
      </c>
      <c r="H1988" s="36">
        <v>0.62847222222222221</v>
      </c>
      <c r="I1988" s="34">
        <v>320</v>
      </c>
      <c r="J1988" s="34" t="s">
        <v>1012</v>
      </c>
      <c r="K1988" s="34" t="s">
        <v>1533</v>
      </c>
      <c r="L1988" s="4"/>
      <c r="M1988" s="4" t="s">
        <v>275</v>
      </c>
    </row>
    <row r="1989" spans="1:13" x14ac:dyDescent="0.25">
      <c r="A1989" s="34" t="s">
        <v>1436</v>
      </c>
      <c r="B1989" s="34" t="s">
        <v>0</v>
      </c>
      <c r="C1989" s="34" t="s">
        <v>546</v>
      </c>
      <c r="D1989" s="34" t="s">
        <v>547</v>
      </c>
      <c r="E1989" s="34" t="s">
        <v>48</v>
      </c>
      <c r="F1989" s="35">
        <v>43476</v>
      </c>
      <c r="G1989" s="35">
        <v>43553</v>
      </c>
      <c r="H1989" s="36">
        <v>0.69444444444444453</v>
      </c>
      <c r="I1989" s="34">
        <v>320</v>
      </c>
      <c r="J1989" s="34" t="s">
        <v>1012</v>
      </c>
      <c r="K1989" s="34" t="s">
        <v>1533</v>
      </c>
      <c r="L1989" s="4"/>
      <c r="M1989" s="4" t="s">
        <v>275</v>
      </c>
    </row>
    <row r="1990" spans="1:13" x14ac:dyDescent="0.25">
      <c r="A1990" s="34" t="s">
        <v>1436</v>
      </c>
      <c r="B1990" s="34" t="s">
        <v>0</v>
      </c>
      <c r="C1990" s="34" t="s">
        <v>549</v>
      </c>
      <c r="D1990" s="34" t="s">
        <v>550</v>
      </c>
      <c r="E1990" s="34" t="s">
        <v>583</v>
      </c>
      <c r="F1990" s="35">
        <v>43401</v>
      </c>
      <c r="G1990" s="35">
        <v>43553</v>
      </c>
      <c r="H1990" s="36">
        <v>0.74305555555555547</v>
      </c>
      <c r="I1990" s="34" t="s">
        <v>14</v>
      </c>
      <c r="J1990" s="34" t="s">
        <v>1013</v>
      </c>
      <c r="K1990" s="34" t="s">
        <v>45</v>
      </c>
      <c r="L1990" s="4"/>
      <c r="M1990" s="4" t="s">
        <v>275</v>
      </c>
    </row>
    <row r="1991" spans="1:13" x14ac:dyDescent="0.25">
      <c r="A1991" s="34" t="s">
        <v>1436</v>
      </c>
      <c r="B1991" s="34" t="s">
        <v>0</v>
      </c>
      <c r="C1991" s="34" t="s">
        <v>123</v>
      </c>
      <c r="D1991" s="34" t="s">
        <v>124</v>
      </c>
      <c r="E1991" s="34" t="s">
        <v>95</v>
      </c>
      <c r="F1991" s="35">
        <v>43405</v>
      </c>
      <c r="G1991" s="35">
        <v>43554</v>
      </c>
      <c r="H1991" s="36">
        <v>0.44097222222222227</v>
      </c>
      <c r="I1991" s="34" t="s">
        <v>14</v>
      </c>
      <c r="J1991" s="34" t="s">
        <v>1014</v>
      </c>
      <c r="K1991" s="34" t="s">
        <v>45</v>
      </c>
      <c r="L1991" s="4"/>
      <c r="M1991" s="4" t="s">
        <v>275</v>
      </c>
    </row>
    <row r="1992" spans="1:13" x14ac:dyDescent="0.25">
      <c r="A1992" s="34" t="s">
        <v>1436</v>
      </c>
      <c r="B1992" s="34" t="s">
        <v>0</v>
      </c>
      <c r="C1992" s="34" t="s">
        <v>123</v>
      </c>
      <c r="D1992" s="34" t="s">
        <v>124</v>
      </c>
      <c r="E1992" s="34" t="s">
        <v>19</v>
      </c>
      <c r="F1992" s="35">
        <v>43473</v>
      </c>
      <c r="G1992" s="35">
        <v>43550</v>
      </c>
      <c r="H1992" s="36">
        <v>0.44097222222222227</v>
      </c>
      <c r="I1992" s="34" t="s">
        <v>14</v>
      </c>
      <c r="J1992" s="34" t="s">
        <v>1014</v>
      </c>
      <c r="K1992" s="34" t="s">
        <v>45</v>
      </c>
      <c r="L1992" s="4"/>
      <c r="M1992" s="4" t="s">
        <v>275</v>
      </c>
    </row>
    <row r="1993" spans="1:13" x14ac:dyDescent="0.25">
      <c r="A1993" s="34" t="s">
        <v>1436</v>
      </c>
      <c r="B1993" s="34" t="s">
        <v>0</v>
      </c>
      <c r="C1993" s="34" t="s">
        <v>123</v>
      </c>
      <c r="D1993" s="34" t="s">
        <v>124</v>
      </c>
      <c r="E1993" s="34" t="s">
        <v>22</v>
      </c>
      <c r="F1993" s="35">
        <v>43477</v>
      </c>
      <c r="G1993" s="35">
        <v>43554</v>
      </c>
      <c r="H1993" s="36">
        <v>0.5</v>
      </c>
      <c r="I1993" s="34" t="s">
        <v>106</v>
      </c>
      <c r="J1993" s="34" t="s">
        <v>1016</v>
      </c>
      <c r="K1993" s="34" t="s">
        <v>45</v>
      </c>
      <c r="L1993" s="4"/>
      <c r="M1993" s="4" t="s">
        <v>275</v>
      </c>
    </row>
    <row r="1994" spans="1:13" x14ac:dyDescent="0.25">
      <c r="A1994" s="34" t="s">
        <v>1436</v>
      </c>
      <c r="B1994" s="34" t="s">
        <v>0</v>
      </c>
      <c r="C1994" s="34" t="s">
        <v>123</v>
      </c>
      <c r="D1994" s="34" t="s">
        <v>124</v>
      </c>
      <c r="E1994" s="34" t="s">
        <v>48</v>
      </c>
      <c r="F1994" s="35">
        <v>43511</v>
      </c>
      <c r="G1994" s="35">
        <v>43553</v>
      </c>
      <c r="H1994" s="36">
        <v>0.53472222222222221</v>
      </c>
      <c r="I1994" s="34" t="s">
        <v>104</v>
      </c>
      <c r="J1994" s="34" t="s">
        <v>1015</v>
      </c>
      <c r="K1994" s="34" t="s">
        <v>45</v>
      </c>
      <c r="L1994" s="4"/>
      <c r="M1994" s="4" t="s">
        <v>275</v>
      </c>
    </row>
    <row r="1995" spans="1:13" x14ac:dyDescent="0.25">
      <c r="A1995" s="34" t="s">
        <v>1436</v>
      </c>
      <c r="B1995" s="34" t="s">
        <v>0</v>
      </c>
      <c r="C1995" s="34" t="s">
        <v>123</v>
      </c>
      <c r="D1995" s="34" t="s">
        <v>124</v>
      </c>
      <c r="E1995" s="34" t="s">
        <v>22</v>
      </c>
      <c r="F1995" s="35">
        <v>43505</v>
      </c>
      <c r="G1995" s="35">
        <v>43554</v>
      </c>
      <c r="H1995" s="36">
        <v>0.55555555555555558</v>
      </c>
      <c r="I1995" s="34" t="s">
        <v>39</v>
      </c>
      <c r="J1995" s="34" t="s">
        <v>1015</v>
      </c>
      <c r="K1995" s="34" t="s">
        <v>45</v>
      </c>
      <c r="L1995" s="4"/>
      <c r="M1995" s="4" t="s">
        <v>275</v>
      </c>
    </row>
    <row r="1996" spans="1:13" x14ac:dyDescent="0.25">
      <c r="A1996" s="34" t="s">
        <v>1436</v>
      </c>
      <c r="B1996" s="34" t="s">
        <v>0</v>
      </c>
      <c r="C1996" s="34" t="s">
        <v>123</v>
      </c>
      <c r="D1996" s="34" t="s">
        <v>124</v>
      </c>
      <c r="E1996" s="34" t="s">
        <v>20</v>
      </c>
      <c r="F1996" s="35">
        <v>43509</v>
      </c>
      <c r="G1996" s="35">
        <v>43551</v>
      </c>
      <c r="H1996" s="36">
        <v>0.56597222222222221</v>
      </c>
      <c r="I1996" s="34" t="s">
        <v>39</v>
      </c>
      <c r="J1996" s="34" t="s">
        <v>1015</v>
      </c>
      <c r="K1996" s="34" t="s">
        <v>45</v>
      </c>
      <c r="L1996" s="4"/>
      <c r="M1996" s="4" t="s">
        <v>275</v>
      </c>
    </row>
    <row r="1997" spans="1:13" x14ac:dyDescent="0.25">
      <c r="A1997" s="34" t="s">
        <v>1436</v>
      </c>
      <c r="B1997" s="34" t="s">
        <v>0</v>
      </c>
      <c r="C1997" s="34" t="s">
        <v>123</v>
      </c>
      <c r="D1997" s="34" t="s">
        <v>124</v>
      </c>
      <c r="E1997" s="34" t="s">
        <v>20</v>
      </c>
      <c r="F1997" s="35">
        <v>43502</v>
      </c>
      <c r="G1997" s="35">
        <v>43551</v>
      </c>
      <c r="H1997" s="36">
        <v>0.57986111111111105</v>
      </c>
      <c r="I1997" s="34" t="s">
        <v>106</v>
      </c>
      <c r="J1997" s="34" t="s">
        <v>1016</v>
      </c>
      <c r="K1997" s="34" t="s">
        <v>45</v>
      </c>
      <c r="L1997" s="4"/>
      <c r="M1997" s="4" t="s">
        <v>275</v>
      </c>
    </row>
    <row r="1998" spans="1:13" x14ac:dyDescent="0.25">
      <c r="A1998" s="34" t="s">
        <v>1436</v>
      </c>
      <c r="B1998" s="34" t="s">
        <v>0</v>
      </c>
      <c r="C1998" s="34" t="s">
        <v>123</v>
      </c>
      <c r="D1998" s="34" t="s">
        <v>124</v>
      </c>
      <c r="E1998" s="34" t="s">
        <v>59</v>
      </c>
      <c r="F1998" s="35">
        <v>43500</v>
      </c>
      <c r="G1998" s="35">
        <v>43521</v>
      </c>
      <c r="H1998" s="36">
        <v>0.70138888888888884</v>
      </c>
      <c r="I1998" s="34" t="s">
        <v>39</v>
      </c>
      <c r="J1998" s="34" t="s">
        <v>1015</v>
      </c>
      <c r="K1998" s="34" t="s">
        <v>45</v>
      </c>
      <c r="L1998" s="4"/>
      <c r="M1998" s="4" t="s">
        <v>275</v>
      </c>
    </row>
    <row r="1999" spans="1:13" x14ac:dyDescent="0.25">
      <c r="A1999" s="34" t="s">
        <v>1436</v>
      </c>
      <c r="B1999" s="34" t="s">
        <v>0</v>
      </c>
      <c r="C1999" s="34" t="s">
        <v>123</v>
      </c>
      <c r="D1999" s="34" t="s">
        <v>124</v>
      </c>
      <c r="E1999" s="34" t="s">
        <v>18</v>
      </c>
      <c r="F1999" s="35">
        <v>43506</v>
      </c>
      <c r="G1999" s="35">
        <v>43548</v>
      </c>
      <c r="H1999" s="36">
        <v>0.70486111111111116</v>
      </c>
      <c r="I1999" s="34" t="s">
        <v>39</v>
      </c>
      <c r="J1999" s="34" t="s">
        <v>1015</v>
      </c>
      <c r="K1999" s="34" t="s">
        <v>45</v>
      </c>
      <c r="L1999" s="4"/>
      <c r="M1999" s="4" t="s">
        <v>275</v>
      </c>
    </row>
    <row r="2000" spans="1:13" x14ac:dyDescent="0.25">
      <c r="A2000" s="34" t="s">
        <v>1436</v>
      </c>
      <c r="B2000" s="34" t="s">
        <v>0</v>
      </c>
      <c r="C2000" s="34" t="s">
        <v>123</v>
      </c>
      <c r="D2000" s="34" t="s">
        <v>124</v>
      </c>
      <c r="E2000" s="34" t="s">
        <v>19</v>
      </c>
      <c r="F2000" s="35">
        <v>43403</v>
      </c>
      <c r="G2000" s="35">
        <v>43550</v>
      </c>
      <c r="H2000" s="36">
        <v>0.70833333333333337</v>
      </c>
      <c r="I2000" s="34" t="s">
        <v>106</v>
      </c>
      <c r="J2000" s="34" t="s">
        <v>1016</v>
      </c>
      <c r="K2000" s="34" t="s">
        <v>45</v>
      </c>
      <c r="L2000" s="4"/>
      <c r="M2000" s="4" t="s">
        <v>275</v>
      </c>
    </row>
    <row r="2001" spans="1:13" x14ac:dyDescent="0.25">
      <c r="A2001" s="34" t="s">
        <v>1436</v>
      </c>
      <c r="B2001" s="34" t="s">
        <v>0</v>
      </c>
      <c r="C2001" s="34" t="s">
        <v>123</v>
      </c>
      <c r="D2001" s="34" t="s">
        <v>124</v>
      </c>
      <c r="E2001" s="34" t="s">
        <v>13</v>
      </c>
      <c r="F2001" s="35">
        <v>43503</v>
      </c>
      <c r="G2001" s="35">
        <v>43510</v>
      </c>
      <c r="H2001" s="36">
        <v>0.72222222222222221</v>
      </c>
      <c r="I2001" s="34" t="s">
        <v>106</v>
      </c>
      <c r="J2001" s="34" t="s">
        <v>1939</v>
      </c>
      <c r="K2001" s="34" t="s">
        <v>45</v>
      </c>
      <c r="L2001" s="4"/>
      <c r="M2001" s="4" t="s">
        <v>275</v>
      </c>
    </row>
    <row r="2002" spans="1:13" x14ac:dyDescent="0.25">
      <c r="A2002" s="34" t="s">
        <v>1436</v>
      </c>
      <c r="B2002" s="34" t="s">
        <v>0</v>
      </c>
      <c r="C2002" s="34" t="s">
        <v>365</v>
      </c>
      <c r="D2002" s="34" t="s">
        <v>366</v>
      </c>
      <c r="E2002" s="34" t="s">
        <v>48</v>
      </c>
      <c r="F2002" s="35">
        <v>43406</v>
      </c>
      <c r="G2002" s="35">
        <v>43553</v>
      </c>
      <c r="H2002" s="36">
        <v>0.67361111111111116</v>
      </c>
      <c r="I2002" s="34">
        <v>319</v>
      </c>
      <c r="J2002" s="34" t="s">
        <v>1017</v>
      </c>
      <c r="K2002" s="34" t="s">
        <v>45</v>
      </c>
      <c r="L2002" s="4"/>
      <c r="M2002" s="4" t="s">
        <v>275</v>
      </c>
    </row>
    <row r="2003" spans="1:13" x14ac:dyDescent="0.25">
      <c r="A2003" s="34" t="s">
        <v>1436</v>
      </c>
      <c r="B2003" s="34" t="s">
        <v>0</v>
      </c>
      <c r="C2003" s="34" t="s">
        <v>584</v>
      </c>
      <c r="D2003" s="34" t="s">
        <v>585</v>
      </c>
      <c r="E2003" s="34" t="s">
        <v>22</v>
      </c>
      <c r="F2003" s="35">
        <v>43407</v>
      </c>
      <c r="G2003" s="35">
        <v>43554</v>
      </c>
      <c r="H2003" s="36">
        <v>0.47916666666666669</v>
      </c>
      <c r="I2003" s="34">
        <v>320</v>
      </c>
      <c r="J2003" s="34" t="s">
        <v>1018</v>
      </c>
      <c r="K2003" s="34" t="s">
        <v>34</v>
      </c>
      <c r="L2003" s="4"/>
      <c r="M2003" s="4" t="s">
        <v>275</v>
      </c>
    </row>
    <row r="2004" spans="1:13" x14ac:dyDescent="0.25">
      <c r="A2004" s="34" t="s">
        <v>1436</v>
      </c>
      <c r="B2004" s="34" t="s">
        <v>0</v>
      </c>
      <c r="C2004" s="34" t="s">
        <v>584</v>
      </c>
      <c r="D2004" s="34" t="s">
        <v>585</v>
      </c>
      <c r="E2004" s="34" t="s">
        <v>19</v>
      </c>
      <c r="F2004" s="35">
        <v>43466</v>
      </c>
      <c r="G2004" s="35">
        <v>43550</v>
      </c>
      <c r="H2004" s="36">
        <v>0.64930555555555558</v>
      </c>
      <c r="I2004" s="34">
        <v>320</v>
      </c>
      <c r="J2004" s="34" t="s">
        <v>1018</v>
      </c>
      <c r="K2004" s="34" t="s">
        <v>34</v>
      </c>
      <c r="L2004" s="4"/>
      <c r="M2004" s="4" t="s">
        <v>275</v>
      </c>
    </row>
    <row r="2005" spans="1:13" x14ac:dyDescent="0.25">
      <c r="A2005" s="34" t="s">
        <v>1436</v>
      </c>
      <c r="B2005" s="34" t="s">
        <v>0</v>
      </c>
      <c r="C2005" s="34" t="s">
        <v>130</v>
      </c>
      <c r="D2005" s="34" t="s">
        <v>131</v>
      </c>
      <c r="E2005" s="34" t="s">
        <v>1673</v>
      </c>
      <c r="F2005" s="35">
        <v>43405</v>
      </c>
      <c r="G2005" s="35">
        <v>43554</v>
      </c>
      <c r="H2005" s="36">
        <v>0.60069444444444442</v>
      </c>
      <c r="I2005" s="34" t="s">
        <v>14</v>
      </c>
      <c r="J2005" s="34" t="s">
        <v>1019</v>
      </c>
      <c r="K2005" s="34" t="s">
        <v>38</v>
      </c>
      <c r="L2005" s="4"/>
      <c r="M2005" s="4" t="s">
        <v>275</v>
      </c>
    </row>
    <row r="2006" spans="1:13" x14ac:dyDescent="0.25">
      <c r="A2006" s="34" t="s">
        <v>1436</v>
      </c>
      <c r="B2006" s="34" t="s">
        <v>0</v>
      </c>
      <c r="C2006" s="34" t="s">
        <v>130</v>
      </c>
      <c r="D2006" s="34" t="s">
        <v>131</v>
      </c>
      <c r="E2006" s="34" t="s">
        <v>19</v>
      </c>
      <c r="F2006" s="35">
        <v>43473</v>
      </c>
      <c r="G2006" s="35">
        <v>43550</v>
      </c>
      <c r="H2006" s="36">
        <v>0.60069444444444442</v>
      </c>
      <c r="I2006" s="34" t="s">
        <v>14</v>
      </c>
      <c r="J2006" s="34" t="s">
        <v>1019</v>
      </c>
      <c r="K2006" s="34" t="s">
        <v>38</v>
      </c>
      <c r="L2006" s="4"/>
      <c r="M2006" s="4" t="s">
        <v>275</v>
      </c>
    </row>
    <row r="2007" spans="1:13" x14ac:dyDescent="0.25">
      <c r="A2007" s="34" t="s">
        <v>1436</v>
      </c>
      <c r="B2007" s="34" t="s">
        <v>0</v>
      </c>
      <c r="C2007" s="34" t="s">
        <v>130</v>
      </c>
      <c r="D2007" s="34" t="s">
        <v>131</v>
      </c>
      <c r="E2007" s="34" t="s">
        <v>48</v>
      </c>
      <c r="F2007" s="35">
        <v>43511</v>
      </c>
      <c r="G2007" s="35">
        <v>43511</v>
      </c>
      <c r="H2007" s="36">
        <v>0.625</v>
      </c>
      <c r="I2007" s="34" t="s">
        <v>39</v>
      </c>
      <c r="J2007" s="34" t="s">
        <v>1674</v>
      </c>
      <c r="K2007" s="34" t="s">
        <v>38</v>
      </c>
      <c r="L2007" s="4"/>
      <c r="M2007" s="4" t="s">
        <v>275</v>
      </c>
    </row>
    <row r="2008" spans="1:13" x14ac:dyDescent="0.25">
      <c r="A2008" s="34" t="s">
        <v>1436</v>
      </c>
      <c r="B2008" s="34" t="s">
        <v>0</v>
      </c>
      <c r="C2008" s="34" t="s">
        <v>130</v>
      </c>
      <c r="D2008" s="34" t="s">
        <v>131</v>
      </c>
      <c r="E2008" s="34" t="s">
        <v>18</v>
      </c>
      <c r="F2008" s="35">
        <v>43513</v>
      </c>
      <c r="G2008" s="35">
        <v>43513</v>
      </c>
      <c r="H2008" s="36">
        <v>0.62847222222222221</v>
      </c>
      <c r="I2008" s="34" t="s">
        <v>39</v>
      </c>
      <c r="J2008" s="34" t="s">
        <v>1020</v>
      </c>
      <c r="K2008" s="34" t="s">
        <v>38</v>
      </c>
      <c r="L2008" s="4"/>
      <c r="M2008" s="4" t="s">
        <v>275</v>
      </c>
    </row>
    <row r="2009" spans="1:13" x14ac:dyDescent="0.25">
      <c r="A2009" s="34" t="s">
        <v>1436</v>
      </c>
      <c r="B2009" s="34" t="s">
        <v>0</v>
      </c>
      <c r="C2009" s="34" t="s">
        <v>130</v>
      </c>
      <c r="D2009" s="34" t="s">
        <v>131</v>
      </c>
      <c r="E2009" s="34" t="s">
        <v>22</v>
      </c>
      <c r="F2009" s="35">
        <v>43512</v>
      </c>
      <c r="G2009" s="35">
        <v>43512</v>
      </c>
      <c r="H2009" s="36">
        <v>0.63194444444444442</v>
      </c>
      <c r="I2009" s="34" t="s">
        <v>39</v>
      </c>
      <c r="J2009" s="34" t="s">
        <v>1281</v>
      </c>
      <c r="K2009" s="34" t="s">
        <v>38</v>
      </c>
      <c r="L2009" s="4"/>
      <c r="M2009" s="4" t="s">
        <v>275</v>
      </c>
    </row>
    <row r="2010" spans="1:13" x14ac:dyDescent="0.25">
      <c r="A2010" s="34" t="s">
        <v>1436</v>
      </c>
      <c r="B2010" s="34" t="s">
        <v>0</v>
      </c>
      <c r="C2010" s="34" t="s">
        <v>130</v>
      </c>
      <c r="D2010" s="34" t="s">
        <v>131</v>
      </c>
      <c r="E2010" s="34" t="s">
        <v>19</v>
      </c>
      <c r="F2010" s="35">
        <v>43403</v>
      </c>
      <c r="G2010" s="35">
        <v>43550</v>
      </c>
      <c r="H2010" s="36">
        <v>0.63541666666666663</v>
      </c>
      <c r="I2010" s="34" t="s">
        <v>39</v>
      </c>
      <c r="J2010" s="34" t="s">
        <v>1281</v>
      </c>
      <c r="K2010" s="34" t="s">
        <v>38</v>
      </c>
      <c r="L2010" s="4"/>
      <c r="M2010" s="4" t="s">
        <v>275</v>
      </c>
    </row>
    <row r="2011" spans="1:13" x14ac:dyDescent="0.25">
      <c r="A2011" s="34" t="s">
        <v>1436</v>
      </c>
      <c r="B2011" s="34" t="s">
        <v>0</v>
      </c>
      <c r="C2011" s="34" t="s">
        <v>130</v>
      </c>
      <c r="D2011" s="34" t="s">
        <v>131</v>
      </c>
      <c r="E2011" s="34" t="s">
        <v>59</v>
      </c>
      <c r="F2011" s="35">
        <v>43465</v>
      </c>
      <c r="G2011" s="35">
        <v>43549</v>
      </c>
      <c r="H2011" s="36">
        <v>0.63541666666666663</v>
      </c>
      <c r="I2011" s="34" t="s">
        <v>39</v>
      </c>
      <c r="J2011" s="34" t="s">
        <v>1674</v>
      </c>
      <c r="K2011" s="34" t="s">
        <v>38</v>
      </c>
      <c r="L2011" s="4"/>
      <c r="M2011" s="4" t="s">
        <v>275</v>
      </c>
    </row>
    <row r="2012" spans="1:13" x14ac:dyDescent="0.25">
      <c r="A2012" s="34" t="s">
        <v>1436</v>
      </c>
      <c r="B2012" s="34" t="s">
        <v>0</v>
      </c>
      <c r="C2012" s="34" t="s">
        <v>130</v>
      </c>
      <c r="D2012" s="34" t="s">
        <v>131</v>
      </c>
      <c r="E2012" s="34" t="s">
        <v>13</v>
      </c>
      <c r="F2012" s="35">
        <v>43468</v>
      </c>
      <c r="G2012" s="35">
        <v>43552</v>
      </c>
      <c r="H2012" s="36">
        <v>0.63541666666666663</v>
      </c>
      <c r="I2012" s="34" t="s">
        <v>39</v>
      </c>
      <c r="J2012" s="34" t="s">
        <v>1281</v>
      </c>
      <c r="K2012" s="34" t="s">
        <v>38</v>
      </c>
      <c r="L2012" s="4"/>
      <c r="M2012" s="4" t="s">
        <v>275</v>
      </c>
    </row>
    <row r="2013" spans="1:13" x14ac:dyDescent="0.25">
      <c r="A2013" s="34" t="s">
        <v>1436</v>
      </c>
      <c r="B2013" s="34" t="s">
        <v>0</v>
      </c>
      <c r="C2013" s="34" t="s">
        <v>134</v>
      </c>
      <c r="D2013" s="34" t="s">
        <v>135</v>
      </c>
      <c r="E2013" s="34" t="s">
        <v>95</v>
      </c>
      <c r="F2013" s="35">
        <v>43405</v>
      </c>
      <c r="G2013" s="35">
        <v>43554</v>
      </c>
      <c r="H2013" s="36">
        <v>0.47916666666666669</v>
      </c>
      <c r="I2013" s="34" t="s">
        <v>14</v>
      </c>
      <c r="J2013" s="34" t="s">
        <v>1021</v>
      </c>
      <c r="K2013" s="34" t="s">
        <v>38</v>
      </c>
      <c r="L2013" s="4"/>
      <c r="M2013" s="4" t="s">
        <v>275</v>
      </c>
    </row>
    <row r="2014" spans="1:13" x14ac:dyDescent="0.25">
      <c r="A2014" s="34" t="s">
        <v>1436</v>
      </c>
      <c r="B2014" s="34" t="s">
        <v>0</v>
      </c>
      <c r="C2014" s="34" t="s">
        <v>134</v>
      </c>
      <c r="D2014" s="34" t="s">
        <v>135</v>
      </c>
      <c r="E2014" s="34" t="s">
        <v>19</v>
      </c>
      <c r="F2014" s="35">
        <v>43473</v>
      </c>
      <c r="G2014" s="35">
        <v>43550</v>
      </c>
      <c r="H2014" s="36">
        <v>0.47916666666666669</v>
      </c>
      <c r="I2014" s="34" t="s">
        <v>14</v>
      </c>
      <c r="J2014" s="34" t="s">
        <v>1021</v>
      </c>
      <c r="K2014" s="34" t="s">
        <v>38</v>
      </c>
      <c r="L2014" s="4"/>
      <c r="M2014" s="4" t="s">
        <v>275</v>
      </c>
    </row>
    <row r="2015" spans="1:13" x14ac:dyDescent="0.25">
      <c r="A2015" s="34" t="s">
        <v>1436</v>
      </c>
      <c r="B2015" s="34" t="s">
        <v>0</v>
      </c>
      <c r="C2015" s="34" t="s">
        <v>134</v>
      </c>
      <c r="D2015" s="34" t="s">
        <v>135</v>
      </c>
      <c r="E2015" s="34" t="s">
        <v>18</v>
      </c>
      <c r="F2015" s="35">
        <v>43436</v>
      </c>
      <c r="G2015" s="35">
        <v>43548</v>
      </c>
      <c r="H2015" s="36">
        <v>0.52777777777777779</v>
      </c>
      <c r="I2015" s="34" t="s">
        <v>14</v>
      </c>
      <c r="J2015" s="34" t="s">
        <v>1021</v>
      </c>
      <c r="K2015" s="34" t="s">
        <v>38</v>
      </c>
      <c r="L2015" s="4"/>
      <c r="M2015" s="4" t="s">
        <v>275</v>
      </c>
    </row>
    <row r="2016" spans="1:13" x14ac:dyDescent="0.25">
      <c r="A2016" s="34" t="s">
        <v>1436</v>
      </c>
      <c r="B2016" s="34" t="s">
        <v>0</v>
      </c>
      <c r="C2016" s="34" t="s">
        <v>828</v>
      </c>
      <c r="D2016" s="34" t="s">
        <v>829</v>
      </c>
      <c r="E2016" s="34" t="s">
        <v>976</v>
      </c>
      <c r="F2016" s="35">
        <v>43403</v>
      </c>
      <c r="G2016" s="35">
        <v>43550</v>
      </c>
      <c r="H2016" s="36">
        <v>0.375</v>
      </c>
      <c r="I2016" s="34" t="s">
        <v>14</v>
      </c>
      <c r="J2016" s="34" t="s">
        <v>1675</v>
      </c>
      <c r="K2016" s="34" t="s">
        <v>544</v>
      </c>
      <c r="L2016" s="4"/>
      <c r="M2016" s="4" t="s">
        <v>275</v>
      </c>
    </row>
    <row r="2017" spans="1:13" x14ac:dyDescent="0.25">
      <c r="A2017" s="34" t="s">
        <v>1436</v>
      </c>
      <c r="B2017" s="34" t="s">
        <v>0</v>
      </c>
      <c r="C2017" s="34" t="s">
        <v>137</v>
      </c>
      <c r="D2017" s="34" t="s">
        <v>138</v>
      </c>
      <c r="E2017" s="34" t="s">
        <v>143</v>
      </c>
      <c r="F2017" s="35">
        <v>43401</v>
      </c>
      <c r="G2017" s="35">
        <v>43520</v>
      </c>
      <c r="H2017" s="36">
        <v>0.34027777777777773</v>
      </c>
      <c r="I2017" s="34" t="s">
        <v>139</v>
      </c>
      <c r="J2017" s="34" t="s">
        <v>1022</v>
      </c>
      <c r="K2017" s="34" t="s">
        <v>1533</v>
      </c>
      <c r="L2017" s="4"/>
      <c r="M2017" s="4" t="s">
        <v>275</v>
      </c>
    </row>
    <row r="2018" spans="1:13" x14ac:dyDescent="0.25">
      <c r="A2018" s="34" t="s">
        <v>1436</v>
      </c>
      <c r="B2018" s="34" t="s">
        <v>0</v>
      </c>
      <c r="C2018" s="34" t="s">
        <v>137</v>
      </c>
      <c r="D2018" s="34" t="s">
        <v>138</v>
      </c>
      <c r="E2018" s="34" t="s">
        <v>228</v>
      </c>
      <c r="F2018" s="35">
        <v>43404</v>
      </c>
      <c r="G2018" s="35">
        <v>43552</v>
      </c>
      <c r="H2018" s="36">
        <v>0.34027777777777773</v>
      </c>
      <c r="I2018" s="34" t="s">
        <v>139</v>
      </c>
      <c r="J2018" s="34" t="s">
        <v>1022</v>
      </c>
      <c r="K2018" s="34" t="s">
        <v>1533</v>
      </c>
      <c r="L2018" s="4"/>
      <c r="M2018" s="4" t="s">
        <v>275</v>
      </c>
    </row>
    <row r="2019" spans="1:13" x14ac:dyDescent="0.25">
      <c r="A2019" s="34" t="s">
        <v>1436</v>
      </c>
      <c r="B2019" s="34" t="s">
        <v>0</v>
      </c>
      <c r="C2019" s="34" t="s">
        <v>137</v>
      </c>
      <c r="D2019" s="34" t="s">
        <v>138</v>
      </c>
      <c r="E2019" s="34" t="s">
        <v>755</v>
      </c>
      <c r="F2019" s="35">
        <v>43472</v>
      </c>
      <c r="G2019" s="35">
        <v>43522</v>
      </c>
      <c r="H2019" s="36">
        <v>0.34027777777777773</v>
      </c>
      <c r="I2019" s="34" t="s">
        <v>139</v>
      </c>
      <c r="J2019" s="34" t="s">
        <v>1022</v>
      </c>
      <c r="K2019" s="34" t="s">
        <v>1533</v>
      </c>
      <c r="L2019" s="4"/>
      <c r="M2019" s="4" t="s">
        <v>275</v>
      </c>
    </row>
    <row r="2020" spans="1:13" x14ac:dyDescent="0.25">
      <c r="A2020" s="34" t="s">
        <v>1436</v>
      </c>
      <c r="B2020" s="34" t="s">
        <v>0</v>
      </c>
      <c r="C2020" s="34" t="s">
        <v>137</v>
      </c>
      <c r="D2020" s="34" t="s">
        <v>138</v>
      </c>
      <c r="E2020" s="34" t="s">
        <v>48</v>
      </c>
      <c r="F2020" s="35">
        <v>43406</v>
      </c>
      <c r="G2020" s="35">
        <v>43553</v>
      </c>
      <c r="H2020" s="36">
        <v>0.44444444444444442</v>
      </c>
      <c r="I2020" s="34" t="s">
        <v>139</v>
      </c>
      <c r="J2020" s="34" t="s">
        <v>1023</v>
      </c>
      <c r="K2020" s="34" t="s">
        <v>1533</v>
      </c>
      <c r="L2020" s="4"/>
      <c r="M2020" s="4" t="s">
        <v>275</v>
      </c>
    </row>
    <row r="2021" spans="1:13" x14ac:dyDescent="0.25">
      <c r="A2021" s="34" t="s">
        <v>1436</v>
      </c>
      <c r="B2021" s="34" t="s">
        <v>0</v>
      </c>
      <c r="C2021" s="34" t="s">
        <v>137</v>
      </c>
      <c r="D2021" s="34" t="s">
        <v>138</v>
      </c>
      <c r="E2021" s="34" t="s">
        <v>767</v>
      </c>
      <c r="F2021" s="35">
        <v>43401</v>
      </c>
      <c r="G2021" s="35">
        <v>43554</v>
      </c>
      <c r="H2021" s="36">
        <v>0.46527777777777773</v>
      </c>
      <c r="I2021" s="34" t="s">
        <v>139</v>
      </c>
      <c r="J2021" s="34" t="s">
        <v>1023</v>
      </c>
      <c r="K2021" s="34" t="s">
        <v>1533</v>
      </c>
      <c r="L2021" s="4"/>
      <c r="M2021" s="4" t="s">
        <v>275</v>
      </c>
    </row>
    <row r="2022" spans="1:13" x14ac:dyDescent="0.25">
      <c r="A2022" s="34" t="s">
        <v>1436</v>
      </c>
      <c r="B2022" s="34" t="s">
        <v>0</v>
      </c>
      <c r="C2022" s="34" t="s">
        <v>137</v>
      </c>
      <c r="D2022" s="34" t="s">
        <v>138</v>
      </c>
      <c r="E2022" s="34" t="s">
        <v>13</v>
      </c>
      <c r="F2022" s="35">
        <v>43405</v>
      </c>
      <c r="G2022" s="35">
        <v>43552</v>
      </c>
      <c r="H2022" s="36">
        <v>0.4861111111111111</v>
      </c>
      <c r="I2022" s="34" t="s">
        <v>139</v>
      </c>
      <c r="J2022" s="34" t="s">
        <v>1023</v>
      </c>
      <c r="K2022" s="34" t="s">
        <v>1533</v>
      </c>
      <c r="L2022" s="4"/>
      <c r="M2022" s="4" t="s">
        <v>275</v>
      </c>
    </row>
    <row r="2023" spans="1:13" x14ac:dyDescent="0.25">
      <c r="A2023" s="34" t="s">
        <v>1436</v>
      </c>
      <c r="B2023" s="34" t="s">
        <v>0</v>
      </c>
      <c r="C2023" s="34" t="s">
        <v>137</v>
      </c>
      <c r="D2023" s="34" t="s">
        <v>138</v>
      </c>
      <c r="E2023" s="34" t="s">
        <v>59</v>
      </c>
      <c r="F2023" s="35">
        <v>43472</v>
      </c>
      <c r="G2023" s="35">
        <v>43528</v>
      </c>
      <c r="H2023" s="36">
        <v>0.64236111111111105</v>
      </c>
      <c r="I2023" s="34" t="s">
        <v>139</v>
      </c>
      <c r="J2023" s="34" t="s">
        <v>1282</v>
      </c>
      <c r="K2023" s="34" t="s">
        <v>1533</v>
      </c>
      <c r="L2023" s="4"/>
      <c r="M2023" s="4" t="s">
        <v>275</v>
      </c>
    </row>
    <row r="2024" spans="1:13" x14ac:dyDescent="0.25">
      <c r="A2024" s="34" t="s">
        <v>1436</v>
      </c>
      <c r="B2024" s="34" t="s">
        <v>0</v>
      </c>
      <c r="C2024" s="34" t="s">
        <v>137</v>
      </c>
      <c r="D2024" s="34" t="s">
        <v>138</v>
      </c>
      <c r="E2024" s="34" t="s">
        <v>391</v>
      </c>
      <c r="F2024" s="35">
        <v>43473</v>
      </c>
      <c r="G2024" s="35">
        <v>43552</v>
      </c>
      <c r="H2024" s="36">
        <v>0.64236111111111105</v>
      </c>
      <c r="I2024" s="34" t="s">
        <v>139</v>
      </c>
      <c r="J2024" s="34" t="s">
        <v>1282</v>
      </c>
      <c r="K2024" s="34" t="s">
        <v>1533</v>
      </c>
      <c r="L2024" s="4"/>
      <c r="M2024" s="4" t="s">
        <v>275</v>
      </c>
    </row>
    <row r="2025" spans="1:13" x14ac:dyDescent="0.25">
      <c r="A2025" s="34" t="s">
        <v>1436</v>
      </c>
      <c r="B2025" s="34" t="s">
        <v>0</v>
      </c>
      <c r="C2025" s="34" t="s">
        <v>137</v>
      </c>
      <c r="D2025" s="34" t="s">
        <v>138</v>
      </c>
      <c r="E2025" s="34" t="s">
        <v>22</v>
      </c>
      <c r="F2025" s="35">
        <v>43498</v>
      </c>
      <c r="G2025" s="35">
        <v>43519</v>
      </c>
      <c r="H2025" s="36">
        <v>0.64236111111111105</v>
      </c>
      <c r="I2025" s="34" t="s">
        <v>139</v>
      </c>
      <c r="J2025" s="34" t="s">
        <v>1282</v>
      </c>
      <c r="K2025" s="34" t="s">
        <v>1533</v>
      </c>
      <c r="L2025" s="4"/>
      <c r="M2025" s="4" t="s">
        <v>275</v>
      </c>
    </row>
    <row r="2026" spans="1:13" x14ac:dyDescent="0.25">
      <c r="A2026" s="34" t="s">
        <v>1436</v>
      </c>
      <c r="B2026" s="34" t="s">
        <v>0</v>
      </c>
      <c r="C2026" s="34" t="s">
        <v>137</v>
      </c>
      <c r="D2026" s="34" t="s">
        <v>138</v>
      </c>
      <c r="E2026" s="34" t="s">
        <v>143</v>
      </c>
      <c r="F2026" s="35">
        <v>43471</v>
      </c>
      <c r="G2026" s="35">
        <v>43520</v>
      </c>
      <c r="H2026" s="36">
        <v>0.66666666666666663</v>
      </c>
      <c r="I2026" s="34" t="s">
        <v>139</v>
      </c>
      <c r="J2026" s="34" t="s">
        <v>1282</v>
      </c>
      <c r="K2026" s="34" t="s">
        <v>1533</v>
      </c>
      <c r="L2026" s="4"/>
      <c r="M2026" s="4" t="s">
        <v>275</v>
      </c>
    </row>
    <row r="2027" spans="1:13" x14ac:dyDescent="0.25">
      <c r="A2027" s="34" t="s">
        <v>1436</v>
      </c>
      <c r="B2027" s="34" t="s">
        <v>0</v>
      </c>
      <c r="C2027" s="34" t="s">
        <v>137</v>
      </c>
      <c r="D2027" s="34" t="s">
        <v>138</v>
      </c>
      <c r="E2027" s="34" t="s">
        <v>814</v>
      </c>
      <c r="F2027" s="35">
        <v>43402</v>
      </c>
      <c r="G2027" s="35">
        <v>43554</v>
      </c>
      <c r="H2027" s="36">
        <v>0.79861111111111116</v>
      </c>
      <c r="I2027" s="34" t="s">
        <v>139</v>
      </c>
      <c r="J2027" s="34" t="s">
        <v>1024</v>
      </c>
      <c r="K2027" s="34" t="s">
        <v>1533</v>
      </c>
      <c r="L2027" s="4"/>
      <c r="M2027" s="4" t="s">
        <v>275</v>
      </c>
    </row>
    <row r="2028" spans="1:13" x14ac:dyDescent="0.25">
      <c r="A2028" s="34" t="s">
        <v>1436</v>
      </c>
      <c r="B2028" s="34" t="s">
        <v>0</v>
      </c>
      <c r="C2028" s="34" t="s">
        <v>137</v>
      </c>
      <c r="D2028" s="34" t="s">
        <v>138</v>
      </c>
      <c r="E2028" s="34" t="s">
        <v>18</v>
      </c>
      <c r="F2028" s="35">
        <v>43401</v>
      </c>
      <c r="G2028" s="35">
        <v>43548</v>
      </c>
      <c r="H2028" s="36">
        <v>0.90277777777777779</v>
      </c>
      <c r="I2028" s="34" t="s">
        <v>139</v>
      </c>
      <c r="J2028" s="34" t="s">
        <v>1024</v>
      </c>
      <c r="K2028" s="34" t="s">
        <v>1533</v>
      </c>
      <c r="L2028" s="4"/>
      <c r="M2028" s="4" t="s">
        <v>275</v>
      </c>
    </row>
    <row r="2029" spans="1:13" x14ac:dyDescent="0.25">
      <c r="A2029" s="34" t="s">
        <v>1436</v>
      </c>
      <c r="B2029" s="34" t="s">
        <v>0</v>
      </c>
      <c r="C2029" s="34" t="s">
        <v>137</v>
      </c>
      <c r="D2029" s="34" t="s">
        <v>138</v>
      </c>
      <c r="E2029" s="34" t="s">
        <v>48</v>
      </c>
      <c r="F2029" s="35">
        <v>43406</v>
      </c>
      <c r="G2029" s="35">
        <v>43553</v>
      </c>
      <c r="H2029" s="36">
        <v>0.93402777777777779</v>
      </c>
      <c r="I2029" s="34" t="s">
        <v>139</v>
      </c>
      <c r="J2029" s="34" t="s">
        <v>1024</v>
      </c>
      <c r="K2029" s="34" t="s">
        <v>1533</v>
      </c>
      <c r="L2029" s="4"/>
      <c r="M2029" s="4" t="s">
        <v>275</v>
      </c>
    </row>
    <row r="2030" spans="1:13" x14ac:dyDescent="0.25">
      <c r="A2030" s="34" t="s">
        <v>1436</v>
      </c>
      <c r="B2030" s="34" t="s">
        <v>0</v>
      </c>
      <c r="C2030" s="34" t="s">
        <v>587</v>
      </c>
      <c r="D2030" s="34" t="s">
        <v>588</v>
      </c>
      <c r="E2030" s="34" t="s">
        <v>48</v>
      </c>
      <c r="F2030" s="35">
        <v>43511</v>
      </c>
      <c r="G2030" s="35">
        <v>43553</v>
      </c>
      <c r="H2030" s="36">
        <v>0.58333333333333337</v>
      </c>
      <c r="I2030" s="34" t="s">
        <v>14</v>
      </c>
      <c r="J2030" s="34" t="s">
        <v>1854</v>
      </c>
      <c r="K2030" s="34" t="s">
        <v>16</v>
      </c>
      <c r="L2030" s="4"/>
      <c r="M2030" s="4" t="s">
        <v>275</v>
      </c>
    </row>
    <row r="2031" spans="1:13" x14ac:dyDescent="0.25">
      <c r="A2031" s="34" t="s">
        <v>1436</v>
      </c>
      <c r="B2031" s="34" t="s">
        <v>0</v>
      </c>
      <c r="C2031" s="34" t="s">
        <v>177</v>
      </c>
      <c r="D2031" s="34" t="s">
        <v>178</v>
      </c>
      <c r="E2031" s="34" t="s">
        <v>18</v>
      </c>
      <c r="F2031" s="35">
        <v>43408</v>
      </c>
      <c r="G2031" s="35">
        <v>43548</v>
      </c>
      <c r="H2031" s="36">
        <v>0.51041666666666663</v>
      </c>
      <c r="I2031" s="34" t="s">
        <v>106</v>
      </c>
      <c r="J2031" s="34" t="s">
        <v>1676</v>
      </c>
      <c r="K2031" s="34" t="s">
        <v>45</v>
      </c>
      <c r="L2031" s="4"/>
      <c r="M2031" s="4" t="s">
        <v>275</v>
      </c>
    </row>
    <row r="2032" spans="1:13" x14ac:dyDescent="0.25">
      <c r="A2032" s="34" t="s">
        <v>1436</v>
      </c>
      <c r="B2032" s="34" t="s">
        <v>0</v>
      </c>
      <c r="C2032" s="34" t="s">
        <v>177</v>
      </c>
      <c r="D2032" s="34" t="s">
        <v>178</v>
      </c>
      <c r="E2032" s="34" t="s">
        <v>19</v>
      </c>
      <c r="F2032" s="35">
        <v>43410</v>
      </c>
      <c r="G2032" s="35">
        <v>43522</v>
      </c>
      <c r="H2032" s="36">
        <v>0.51736111111111105</v>
      </c>
      <c r="I2032" s="34" t="s">
        <v>14</v>
      </c>
      <c r="J2032" s="34" t="s">
        <v>1677</v>
      </c>
      <c r="K2032" s="34" t="s">
        <v>45</v>
      </c>
      <c r="L2032" s="4"/>
      <c r="M2032" s="4" t="s">
        <v>275</v>
      </c>
    </row>
    <row r="2033" spans="1:13" x14ac:dyDescent="0.25">
      <c r="A2033" s="34" t="s">
        <v>1436</v>
      </c>
      <c r="B2033" s="34" t="s">
        <v>0</v>
      </c>
      <c r="C2033" s="34" t="s">
        <v>177</v>
      </c>
      <c r="D2033" s="34" t="s">
        <v>178</v>
      </c>
      <c r="E2033" s="34" t="s">
        <v>672</v>
      </c>
      <c r="F2033" s="35">
        <v>43402</v>
      </c>
      <c r="G2033" s="35">
        <v>43547</v>
      </c>
      <c r="H2033" s="36">
        <v>0.52430555555555558</v>
      </c>
      <c r="I2033" s="34" t="s">
        <v>14</v>
      </c>
      <c r="J2033" s="34" t="s">
        <v>1025</v>
      </c>
      <c r="K2033" s="34" t="s">
        <v>45</v>
      </c>
      <c r="L2033" s="4"/>
      <c r="M2033" s="4" t="s">
        <v>275</v>
      </c>
    </row>
    <row r="2034" spans="1:13" x14ac:dyDescent="0.25">
      <c r="A2034" s="34" t="s">
        <v>1436</v>
      </c>
      <c r="B2034" s="34" t="s">
        <v>0</v>
      </c>
      <c r="C2034" s="34" t="s">
        <v>177</v>
      </c>
      <c r="D2034" s="34" t="s">
        <v>178</v>
      </c>
      <c r="E2034" s="34" t="s">
        <v>20</v>
      </c>
      <c r="F2034" s="35">
        <v>43502</v>
      </c>
      <c r="G2034" s="35">
        <v>43551</v>
      </c>
      <c r="H2034" s="36">
        <v>0.57291666666666663</v>
      </c>
      <c r="I2034" s="34" t="s">
        <v>14</v>
      </c>
      <c r="J2034" s="34" t="s">
        <v>1025</v>
      </c>
      <c r="K2034" s="34" t="s">
        <v>45</v>
      </c>
      <c r="L2034" s="4"/>
      <c r="M2034" s="4" t="s">
        <v>275</v>
      </c>
    </row>
    <row r="2035" spans="1:13" x14ac:dyDescent="0.25">
      <c r="A2035" s="34" t="s">
        <v>1436</v>
      </c>
      <c r="B2035" s="34" t="s">
        <v>0</v>
      </c>
      <c r="C2035" s="34" t="s">
        <v>177</v>
      </c>
      <c r="D2035" s="34" t="s">
        <v>178</v>
      </c>
      <c r="E2035" s="34" t="s">
        <v>48</v>
      </c>
      <c r="F2035" s="35">
        <v>43406</v>
      </c>
      <c r="G2035" s="35">
        <v>43553</v>
      </c>
      <c r="H2035" s="36">
        <v>0.57986111111111105</v>
      </c>
      <c r="I2035" s="34" t="s">
        <v>104</v>
      </c>
      <c r="J2035" s="34" t="s">
        <v>1026</v>
      </c>
      <c r="K2035" s="34" t="s">
        <v>45</v>
      </c>
      <c r="L2035" s="4"/>
      <c r="M2035" s="4" t="s">
        <v>275</v>
      </c>
    </row>
    <row r="2036" spans="1:13" x14ac:dyDescent="0.25">
      <c r="A2036" s="34" t="s">
        <v>1436</v>
      </c>
      <c r="B2036" s="34" t="s">
        <v>0</v>
      </c>
      <c r="C2036" s="34" t="s">
        <v>177</v>
      </c>
      <c r="D2036" s="34" t="s">
        <v>178</v>
      </c>
      <c r="E2036" s="34" t="s">
        <v>20</v>
      </c>
      <c r="F2036" s="35">
        <v>43411</v>
      </c>
      <c r="G2036" s="35">
        <v>43523</v>
      </c>
      <c r="H2036" s="36">
        <v>0.60416666666666663</v>
      </c>
      <c r="I2036" s="34" t="s">
        <v>104</v>
      </c>
      <c r="J2036" s="34" t="s">
        <v>1026</v>
      </c>
      <c r="K2036" s="34" t="s">
        <v>45</v>
      </c>
      <c r="L2036" s="4"/>
      <c r="M2036" s="4" t="s">
        <v>275</v>
      </c>
    </row>
    <row r="2037" spans="1:13" x14ac:dyDescent="0.25">
      <c r="A2037" s="34" t="s">
        <v>1436</v>
      </c>
      <c r="B2037" s="34" t="s">
        <v>0</v>
      </c>
      <c r="C2037" s="34" t="s">
        <v>177</v>
      </c>
      <c r="D2037" s="34" t="s">
        <v>178</v>
      </c>
      <c r="E2037" s="34" t="s">
        <v>59</v>
      </c>
      <c r="F2037" s="35">
        <v>43500</v>
      </c>
      <c r="G2037" s="35">
        <v>43542</v>
      </c>
      <c r="H2037" s="36">
        <v>0.625</v>
      </c>
      <c r="I2037" s="34" t="s">
        <v>104</v>
      </c>
      <c r="J2037" s="34" t="s">
        <v>1026</v>
      </c>
      <c r="K2037" s="34" t="s">
        <v>45</v>
      </c>
      <c r="L2037" s="4"/>
      <c r="M2037" s="4" t="s">
        <v>275</v>
      </c>
    </row>
    <row r="2038" spans="1:13" x14ac:dyDescent="0.25">
      <c r="A2038" s="34" t="s">
        <v>1436</v>
      </c>
      <c r="B2038" s="34" t="s">
        <v>0</v>
      </c>
      <c r="C2038" s="34" t="s">
        <v>177</v>
      </c>
      <c r="D2038" s="34" t="s">
        <v>178</v>
      </c>
      <c r="E2038" s="34" t="s">
        <v>22</v>
      </c>
      <c r="F2038" s="35">
        <v>43407</v>
      </c>
      <c r="G2038" s="35">
        <v>43554</v>
      </c>
      <c r="H2038" s="36">
        <v>0.64583333333333337</v>
      </c>
      <c r="I2038" s="34" t="s">
        <v>352</v>
      </c>
      <c r="J2038" s="34" t="s">
        <v>1677</v>
      </c>
      <c r="K2038" s="34" t="s">
        <v>45</v>
      </c>
      <c r="L2038" s="4"/>
      <c r="M2038" s="4" t="s">
        <v>275</v>
      </c>
    </row>
    <row r="2039" spans="1:13" x14ac:dyDescent="0.25">
      <c r="A2039" s="34" t="s">
        <v>1436</v>
      </c>
      <c r="B2039" s="34" t="s">
        <v>0</v>
      </c>
      <c r="C2039" s="34" t="s">
        <v>177</v>
      </c>
      <c r="D2039" s="34" t="s">
        <v>178</v>
      </c>
      <c r="E2039" s="34" t="s">
        <v>18</v>
      </c>
      <c r="F2039" s="35">
        <v>43401</v>
      </c>
      <c r="G2039" s="35">
        <v>43541</v>
      </c>
      <c r="H2039" s="36">
        <v>0.6875</v>
      </c>
      <c r="I2039" s="34" t="s">
        <v>104</v>
      </c>
      <c r="J2039" s="34" t="s">
        <v>1026</v>
      </c>
      <c r="K2039" s="34" t="s">
        <v>45</v>
      </c>
      <c r="L2039" s="4"/>
      <c r="M2039" s="4" t="s">
        <v>275</v>
      </c>
    </row>
    <row r="2040" spans="1:13" x14ac:dyDescent="0.25">
      <c r="A2040" s="34" t="s">
        <v>1436</v>
      </c>
      <c r="B2040" s="34" t="s">
        <v>0</v>
      </c>
      <c r="C2040" s="34" t="s">
        <v>180</v>
      </c>
      <c r="D2040" s="34" t="s">
        <v>181</v>
      </c>
      <c r="E2040" s="34" t="s">
        <v>19</v>
      </c>
      <c r="F2040" s="35">
        <v>43410</v>
      </c>
      <c r="G2040" s="35">
        <v>43550</v>
      </c>
      <c r="H2040" s="36">
        <v>0.50694444444444442</v>
      </c>
      <c r="I2040" s="34" t="s">
        <v>106</v>
      </c>
      <c r="J2040" s="34" t="s">
        <v>1028</v>
      </c>
      <c r="K2040" s="34" t="s">
        <v>45</v>
      </c>
      <c r="L2040" s="4"/>
      <c r="M2040" s="4" t="s">
        <v>275</v>
      </c>
    </row>
    <row r="2041" spans="1:13" x14ac:dyDescent="0.25">
      <c r="A2041" s="34" t="s">
        <v>1436</v>
      </c>
      <c r="B2041" s="34" t="s">
        <v>0</v>
      </c>
      <c r="C2041" s="34" t="s">
        <v>180</v>
      </c>
      <c r="D2041" s="34" t="s">
        <v>181</v>
      </c>
      <c r="E2041" s="34" t="s">
        <v>20</v>
      </c>
      <c r="F2041" s="35">
        <v>43453</v>
      </c>
      <c r="G2041" s="35">
        <v>43551</v>
      </c>
      <c r="H2041" s="36">
        <v>0.50694444444444442</v>
      </c>
      <c r="I2041" s="34" t="s">
        <v>106</v>
      </c>
      <c r="J2041" s="34" t="s">
        <v>1028</v>
      </c>
      <c r="K2041" s="34" t="s">
        <v>45</v>
      </c>
      <c r="L2041" s="4"/>
      <c r="M2041" s="4" t="s">
        <v>275</v>
      </c>
    </row>
    <row r="2042" spans="1:13" x14ac:dyDescent="0.25">
      <c r="A2042" s="34" t="s">
        <v>1436</v>
      </c>
      <c r="B2042" s="34" t="s">
        <v>0</v>
      </c>
      <c r="C2042" s="34" t="s">
        <v>180</v>
      </c>
      <c r="D2042" s="34" t="s">
        <v>181</v>
      </c>
      <c r="E2042" s="34" t="s">
        <v>20</v>
      </c>
      <c r="F2042" s="35">
        <v>43404</v>
      </c>
      <c r="G2042" s="35">
        <v>43551</v>
      </c>
      <c r="H2042" s="36">
        <v>0.61111111111111105</v>
      </c>
      <c r="I2042" s="34">
        <v>320</v>
      </c>
      <c r="J2042" s="34" t="s">
        <v>1027</v>
      </c>
      <c r="K2042" s="34" t="s">
        <v>45</v>
      </c>
      <c r="L2042" s="4"/>
      <c r="M2042" s="4" t="s">
        <v>275</v>
      </c>
    </row>
    <row r="2043" spans="1:13" x14ac:dyDescent="0.25">
      <c r="A2043" s="34" t="s">
        <v>1436</v>
      </c>
      <c r="B2043" s="34" t="s">
        <v>0</v>
      </c>
      <c r="C2043" s="34" t="s">
        <v>180</v>
      </c>
      <c r="D2043" s="34" t="s">
        <v>181</v>
      </c>
      <c r="E2043" s="34" t="s">
        <v>22</v>
      </c>
      <c r="F2043" s="35">
        <v>43407</v>
      </c>
      <c r="G2043" s="35">
        <v>43554</v>
      </c>
      <c r="H2043" s="36">
        <v>0.65972222222222221</v>
      </c>
      <c r="I2043" s="34">
        <v>319</v>
      </c>
      <c r="J2043" s="34" t="s">
        <v>1678</v>
      </c>
      <c r="K2043" s="34" t="s">
        <v>45</v>
      </c>
      <c r="L2043" s="4"/>
      <c r="M2043" s="4" t="s">
        <v>275</v>
      </c>
    </row>
    <row r="2044" spans="1:13" x14ac:dyDescent="0.25">
      <c r="A2044" s="34" t="s">
        <v>1436</v>
      </c>
      <c r="B2044" s="34" t="s">
        <v>0</v>
      </c>
      <c r="C2044" s="34" t="s">
        <v>180</v>
      </c>
      <c r="D2044" s="34" t="s">
        <v>181</v>
      </c>
      <c r="E2044" s="34" t="s">
        <v>22</v>
      </c>
      <c r="F2044" s="35">
        <v>43470</v>
      </c>
      <c r="G2044" s="35">
        <v>43554</v>
      </c>
      <c r="H2044" s="36">
        <v>0.70138888888888884</v>
      </c>
      <c r="I2044" s="34" t="s">
        <v>106</v>
      </c>
      <c r="J2044" s="34" t="s">
        <v>1028</v>
      </c>
      <c r="K2044" s="34" t="s">
        <v>45</v>
      </c>
      <c r="L2044" s="4"/>
      <c r="M2044" s="4" t="s">
        <v>275</v>
      </c>
    </row>
    <row r="2045" spans="1:13" x14ac:dyDescent="0.25">
      <c r="A2045" s="34" t="s">
        <v>1436</v>
      </c>
      <c r="B2045" s="34" t="s">
        <v>0</v>
      </c>
      <c r="C2045" s="34" t="s">
        <v>180</v>
      </c>
      <c r="D2045" s="34" t="s">
        <v>181</v>
      </c>
      <c r="E2045" s="34" t="s">
        <v>13</v>
      </c>
      <c r="F2045" s="35">
        <v>43468</v>
      </c>
      <c r="G2045" s="35">
        <v>43552</v>
      </c>
      <c r="H2045" s="36">
        <v>0.71875</v>
      </c>
      <c r="I2045" s="34" t="s">
        <v>106</v>
      </c>
      <c r="J2045" s="34" t="s">
        <v>1028</v>
      </c>
      <c r="K2045" s="34" t="s">
        <v>45</v>
      </c>
      <c r="L2045" s="4"/>
      <c r="M2045" s="4" t="s">
        <v>275</v>
      </c>
    </row>
    <row r="2046" spans="1:13" x14ac:dyDescent="0.25">
      <c r="A2046" s="34" t="s">
        <v>1436</v>
      </c>
      <c r="B2046" s="34" t="s">
        <v>0</v>
      </c>
      <c r="C2046" s="34" t="s">
        <v>180</v>
      </c>
      <c r="D2046" s="34" t="s">
        <v>181</v>
      </c>
      <c r="E2046" s="34" t="s">
        <v>18</v>
      </c>
      <c r="F2046" s="35">
        <v>43408</v>
      </c>
      <c r="G2046" s="35">
        <v>43548</v>
      </c>
      <c r="H2046" s="36">
        <v>0.77083333333333337</v>
      </c>
      <c r="I2046" s="34">
        <v>320</v>
      </c>
      <c r="J2046" s="34" t="s">
        <v>1027</v>
      </c>
      <c r="K2046" s="34" t="s">
        <v>45</v>
      </c>
      <c r="L2046" s="4"/>
      <c r="M2046" s="4" t="s">
        <v>275</v>
      </c>
    </row>
    <row r="2047" spans="1:13" x14ac:dyDescent="0.25">
      <c r="A2047" s="34" t="s">
        <v>1436</v>
      </c>
      <c r="B2047" s="34" t="s">
        <v>0</v>
      </c>
      <c r="C2047" s="34" t="s">
        <v>593</v>
      </c>
      <c r="D2047" s="34" t="s">
        <v>594</v>
      </c>
      <c r="E2047" s="34" t="s">
        <v>227</v>
      </c>
      <c r="F2047" s="35">
        <v>43406</v>
      </c>
      <c r="G2047" s="35">
        <v>43553</v>
      </c>
      <c r="H2047" s="36">
        <v>0.33333333333333331</v>
      </c>
      <c r="I2047" s="34" t="s">
        <v>14</v>
      </c>
      <c r="J2047" s="34" t="s">
        <v>1283</v>
      </c>
      <c r="K2047" s="34" t="s">
        <v>595</v>
      </c>
      <c r="L2047" s="4"/>
      <c r="M2047" s="4" t="s">
        <v>275</v>
      </c>
    </row>
    <row r="2048" spans="1:13" x14ac:dyDescent="0.25">
      <c r="A2048" s="34" t="s">
        <v>1436</v>
      </c>
      <c r="B2048" s="34" t="s">
        <v>0</v>
      </c>
      <c r="C2048" s="34" t="s">
        <v>593</v>
      </c>
      <c r="D2048" s="34" t="s">
        <v>594</v>
      </c>
      <c r="E2048" s="34" t="s">
        <v>1241</v>
      </c>
      <c r="F2048" s="35">
        <v>43498</v>
      </c>
      <c r="G2048" s="35">
        <v>43554</v>
      </c>
      <c r="H2048" s="36">
        <v>0.47222222222222227</v>
      </c>
      <c r="I2048" s="34" t="s">
        <v>39</v>
      </c>
      <c r="J2048" s="34" t="s">
        <v>1284</v>
      </c>
      <c r="K2048" s="34" t="s">
        <v>595</v>
      </c>
      <c r="L2048" s="4"/>
      <c r="M2048" s="4" t="s">
        <v>275</v>
      </c>
    </row>
    <row r="2049" spans="1:13" x14ac:dyDescent="0.25">
      <c r="A2049" s="34" t="s">
        <v>1436</v>
      </c>
      <c r="B2049" s="34" t="s">
        <v>0</v>
      </c>
      <c r="C2049" s="34" t="s">
        <v>593</v>
      </c>
      <c r="D2049" s="34" t="s">
        <v>594</v>
      </c>
      <c r="E2049" s="34" t="s">
        <v>54</v>
      </c>
      <c r="F2049" s="35">
        <v>43403</v>
      </c>
      <c r="G2049" s="35">
        <v>43551</v>
      </c>
      <c r="H2049" s="36">
        <v>0.67013888888888884</v>
      </c>
      <c r="I2049" s="34" t="s">
        <v>698</v>
      </c>
      <c r="J2049" s="34" t="s">
        <v>1679</v>
      </c>
      <c r="K2049" s="34" t="s">
        <v>595</v>
      </c>
      <c r="L2049" s="4"/>
      <c r="M2049" s="4" t="s">
        <v>275</v>
      </c>
    </row>
    <row r="2050" spans="1:13" x14ac:dyDescent="0.25">
      <c r="A2050" s="34" t="s">
        <v>1436</v>
      </c>
      <c r="B2050" s="34" t="s">
        <v>0</v>
      </c>
      <c r="C2050" s="34" t="s">
        <v>593</v>
      </c>
      <c r="D2050" s="34" t="s">
        <v>594</v>
      </c>
      <c r="E2050" s="34" t="s">
        <v>22</v>
      </c>
      <c r="F2050" s="35">
        <v>43407</v>
      </c>
      <c r="G2050" s="35">
        <v>43554</v>
      </c>
      <c r="H2050" s="36">
        <v>0.69791666666666663</v>
      </c>
      <c r="I2050" s="34" t="s">
        <v>698</v>
      </c>
      <c r="J2050" s="34" t="s">
        <v>1679</v>
      </c>
      <c r="K2050" s="34" t="s">
        <v>595</v>
      </c>
      <c r="L2050" s="4"/>
      <c r="M2050" s="4" t="s">
        <v>275</v>
      </c>
    </row>
    <row r="2051" spans="1:13" x14ac:dyDescent="0.25">
      <c r="A2051" s="34" t="s">
        <v>1436</v>
      </c>
      <c r="B2051" s="34" t="s">
        <v>0</v>
      </c>
      <c r="C2051" s="34" t="s">
        <v>593</v>
      </c>
      <c r="D2051" s="34" t="s">
        <v>594</v>
      </c>
      <c r="E2051" s="34" t="s">
        <v>18</v>
      </c>
      <c r="F2051" s="35">
        <v>43401</v>
      </c>
      <c r="G2051" s="35">
        <v>43548</v>
      </c>
      <c r="H2051" s="36">
        <v>0.72222222222222221</v>
      </c>
      <c r="I2051" s="34" t="s">
        <v>39</v>
      </c>
      <c r="J2051" s="34" t="s">
        <v>1680</v>
      </c>
      <c r="K2051" s="34" t="s">
        <v>595</v>
      </c>
      <c r="L2051" s="4"/>
      <c r="M2051" s="4" t="s">
        <v>275</v>
      </c>
    </row>
    <row r="2052" spans="1:13" x14ac:dyDescent="0.25">
      <c r="A2052" s="34" t="s">
        <v>1436</v>
      </c>
      <c r="B2052" s="34" t="s">
        <v>0</v>
      </c>
      <c r="C2052" s="34" t="s">
        <v>593</v>
      </c>
      <c r="D2052" s="34" t="s">
        <v>594</v>
      </c>
      <c r="E2052" s="34" t="s">
        <v>22</v>
      </c>
      <c r="F2052" s="35">
        <v>43407</v>
      </c>
      <c r="G2052" s="35">
        <v>43554</v>
      </c>
      <c r="H2052" s="36">
        <v>0.86458333333333337</v>
      </c>
      <c r="I2052" s="34" t="s">
        <v>14</v>
      </c>
      <c r="J2052" s="34" t="s">
        <v>1681</v>
      </c>
      <c r="K2052" s="34" t="s">
        <v>595</v>
      </c>
      <c r="L2052" s="4"/>
      <c r="M2052" s="4" t="s">
        <v>275</v>
      </c>
    </row>
    <row r="2053" spans="1:13" x14ac:dyDescent="0.25">
      <c r="A2053" s="34" t="s">
        <v>1436</v>
      </c>
      <c r="B2053" s="34" t="s">
        <v>0</v>
      </c>
      <c r="C2053" s="34" t="s">
        <v>593</v>
      </c>
      <c r="D2053" s="34" t="s">
        <v>594</v>
      </c>
      <c r="E2053" s="34" t="s">
        <v>583</v>
      </c>
      <c r="F2053" s="35">
        <v>43401</v>
      </c>
      <c r="G2053" s="35">
        <v>43553</v>
      </c>
      <c r="H2053" s="36">
        <v>0.90625</v>
      </c>
      <c r="I2053" s="34" t="s">
        <v>14</v>
      </c>
      <c r="J2053" s="34" t="s">
        <v>1681</v>
      </c>
      <c r="K2053" s="34" t="s">
        <v>595</v>
      </c>
      <c r="L2053" s="4"/>
      <c r="M2053" s="4" t="s">
        <v>275</v>
      </c>
    </row>
    <row r="2054" spans="1:13" x14ac:dyDescent="0.25">
      <c r="A2054" s="34" t="s">
        <v>1436</v>
      </c>
      <c r="B2054" s="34" t="s">
        <v>0</v>
      </c>
      <c r="C2054" s="34" t="s">
        <v>399</v>
      </c>
      <c r="D2054" s="34" t="s">
        <v>400</v>
      </c>
      <c r="E2054" s="34" t="s">
        <v>13</v>
      </c>
      <c r="F2054" s="35">
        <v>43419</v>
      </c>
      <c r="G2054" s="35">
        <v>43545</v>
      </c>
      <c r="H2054" s="36">
        <v>0.53472222222222221</v>
      </c>
      <c r="I2054" s="34">
        <v>738</v>
      </c>
      <c r="J2054" s="34" t="s">
        <v>1682</v>
      </c>
      <c r="K2054" s="34" t="s">
        <v>129</v>
      </c>
      <c r="L2054" s="4"/>
      <c r="M2054" s="4" t="s">
        <v>275</v>
      </c>
    </row>
    <row r="2055" spans="1:13" x14ac:dyDescent="0.25">
      <c r="A2055" s="34" t="s">
        <v>1436</v>
      </c>
      <c r="B2055" s="34" t="s">
        <v>0</v>
      </c>
      <c r="C2055" s="34" t="s">
        <v>399</v>
      </c>
      <c r="D2055" s="34" t="s">
        <v>400</v>
      </c>
      <c r="E2055" s="34" t="s">
        <v>18</v>
      </c>
      <c r="F2055" s="35">
        <v>43478</v>
      </c>
      <c r="G2055" s="35">
        <v>43548</v>
      </c>
      <c r="H2055" s="36">
        <v>0.59722222222222221</v>
      </c>
      <c r="I2055" s="34">
        <v>320</v>
      </c>
      <c r="J2055" s="34" t="s">
        <v>1029</v>
      </c>
      <c r="K2055" s="34" t="s">
        <v>129</v>
      </c>
      <c r="L2055" s="4"/>
      <c r="M2055" s="4" t="s">
        <v>275</v>
      </c>
    </row>
    <row r="2056" spans="1:13" x14ac:dyDescent="0.25">
      <c r="A2056" s="34" t="s">
        <v>1436</v>
      </c>
      <c r="B2056" s="34" t="s">
        <v>0</v>
      </c>
      <c r="C2056" s="34" t="s">
        <v>1030</v>
      </c>
      <c r="D2056" s="34" t="s">
        <v>1031</v>
      </c>
      <c r="E2056" s="34" t="s">
        <v>22</v>
      </c>
      <c r="F2056" s="35">
        <v>43498</v>
      </c>
      <c r="G2056" s="35">
        <v>43540</v>
      </c>
      <c r="H2056" s="36">
        <v>0.87152777777777779</v>
      </c>
      <c r="I2056" s="34">
        <v>321</v>
      </c>
      <c r="J2056" s="34" t="s">
        <v>1033</v>
      </c>
      <c r="K2056" s="34" t="s">
        <v>1032</v>
      </c>
      <c r="L2056" s="4"/>
      <c r="M2056" s="4" t="s">
        <v>275</v>
      </c>
    </row>
    <row r="2057" spans="1:13" x14ac:dyDescent="0.25">
      <c r="A2057" s="34" t="s">
        <v>1436</v>
      </c>
      <c r="B2057" s="34" t="s">
        <v>0</v>
      </c>
      <c r="C2057" s="34" t="s">
        <v>1030</v>
      </c>
      <c r="D2057" s="34" t="s">
        <v>1031</v>
      </c>
      <c r="E2057" s="34" t="s">
        <v>109</v>
      </c>
      <c r="F2057" s="35">
        <v>43501</v>
      </c>
      <c r="G2057" s="35">
        <v>43552</v>
      </c>
      <c r="H2057" s="36">
        <v>0.87152777777777779</v>
      </c>
      <c r="I2057" s="34">
        <v>321</v>
      </c>
      <c r="J2057" s="34" t="s">
        <v>1033</v>
      </c>
      <c r="K2057" s="34" t="s">
        <v>1032</v>
      </c>
      <c r="L2057" s="4"/>
      <c r="M2057" s="4" t="s">
        <v>275</v>
      </c>
    </row>
    <row r="2058" spans="1:13" x14ac:dyDescent="0.25">
      <c r="A2058" s="34" t="s">
        <v>1436</v>
      </c>
      <c r="B2058" s="34" t="s">
        <v>0</v>
      </c>
      <c r="C2058" s="34" t="s">
        <v>187</v>
      </c>
      <c r="D2058" s="34" t="s">
        <v>188</v>
      </c>
      <c r="E2058" s="34" t="s">
        <v>13</v>
      </c>
      <c r="F2058" s="35">
        <v>43405</v>
      </c>
      <c r="G2058" s="35">
        <v>43552</v>
      </c>
      <c r="H2058" s="36">
        <v>0.49652777777777773</v>
      </c>
      <c r="I2058" s="34" t="s">
        <v>14</v>
      </c>
      <c r="J2058" s="34" t="s">
        <v>1034</v>
      </c>
      <c r="K2058" s="34" t="s">
        <v>38</v>
      </c>
      <c r="L2058" s="4"/>
      <c r="M2058" s="4" t="s">
        <v>275</v>
      </c>
    </row>
    <row r="2059" spans="1:13" x14ac:dyDescent="0.25">
      <c r="A2059" s="34" t="s">
        <v>1436</v>
      </c>
      <c r="B2059" s="34" t="s">
        <v>0</v>
      </c>
      <c r="C2059" s="34" t="s">
        <v>187</v>
      </c>
      <c r="D2059" s="34" t="s">
        <v>188</v>
      </c>
      <c r="E2059" s="34" t="s">
        <v>143</v>
      </c>
      <c r="F2059" s="35">
        <v>43406</v>
      </c>
      <c r="G2059" s="35">
        <v>43553</v>
      </c>
      <c r="H2059" s="36">
        <v>0.59027777777777779</v>
      </c>
      <c r="I2059" s="34" t="s">
        <v>207</v>
      </c>
      <c r="J2059" s="34" t="s">
        <v>1035</v>
      </c>
      <c r="K2059" s="34" t="s">
        <v>38</v>
      </c>
      <c r="L2059" s="4"/>
      <c r="M2059" s="4" t="s">
        <v>275</v>
      </c>
    </row>
    <row r="2060" spans="1:13" x14ac:dyDescent="0.25">
      <c r="A2060" s="34" t="s">
        <v>1436</v>
      </c>
      <c r="B2060" s="34" t="s">
        <v>0</v>
      </c>
      <c r="C2060" s="34" t="s">
        <v>187</v>
      </c>
      <c r="D2060" s="34" t="s">
        <v>188</v>
      </c>
      <c r="E2060" s="34" t="s">
        <v>19</v>
      </c>
      <c r="F2060" s="35">
        <v>43501</v>
      </c>
      <c r="G2060" s="35">
        <v>43550</v>
      </c>
      <c r="H2060" s="36">
        <v>0.59027777777777779</v>
      </c>
      <c r="I2060" s="34" t="s">
        <v>207</v>
      </c>
      <c r="J2060" s="34" t="s">
        <v>1035</v>
      </c>
      <c r="K2060" s="34" t="s">
        <v>38</v>
      </c>
      <c r="L2060" s="4"/>
      <c r="M2060" s="4" t="s">
        <v>275</v>
      </c>
    </row>
    <row r="2061" spans="1:13" x14ac:dyDescent="0.25">
      <c r="A2061" s="34" t="s">
        <v>1436</v>
      </c>
      <c r="B2061" s="34" t="s">
        <v>0</v>
      </c>
      <c r="C2061" s="34" t="s">
        <v>187</v>
      </c>
      <c r="D2061" s="34" t="s">
        <v>188</v>
      </c>
      <c r="E2061" s="34" t="s">
        <v>13</v>
      </c>
      <c r="F2061" s="35">
        <v>43510</v>
      </c>
      <c r="G2061" s="35">
        <v>43552</v>
      </c>
      <c r="H2061" s="36">
        <v>0.59027777777777779</v>
      </c>
      <c r="I2061" s="34" t="s">
        <v>207</v>
      </c>
      <c r="J2061" s="34" t="s">
        <v>1035</v>
      </c>
      <c r="K2061" s="34" t="s">
        <v>38</v>
      </c>
      <c r="L2061" s="4"/>
      <c r="M2061" s="4" t="s">
        <v>275</v>
      </c>
    </row>
    <row r="2062" spans="1:13" x14ac:dyDescent="0.25">
      <c r="A2062" s="34" t="s">
        <v>1436</v>
      </c>
      <c r="B2062" s="34" t="s">
        <v>0</v>
      </c>
      <c r="C2062" s="34" t="s">
        <v>187</v>
      </c>
      <c r="D2062" s="34" t="s">
        <v>188</v>
      </c>
      <c r="E2062" s="34" t="s">
        <v>22</v>
      </c>
      <c r="F2062" s="35">
        <v>43512</v>
      </c>
      <c r="G2062" s="35">
        <v>43512</v>
      </c>
      <c r="H2062" s="36">
        <v>0.59027777777777779</v>
      </c>
      <c r="I2062" s="34" t="s">
        <v>207</v>
      </c>
      <c r="J2062" s="34" t="s">
        <v>1035</v>
      </c>
      <c r="K2062" s="34" t="s">
        <v>38</v>
      </c>
      <c r="L2062" s="4"/>
      <c r="M2062" s="4" t="s">
        <v>275</v>
      </c>
    </row>
    <row r="2063" spans="1:13" x14ac:dyDescent="0.25">
      <c r="A2063" s="34" t="s">
        <v>1436</v>
      </c>
      <c r="B2063" s="34" t="s">
        <v>0</v>
      </c>
      <c r="C2063" s="34" t="s">
        <v>187</v>
      </c>
      <c r="D2063" s="34" t="s">
        <v>188</v>
      </c>
      <c r="E2063" s="34" t="s">
        <v>59</v>
      </c>
      <c r="F2063" s="35">
        <v>43514</v>
      </c>
      <c r="G2063" s="35">
        <v>43542</v>
      </c>
      <c r="H2063" s="36">
        <v>0.59027777777777779</v>
      </c>
      <c r="I2063" s="34" t="s">
        <v>207</v>
      </c>
      <c r="J2063" s="34" t="s">
        <v>1035</v>
      </c>
      <c r="K2063" s="34" t="s">
        <v>38</v>
      </c>
      <c r="L2063" s="4"/>
      <c r="M2063" s="4" t="s">
        <v>275</v>
      </c>
    </row>
    <row r="2064" spans="1:13" x14ac:dyDescent="0.25">
      <c r="A2064" s="34" t="s">
        <v>1436</v>
      </c>
      <c r="B2064" s="34" t="s">
        <v>0</v>
      </c>
      <c r="C2064" s="34" t="s">
        <v>187</v>
      </c>
      <c r="D2064" s="34" t="s">
        <v>188</v>
      </c>
      <c r="E2064" s="34" t="s">
        <v>22</v>
      </c>
      <c r="F2064" s="35">
        <v>43470</v>
      </c>
      <c r="G2064" s="35">
        <v>43554</v>
      </c>
      <c r="H2064" s="36">
        <v>0.61458333333333337</v>
      </c>
      <c r="I2064" s="34" t="s">
        <v>14</v>
      </c>
      <c r="J2064" s="34" t="s">
        <v>1034</v>
      </c>
      <c r="K2064" s="34" t="s">
        <v>38</v>
      </c>
      <c r="L2064" s="4"/>
      <c r="M2064" s="4" t="s">
        <v>275</v>
      </c>
    </row>
    <row r="2065" spans="1:13" x14ac:dyDescent="0.25">
      <c r="A2065" s="34" t="s">
        <v>1436</v>
      </c>
      <c r="B2065" s="34" t="s">
        <v>0</v>
      </c>
      <c r="C2065" s="34" t="s">
        <v>187</v>
      </c>
      <c r="D2065" s="34" t="s">
        <v>188</v>
      </c>
      <c r="E2065" s="34" t="s">
        <v>19</v>
      </c>
      <c r="F2065" s="35">
        <v>43466</v>
      </c>
      <c r="G2065" s="35">
        <v>43550</v>
      </c>
      <c r="H2065" s="36">
        <v>0.71875</v>
      </c>
      <c r="I2065" s="34" t="s">
        <v>14</v>
      </c>
      <c r="J2065" s="34" t="s">
        <v>1034</v>
      </c>
      <c r="K2065" s="34" t="s">
        <v>38</v>
      </c>
      <c r="L2065" s="4"/>
      <c r="M2065" s="4" t="s">
        <v>275</v>
      </c>
    </row>
    <row r="2066" spans="1:13" x14ac:dyDescent="0.25">
      <c r="A2066" s="34" t="s">
        <v>1436</v>
      </c>
      <c r="B2066" s="34" t="s">
        <v>0</v>
      </c>
      <c r="C2066" s="34" t="s">
        <v>187</v>
      </c>
      <c r="D2066" s="34" t="s">
        <v>188</v>
      </c>
      <c r="E2066" s="34" t="s">
        <v>22</v>
      </c>
      <c r="F2066" s="35">
        <v>43512</v>
      </c>
      <c r="G2066" s="35">
        <v>43519</v>
      </c>
      <c r="H2066" s="36">
        <v>0.84027777777777779</v>
      </c>
      <c r="I2066" s="34" t="s">
        <v>207</v>
      </c>
      <c r="J2066" s="34" t="s">
        <v>1285</v>
      </c>
      <c r="K2066" s="34" t="s">
        <v>38</v>
      </c>
      <c r="L2066" s="4"/>
      <c r="M2066" s="4" t="s">
        <v>275</v>
      </c>
    </row>
    <row r="2067" spans="1:13" x14ac:dyDescent="0.25">
      <c r="A2067" s="34" t="s">
        <v>1436</v>
      </c>
      <c r="B2067" s="34" t="s">
        <v>0</v>
      </c>
      <c r="C2067" s="34" t="s">
        <v>192</v>
      </c>
      <c r="D2067" s="34" t="s">
        <v>193</v>
      </c>
      <c r="E2067" s="34" t="s">
        <v>22</v>
      </c>
      <c r="F2067" s="35">
        <v>43484</v>
      </c>
      <c r="G2067" s="35">
        <v>43554</v>
      </c>
      <c r="H2067" s="36">
        <v>0.62152777777777779</v>
      </c>
      <c r="I2067" s="34">
        <v>321</v>
      </c>
      <c r="J2067" s="34" t="s">
        <v>1907</v>
      </c>
      <c r="K2067" s="34" t="s">
        <v>45</v>
      </c>
      <c r="L2067" s="4"/>
      <c r="M2067" s="4" t="s">
        <v>275</v>
      </c>
    </row>
    <row r="2068" spans="1:13" x14ac:dyDescent="0.25">
      <c r="A2068" s="34" t="s">
        <v>1436</v>
      </c>
      <c r="B2068" s="34" t="s">
        <v>0</v>
      </c>
      <c r="C2068" s="34" t="s">
        <v>192</v>
      </c>
      <c r="D2068" s="34" t="s">
        <v>193</v>
      </c>
      <c r="E2068" s="34" t="s">
        <v>59</v>
      </c>
      <c r="F2068" s="35">
        <v>43500</v>
      </c>
      <c r="G2068" s="35">
        <v>43549</v>
      </c>
      <c r="H2068" s="36">
        <v>0.64236111111111105</v>
      </c>
      <c r="I2068" s="34" t="s">
        <v>39</v>
      </c>
      <c r="J2068" s="34" t="s">
        <v>1036</v>
      </c>
      <c r="K2068" s="34" t="s">
        <v>45</v>
      </c>
      <c r="L2068" s="4"/>
      <c r="M2068" s="4" t="s">
        <v>275</v>
      </c>
    </row>
    <row r="2069" spans="1:13" x14ac:dyDescent="0.25">
      <c r="A2069" s="34" t="s">
        <v>1436</v>
      </c>
      <c r="B2069" s="34" t="s">
        <v>0</v>
      </c>
      <c r="C2069" s="34" t="s">
        <v>192</v>
      </c>
      <c r="D2069" s="34" t="s">
        <v>193</v>
      </c>
      <c r="E2069" s="34" t="s">
        <v>48</v>
      </c>
      <c r="F2069" s="35">
        <v>43406</v>
      </c>
      <c r="G2069" s="35">
        <v>43511</v>
      </c>
      <c r="H2069" s="36">
        <v>0.68055555555555547</v>
      </c>
      <c r="I2069" s="34" t="s">
        <v>39</v>
      </c>
      <c r="J2069" s="34" t="s">
        <v>1036</v>
      </c>
      <c r="K2069" s="34" t="s">
        <v>45</v>
      </c>
      <c r="L2069" s="34"/>
      <c r="M2069" s="4" t="s">
        <v>275</v>
      </c>
    </row>
    <row r="2070" spans="1:13" x14ac:dyDescent="0.25">
      <c r="A2070" s="34" t="s">
        <v>1436</v>
      </c>
      <c r="B2070" s="34" t="s">
        <v>0</v>
      </c>
      <c r="C2070" s="34" t="s">
        <v>641</v>
      </c>
      <c r="D2070" s="34" t="s">
        <v>642</v>
      </c>
      <c r="E2070" s="34" t="s">
        <v>19</v>
      </c>
      <c r="F2070" s="35">
        <v>43445</v>
      </c>
      <c r="G2070" s="35">
        <v>43550</v>
      </c>
      <c r="H2070" s="36">
        <v>0.52083333333333337</v>
      </c>
      <c r="I2070" s="34" t="s">
        <v>81</v>
      </c>
      <c r="J2070" s="34" t="s">
        <v>1585</v>
      </c>
      <c r="K2070" s="34" t="s">
        <v>79</v>
      </c>
      <c r="L2070" s="34" t="s">
        <v>138</v>
      </c>
      <c r="M2070" s="4" t="s">
        <v>275</v>
      </c>
    </row>
    <row r="2071" spans="1:13" x14ac:dyDescent="0.25">
      <c r="A2071" s="34" t="s">
        <v>1436</v>
      </c>
      <c r="B2071" s="34" t="s">
        <v>0</v>
      </c>
      <c r="C2071" s="34" t="s">
        <v>641</v>
      </c>
      <c r="D2071" s="34" t="s">
        <v>642</v>
      </c>
      <c r="E2071" s="34" t="s">
        <v>18</v>
      </c>
      <c r="F2071" s="35">
        <v>43443</v>
      </c>
      <c r="G2071" s="35">
        <v>43548</v>
      </c>
      <c r="H2071" s="36">
        <v>0.57638888888888895</v>
      </c>
      <c r="I2071" s="34" t="s">
        <v>81</v>
      </c>
      <c r="J2071" s="34" t="s">
        <v>1585</v>
      </c>
      <c r="K2071" s="34" t="s">
        <v>79</v>
      </c>
      <c r="L2071" s="34" t="s">
        <v>138</v>
      </c>
      <c r="M2071" s="4" t="s">
        <v>275</v>
      </c>
    </row>
    <row r="2072" spans="1:13" x14ac:dyDescent="0.25">
      <c r="A2072" s="34" t="s">
        <v>1436</v>
      </c>
      <c r="B2072" s="34" t="s">
        <v>0</v>
      </c>
      <c r="C2072" s="34" t="s">
        <v>195</v>
      </c>
      <c r="D2072" s="34" t="s">
        <v>196</v>
      </c>
      <c r="E2072" s="34" t="s">
        <v>19</v>
      </c>
      <c r="F2072" s="35">
        <v>43466</v>
      </c>
      <c r="G2072" s="35">
        <v>43550</v>
      </c>
      <c r="H2072" s="36">
        <v>0.75347222222222221</v>
      </c>
      <c r="I2072" s="34" t="s">
        <v>14</v>
      </c>
      <c r="J2072" s="34" t="s">
        <v>1037</v>
      </c>
      <c r="K2072" s="34" t="s">
        <v>38</v>
      </c>
      <c r="L2072" s="34"/>
      <c r="M2072" s="4" t="s">
        <v>275</v>
      </c>
    </row>
    <row r="2073" spans="1:13" x14ac:dyDescent="0.25">
      <c r="A2073" s="34" t="s">
        <v>1436</v>
      </c>
      <c r="B2073" s="34" t="s">
        <v>0</v>
      </c>
      <c r="C2073" s="34" t="s">
        <v>646</v>
      </c>
      <c r="D2073" s="34" t="s">
        <v>647</v>
      </c>
      <c r="E2073" s="34" t="s">
        <v>22</v>
      </c>
      <c r="F2073" s="35">
        <v>43407</v>
      </c>
      <c r="G2073" s="35">
        <v>43554</v>
      </c>
      <c r="H2073" s="36">
        <v>0.51041666666666663</v>
      </c>
      <c r="I2073" s="34">
        <v>320</v>
      </c>
      <c r="J2073" s="34" t="s">
        <v>1038</v>
      </c>
      <c r="K2073" s="34" t="s">
        <v>38</v>
      </c>
      <c r="L2073" s="34"/>
      <c r="M2073" s="4" t="s">
        <v>275</v>
      </c>
    </row>
    <row r="2074" spans="1:13" x14ac:dyDescent="0.25">
      <c r="A2074" s="34" t="s">
        <v>1436</v>
      </c>
      <c r="B2074" s="34" t="s">
        <v>0</v>
      </c>
      <c r="C2074" s="34" t="s">
        <v>198</v>
      </c>
      <c r="D2074" s="34" t="s">
        <v>199</v>
      </c>
      <c r="E2074" s="34" t="s">
        <v>18</v>
      </c>
      <c r="F2074" s="35">
        <v>43401</v>
      </c>
      <c r="G2074" s="35">
        <v>43548</v>
      </c>
      <c r="H2074" s="36">
        <v>0.4826388888888889</v>
      </c>
      <c r="I2074" s="34" t="s">
        <v>14</v>
      </c>
      <c r="J2074" s="34" t="s">
        <v>1040</v>
      </c>
      <c r="K2074" s="34" t="s">
        <v>38</v>
      </c>
      <c r="L2074" s="34"/>
      <c r="M2074" s="4" t="s">
        <v>275</v>
      </c>
    </row>
    <row r="2075" spans="1:13" x14ac:dyDescent="0.25">
      <c r="A2075" s="34" t="s">
        <v>1436</v>
      </c>
      <c r="B2075" s="34" t="s">
        <v>0</v>
      </c>
      <c r="C2075" s="34" t="s">
        <v>198</v>
      </c>
      <c r="D2075" s="34" t="s">
        <v>199</v>
      </c>
      <c r="E2075" s="34" t="s">
        <v>20</v>
      </c>
      <c r="F2075" s="35">
        <v>43467</v>
      </c>
      <c r="G2075" s="35">
        <v>43551</v>
      </c>
      <c r="H2075" s="36">
        <v>0.4826388888888889</v>
      </c>
      <c r="I2075" s="34" t="s">
        <v>14</v>
      </c>
      <c r="J2075" s="34" t="s">
        <v>1040</v>
      </c>
      <c r="K2075" s="34" t="s">
        <v>38</v>
      </c>
      <c r="L2075" s="34"/>
      <c r="M2075" s="4" t="s">
        <v>275</v>
      </c>
    </row>
    <row r="2076" spans="1:13" x14ac:dyDescent="0.25">
      <c r="A2076" s="34" t="s">
        <v>1436</v>
      </c>
      <c r="B2076" s="34" t="s">
        <v>0</v>
      </c>
      <c r="C2076" s="34" t="s">
        <v>198</v>
      </c>
      <c r="D2076" s="34" t="s">
        <v>199</v>
      </c>
      <c r="E2076" s="34" t="s">
        <v>13</v>
      </c>
      <c r="F2076" s="35">
        <v>43405</v>
      </c>
      <c r="G2076" s="35">
        <v>43552</v>
      </c>
      <c r="H2076" s="36">
        <v>0.50347222222222221</v>
      </c>
      <c r="I2076" s="34">
        <v>320</v>
      </c>
      <c r="J2076" s="34" t="s">
        <v>1039</v>
      </c>
      <c r="K2076" s="34" t="s">
        <v>38</v>
      </c>
      <c r="L2076" s="34"/>
      <c r="M2076" s="4" t="s">
        <v>275</v>
      </c>
    </row>
    <row r="2077" spans="1:13" x14ac:dyDescent="0.25">
      <c r="A2077" s="34" t="s">
        <v>1436</v>
      </c>
      <c r="B2077" s="34" t="s">
        <v>0</v>
      </c>
      <c r="C2077" s="34" t="s">
        <v>198</v>
      </c>
      <c r="D2077" s="34" t="s">
        <v>199</v>
      </c>
      <c r="E2077" s="34" t="s">
        <v>22</v>
      </c>
      <c r="F2077" s="35">
        <v>43407</v>
      </c>
      <c r="G2077" s="35">
        <v>43554</v>
      </c>
      <c r="H2077" s="36">
        <v>0.73958333333333337</v>
      </c>
      <c r="I2077" s="34">
        <v>320</v>
      </c>
      <c r="J2077" s="34" t="s">
        <v>1039</v>
      </c>
      <c r="K2077" s="34" t="s">
        <v>38</v>
      </c>
      <c r="L2077" s="34"/>
      <c r="M2077" s="4" t="s">
        <v>275</v>
      </c>
    </row>
    <row r="2078" spans="1:13" x14ac:dyDescent="0.25">
      <c r="A2078" s="34" t="s">
        <v>1436</v>
      </c>
      <c r="B2078" s="34" t="s">
        <v>0</v>
      </c>
      <c r="C2078" s="34" t="s">
        <v>198</v>
      </c>
      <c r="D2078" s="34" t="s">
        <v>199</v>
      </c>
      <c r="E2078" s="34" t="s">
        <v>19</v>
      </c>
      <c r="F2078" s="35">
        <v>43473</v>
      </c>
      <c r="G2078" s="35">
        <v>43550</v>
      </c>
      <c r="H2078" s="36">
        <v>0.74305555555555547</v>
      </c>
      <c r="I2078" s="34">
        <v>320</v>
      </c>
      <c r="J2078" s="34" t="s">
        <v>1039</v>
      </c>
      <c r="K2078" s="34" t="s">
        <v>38</v>
      </c>
      <c r="L2078" s="34"/>
      <c r="M2078" s="4" t="s">
        <v>275</v>
      </c>
    </row>
    <row r="2079" spans="1:13" x14ac:dyDescent="0.25">
      <c r="A2079" s="34" t="s">
        <v>1436</v>
      </c>
      <c r="B2079" s="34" t="s">
        <v>0</v>
      </c>
      <c r="C2079" s="34" t="s">
        <v>202</v>
      </c>
      <c r="D2079" s="34" t="s">
        <v>203</v>
      </c>
      <c r="E2079" s="34" t="s">
        <v>1673</v>
      </c>
      <c r="F2079" s="35">
        <v>43401</v>
      </c>
      <c r="G2079" s="35">
        <v>43554</v>
      </c>
      <c r="H2079" s="36">
        <v>0.47222222222222227</v>
      </c>
      <c r="I2079" s="34" t="s">
        <v>14</v>
      </c>
      <c r="J2079" s="34" t="s">
        <v>1043</v>
      </c>
      <c r="K2079" s="34" t="s">
        <v>38</v>
      </c>
      <c r="L2079" s="34"/>
      <c r="M2079" s="4" t="s">
        <v>275</v>
      </c>
    </row>
    <row r="2080" spans="1:13" x14ac:dyDescent="0.25">
      <c r="A2080" s="34" t="s">
        <v>1436</v>
      </c>
      <c r="B2080" s="34" t="s">
        <v>0</v>
      </c>
      <c r="C2080" s="34" t="s">
        <v>202</v>
      </c>
      <c r="D2080" s="34" t="s">
        <v>203</v>
      </c>
      <c r="E2080" s="34" t="s">
        <v>54</v>
      </c>
      <c r="F2080" s="35">
        <v>43466</v>
      </c>
      <c r="G2080" s="35">
        <v>43551</v>
      </c>
      <c r="H2080" s="36">
        <v>0.47222222222222227</v>
      </c>
      <c r="I2080" s="34" t="s">
        <v>14</v>
      </c>
      <c r="J2080" s="34" t="s">
        <v>1043</v>
      </c>
      <c r="K2080" s="34" t="s">
        <v>38</v>
      </c>
      <c r="L2080" s="34"/>
      <c r="M2080" s="4" t="s">
        <v>275</v>
      </c>
    </row>
    <row r="2081" spans="1:13" x14ac:dyDescent="0.25">
      <c r="A2081" s="34" t="s">
        <v>1436</v>
      </c>
      <c r="B2081" s="34" t="s">
        <v>0</v>
      </c>
      <c r="C2081" s="34" t="s">
        <v>202</v>
      </c>
      <c r="D2081" s="34" t="s">
        <v>203</v>
      </c>
      <c r="E2081" s="34" t="s">
        <v>59</v>
      </c>
      <c r="F2081" s="35">
        <v>43472</v>
      </c>
      <c r="G2081" s="35">
        <v>43549</v>
      </c>
      <c r="H2081" s="36">
        <v>0.5</v>
      </c>
      <c r="I2081" s="34" t="s">
        <v>14</v>
      </c>
      <c r="J2081" s="34" t="s">
        <v>1043</v>
      </c>
      <c r="K2081" s="34" t="s">
        <v>38</v>
      </c>
      <c r="L2081" s="34"/>
      <c r="M2081" s="4" t="s">
        <v>275</v>
      </c>
    </row>
    <row r="2082" spans="1:13" x14ac:dyDescent="0.25">
      <c r="A2082" s="34" t="s">
        <v>1436</v>
      </c>
      <c r="B2082" s="34" t="s">
        <v>0</v>
      </c>
      <c r="C2082" s="34" t="s">
        <v>202</v>
      </c>
      <c r="D2082" s="34" t="s">
        <v>203</v>
      </c>
      <c r="E2082" s="34" t="s">
        <v>22</v>
      </c>
      <c r="F2082" s="35">
        <v>43477</v>
      </c>
      <c r="G2082" s="35">
        <v>43554</v>
      </c>
      <c r="H2082" s="36">
        <v>0.52777777777777779</v>
      </c>
      <c r="I2082" s="34" t="s">
        <v>14</v>
      </c>
      <c r="J2082" s="34" t="s">
        <v>1044</v>
      </c>
      <c r="K2082" s="34" t="s">
        <v>38</v>
      </c>
      <c r="L2082" s="34"/>
      <c r="M2082" s="4" t="s">
        <v>275</v>
      </c>
    </row>
    <row r="2083" spans="1:13" x14ac:dyDescent="0.25">
      <c r="A2083" s="34" t="s">
        <v>1436</v>
      </c>
      <c r="B2083" s="34" t="s">
        <v>0</v>
      </c>
      <c r="C2083" s="34" t="s">
        <v>202</v>
      </c>
      <c r="D2083" s="34" t="s">
        <v>203</v>
      </c>
      <c r="E2083" s="34" t="s">
        <v>48</v>
      </c>
      <c r="F2083" s="35">
        <v>43511</v>
      </c>
      <c r="G2083" s="35">
        <v>43518</v>
      </c>
      <c r="H2083" s="36">
        <v>0.56944444444444442</v>
      </c>
      <c r="I2083" s="34" t="s">
        <v>14</v>
      </c>
      <c r="J2083" s="34" t="s">
        <v>1041</v>
      </c>
      <c r="K2083" s="34" t="s">
        <v>38</v>
      </c>
      <c r="L2083" s="34"/>
      <c r="M2083" s="4" t="s">
        <v>275</v>
      </c>
    </row>
    <row r="2084" spans="1:13" x14ac:dyDescent="0.25">
      <c r="A2084" s="34" t="s">
        <v>1436</v>
      </c>
      <c r="B2084" s="34" t="s">
        <v>0</v>
      </c>
      <c r="C2084" s="34" t="s">
        <v>202</v>
      </c>
      <c r="D2084" s="34" t="s">
        <v>203</v>
      </c>
      <c r="E2084" s="34" t="s">
        <v>18</v>
      </c>
      <c r="F2084" s="35">
        <v>43408</v>
      </c>
      <c r="G2084" s="35">
        <v>43548</v>
      </c>
      <c r="H2084" s="36">
        <v>0.60416666666666663</v>
      </c>
      <c r="I2084" s="34" t="s">
        <v>14</v>
      </c>
      <c r="J2084" s="34" t="s">
        <v>1042</v>
      </c>
      <c r="K2084" s="34" t="s">
        <v>38</v>
      </c>
      <c r="L2084" s="34"/>
      <c r="M2084" s="4" t="s">
        <v>275</v>
      </c>
    </row>
    <row r="2085" spans="1:13" x14ac:dyDescent="0.25">
      <c r="A2085" s="34" t="s">
        <v>1436</v>
      </c>
      <c r="B2085" s="34" t="s">
        <v>0</v>
      </c>
      <c r="C2085" s="34" t="s">
        <v>202</v>
      </c>
      <c r="D2085" s="34" t="s">
        <v>203</v>
      </c>
      <c r="E2085" s="34" t="s">
        <v>48</v>
      </c>
      <c r="F2085" s="35">
        <v>43406</v>
      </c>
      <c r="G2085" s="35">
        <v>43553</v>
      </c>
      <c r="H2085" s="36">
        <v>0.63888888888888895</v>
      </c>
      <c r="I2085" s="34" t="s">
        <v>14</v>
      </c>
      <c r="J2085" s="34" t="s">
        <v>1042</v>
      </c>
      <c r="K2085" s="34" t="s">
        <v>38</v>
      </c>
      <c r="L2085" s="4"/>
      <c r="M2085" s="4" t="s">
        <v>275</v>
      </c>
    </row>
    <row r="2086" spans="1:13" x14ac:dyDescent="0.25">
      <c r="A2086" s="34" t="s">
        <v>1436</v>
      </c>
      <c r="B2086" s="34" t="s">
        <v>0</v>
      </c>
      <c r="C2086" s="34" t="s">
        <v>202</v>
      </c>
      <c r="D2086" s="34" t="s">
        <v>203</v>
      </c>
      <c r="E2086" s="34" t="s">
        <v>228</v>
      </c>
      <c r="F2086" s="35">
        <v>43404</v>
      </c>
      <c r="G2086" s="35">
        <v>43552</v>
      </c>
      <c r="H2086" s="36">
        <v>0.64583333333333337</v>
      </c>
      <c r="I2086" s="34" t="s">
        <v>14</v>
      </c>
      <c r="J2086" s="34" t="s">
        <v>1042</v>
      </c>
      <c r="K2086" s="34" t="s">
        <v>38</v>
      </c>
      <c r="L2086" s="4"/>
      <c r="M2086" s="4" t="s">
        <v>275</v>
      </c>
    </row>
    <row r="2087" spans="1:13" x14ac:dyDescent="0.25">
      <c r="A2087" s="34" t="s">
        <v>1436</v>
      </c>
      <c r="B2087" s="34" t="s">
        <v>0</v>
      </c>
      <c r="C2087" s="34" t="s">
        <v>202</v>
      </c>
      <c r="D2087" s="34" t="s">
        <v>203</v>
      </c>
      <c r="E2087" s="34" t="s">
        <v>146</v>
      </c>
      <c r="F2087" s="35">
        <v>43472</v>
      </c>
      <c r="G2087" s="35">
        <v>43550</v>
      </c>
      <c r="H2087" s="36">
        <v>0.64583333333333337</v>
      </c>
      <c r="I2087" s="34" t="s">
        <v>14</v>
      </c>
      <c r="J2087" s="34" t="s">
        <v>1042</v>
      </c>
      <c r="K2087" s="34" t="s">
        <v>38</v>
      </c>
      <c r="L2087" s="4"/>
      <c r="M2087" s="4" t="s">
        <v>275</v>
      </c>
    </row>
    <row r="2088" spans="1:13" x14ac:dyDescent="0.25">
      <c r="A2088" s="34" t="s">
        <v>1436</v>
      </c>
      <c r="B2088" s="34" t="s">
        <v>0</v>
      </c>
      <c r="C2088" s="34" t="s">
        <v>202</v>
      </c>
      <c r="D2088" s="34" t="s">
        <v>203</v>
      </c>
      <c r="E2088" s="34" t="s">
        <v>22</v>
      </c>
      <c r="F2088" s="35">
        <v>43407</v>
      </c>
      <c r="G2088" s="35">
        <v>43554</v>
      </c>
      <c r="H2088" s="36">
        <v>0.65972222222222221</v>
      </c>
      <c r="I2088" s="34" t="s">
        <v>14</v>
      </c>
      <c r="J2088" s="34" t="s">
        <v>1042</v>
      </c>
      <c r="K2088" s="34" t="s">
        <v>38</v>
      </c>
      <c r="L2088" s="4"/>
      <c r="M2088" s="4" t="s">
        <v>275</v>
      </c>
    </row>
    <row r="2089" spans="1:13" x14ac:dyDescent="0.25">
      <c r="A2089" s="34" t="s">
        <v>1436</v>
      </c>
      <c r="B2089" s="34" t="s">
        <v>0</v>
      </c>
      <c r="C2089" s="34" t="s">
        <v>202</v>
      </c>
      <c r="D2089" s="34" t="s">
        <v>203</v>
      </c>
      <c r="E2089" s="34" t="s">
        <v>13</v>
      </c>
      <c r="F2089" s="35">
        <v>43405</v>
      </c>
      <c r="G2089" s="35">
        <v>43552</v>
      </c>
      <c r="H2089" s="36">
        <v>0.71527777777777779</v>
      </c>
      <c r="I2089" s="34" t="s">
        <v>14</v>
      </c>
      <c r="J2089" s="34" t="s">
        <v>1044</v>
      </c>
      <c r="K2089" s="34" t="s">
        <v>38</v>
      </c>
      <c r="L2089" s="4"/>
      <c r="M2089" s="4" t="s">
        <v>275</v>
      </c>
    </row>
    <row r="2090" spans="1:13" x14ac:dyDescent="0.25">
      <c r="A2090" s="34" t="s">
        <v>1436</v>
      </c>
      <c r="B2090" s="34" t="s">
        <v>0</v>
      </c>
      <c r="C2090" s="34" t="s">
        <v>202</v>
      </c>
      <c r="D2090" s="34" t="s">
        <v>203</v>
      </c>
      <c r="E2090" s="34" t="s">
        <v>18</v>
      </c>
      <c r="F2090" s="35">
        <v>43401</v>
      </c>
      <c r="G2090" s="35">
        <v>43548</v>
      </c>
      <c r="H2090" s="36">
        <v>0.80555555555555547</v>
      </c>
      <c r="I2090" s="34" t="s">
        <v>14</v>
      </c>
      <c r="J2090" s="34" t="s">
        <v>1044</v>
      </c>
      <c r="K2090" s="34" t="s">
        <v>38</v>
      </c>
      <c r="L2090" s="4"/>
      <c r="M2090" s="4" t="s">
        <v>275</v>
      </c>
    </row>
    <row r="2091" spans="1:13" x14ac:dyDescent="0.25">
      <c r="A2091" s="34" t="s">
        <v>1436</v>
      </c>
      <c r="B2091" s="34" t="s">
        <v>0</v>
      </c>
      <c r="C2091" s="34" t="s">
        <v>202</v>
      </c>
      <c r="D2091" s="34" t="s">
        <v>203</v>
      </c>
      <c r="E2091" s="34" t="s">
        <v>22</v>
      </c>
      <c r="F2091" s="35">
        <v>43512</v>
      </c>
      <c r="G2091" s="35">
        <v>43554</v>
      </c>
      <c r="H2091" s="36">
        <v>0.82986111111111116</v>
      </c>
      <c r="I2091" s="34" t="s">
        <v>14</v>
      </c>
      <c r="J2091" s="34" t="s">
        <v>1041</v>
      </c>
      <c r="K2091" s="34" t="s">
        <v>38</v>
      </c>
      <c r="L2091" s="4"/>
      <c r="M2091" s="4" t="s">
        <v>275</v>
      </c>
    </row>
    <row r="2092" spans="1:13" x14ac:dyDescent="0.25">
      <c r="A2092" s="34" t="s">
        <v>1436</v>
      </c>
      <c r="B2092" s="34" t="s">
        <v>0</v>
      </c>
      <c r="C2092" s="34" t="s">
        <v>208</v>
      </c>
      <c r="D2092" s="34" t="s">
        <v>209</v>
      </c>
      <c r="E2092" s="34" t="s">
        <v>409</v>
      </c>
      <c r="F2092" s="35">
        <v>43401</v>
      </c>
      <c r="G2092" s="35">
        <v>43554</v>
      </c>
      <c r="H2092" s="36">
        <v>0.46180555555555558</v>
      </c>
      <c r="I2092" s="34" t="s">
        <v>14</v>
      </c>
      <c r="J2092" s="34" t="s">
        <v>1045</v>
      </c>
      <c r="K2092" s="34" t="s">
        <v>38</v>
      </c>
      <c r="L2092" s="4"/>
      <c r="M2092" s="4" t="s">
        <v>275</v>
      </c>
    </row>
    <row r="2093" spans="1:13" x14ac:dyDescent="0.25">
      <c r="A2093" s="34" t="s">
        <v>1436</v>
      </c>
      <c r="B2093" s="34" t="s">
        <v>0</v>
      </c>
      <c r="C2093" s="34" t="s">
        <v>208</v>
      </c>
      <c r="D2093" s="34" t="s">
        <v>209</v>
      </c>
      <c r="E2093" s="34" t="s">
        <v>22</v>
      </c>
      <c r="F2093" s="35">
        <v>43407</v>
      </c>
      <c r="G2093" s="35">
        <v>43554</v>
      </c>
      <c r="H2093" s="36">
        <v>0.50694444444444442</v>
      </c>
      <c r="I2093" s="34">
        <v>320</v>
      </c>
      <c r="J2093" s="34" t="s">
        <v>1047</v>
      </c>
      <c r="K2093" s="34" t="s">
        <v>38</v>
      </c>
      <c r="L2093" s="4"/>
      <c r="M2093" s="4" t="s">
        <v>275</v>
      </c>
    </row>
    <row r="2094" spans="1:13" x14ac:dyDescent="0.25">
      <c r="A2094" s="34" t="s">
        <v>1436</v>
      </c>
      <c r="B2094" s="34" t="s">
        <v>0</v>
      </c>
      <c r="C2094" s="34" t="s">
        <v>208</v>
      </c>
      <c r="D2094" s="34" t="s">
        <v>209</v>
      </c>
      <c r="E2094" s="34" t="s">
        <v>18</v>
      </c>
      <c r="F2094" s="35">
        <v>43450</v>
      </c>
      <c r="G2094" s="35">
        <v>43548</v>
      </c>
      <c r="H2094" s="36">
        <v>0.51388888888888895</v>
      </c>
      <c r="I2094" s="34">
        <v>320</v>
      </c>
      <c r="J2094" s="34" t="s">
        <v>1048</v>
      </c>
      <c r="K2094" s="34" t="s">
        <v>38</v>
      </c>
      <c r="L2094" s="4"/>
      <c r="M2094" s="4" t="s">
        <v>275</v>
      </c>
    </row>
    <row r="2095" spans="1:13" x14ac:dyDescent="0.25">
      <c r="A2095" s="34" t="s">
        <v>1436</v>
      </c>
      <c r="B2095" s="34" t="s">
        <v>0</v>
      </c>
      <c r="C2095" s="34" t="s">
        <v>208</v>
      </c>
      <c r="D2095" s="34" t="s">
        <v>209</v>
      </c>
      <c r="E2095" s="34" t="s">
        <v>13</v>
      </c>
      <c r="F2095" s="35">
        <v>43510</v>
      </c>
      <c r="G2095" s="35">
        <v>43552</v>
      </c>
      <c r="H2095" s="36">
        <v>0.51388888888888895</v>
      </c>
      <c r="I2095" s="34">
        <v>320</v>
      </c>
      <c r="J2095" s="34" t="s">
        <v>1048</v>
      </c>
      <c r="K2095" s="34" t="s">
        <v>38</v>
      </c>
      <c r="L2095" s="4"/>
      <c r="M2095" s="4" t="s">
        <v>275</v>
      </c>
    </row>
    <row r="2096" spans="1:13" x14ac:dyDescent="0.25">
      <c r="A2096" s="34" t="s">
        <v>1436</v>
      </c>
      <c r="B2096" s="34" t="s">
        <v>0</v>
      </c>
      <c r="C2096" s="34" t="s">
        <v>208</v>
      </c>
      <c r="D2096" s="34" t="s">
        <v>209</v>
      </c>
      <c r="E2096" s="34" t="s">
        <v>18</v>
      </c>
      <c r="F2096" s="35">
        <v>43408</v>
      </c>
      <c r="G2096" s="35">
        <v>43548</v>
      </c>
      <c r="H2096" s="36">
        <v>0.55555555555555558</v>
      </c>
      <c r="I2096" s="34" t="s">
        <v>39</v>
      </c>
      <c r="J2096" s="34" t="s">
        <v>1047</v>
      </c>
      <c r="K2096" s="34" t="s">
        <v>38</v>
      </c>
      <c r="L2096" s="4"/>
      <c r="M2096" s="4" t="s">
        <v>275</v>
      </c>
    </row>
    <row r="2097" spans="1:13" x14ac:dyDescent="0.25">
      <c r="A2097" s="34" t="s">
        <v>1436</v>
      </c>
      <c r="B2097" s="34" t="s">
        <v>0</v>
      </c>
      <c r="C2097" s="34" t="s">
        <v>208</v>
      </c>
      <c r="D2097" s="34" t="s">
        <v>209</v>
      </c>
      <c r="E2097" s="34" t="s">
        <v>20</v>
      </c>
      <c r="F2097" s="35">
        <v>43404</v>
      </c>
      <c r="G2097" s="35">
        <v>43551</v>
      </c>
      <c r="H2097" s="36">
        <v>0.55902777777777779</v>
      </c>
      <c r="I2097" s="34" t="s">
        <v>39</v>
      </c>
      <c r="J2097" s="34" t="s">
        <v>1047</v>
      </c>
      <c r="K2097" s="34" t="s">
        <v>38</v>
      </c>
      <c r="L2097" s="4"/>
      <c r="M2097" s="4" t="s">
        <v>275</v>
      </c>
    </row>
    <row r="2098" spans="1:13" x14ac:dyDescent="0.25">
      <c r="A2098" s="34" t="s">
        <v>1436</v>
      </c>
      <c r="B2098" s="34" t="s">
        <v>0</v>
      </c>
      <c r="C2098" s="34" t="s">
        <v>208</v>
      </c>
      <c r="D2098" s="34" t="s">
        <v>209</v>
      </c>
      <c r="E2098" s="34" t="s">
        <v>13</v>
      </c>
      <c r="F2098" s="35">
        <v>43419</v>
      </c>
      <c r="G2098" s="35">
        <v>43552</v>
      </c>
      <c r="H2098" s="36">
        <v>0.55902777777777779</v>
      </c>
      <c r="I2098" s="34" t="s">
        <v>39</v>
      </c>
      <c r="J2098" s="34" t="s">
        <v>1047</v>
      </c>
      <c r="K2098" s="34" t="s">
        <v>38</v>
      </c>
      <c r="L2098" s="4"/>
      <c r="M2098" s="4" t="s">
        <v>275</v>
      </c>
    </row>
    <row r="2099" spans="1:13" x14ac:dyDescent="0.25">
      <c r="A2099" s="34" t="s">
        <v>1436</v>
      </c>
      <c r="B2099" s="34" t="s">
        <v>0</v>
      </c>
      <c r="C2099" s="34" t="s">
        <v>208</v>
      </c>
      <c r="D2099" s="34" t="s">
        <v>209</v>
      </c>
      <c r="E2099" s="34" t="s">
        <v>37</v>
      </c>
      <c r="F2099" s="35">
        <v>43441</v>
      </c>
      <c r="G2099" s="35">
        <v>43553</v>
      </c>
      <c r="H2099" s="36">
        <v>0.55902777777777779</v>
      </c>
      <c r="I2099" s="34" t="s">
        <v>39</v>
      </c>
      <c r="J2099" s="34" t="s">
        <v>1047</v>
      </c>
      <c r="K2099" s="34" t="s">
        <v>38</v>
      </c>
      <c r="L2099" s="4"/>
      <c r="M2099" s="4" t="s">
        <v>275</v>
      </c>
    </row>
    <row r="2100" spans="1:13" x14ac:dyDescent="0.25">
      <c r="A2100" s="34" t="s">
        <v>1436</v>
      </c>
      <c r="B2100" s="34" t="s">
        <v>0</v>
      </c>
      <c r="C2100" s="34" t="s">
        <v>208</v>
      </c>
      <c r="D2100" s="34" t="s">
        <v>209</v>
      </c>
      <c r="E2100" s="34" t="s">
        <v>19</v>
      </c>
      <c r="F2100" s="35">
        <v>43473</v>
      </c>
      <c r="G2100" s="35">
        <v>43550</v>
      </c>
      <c r="H2100" s="36">
        <v>0.55902777777777779</v>
      </c>
      <c r="I2100" s="34" t="s">
        <v>39</v>
      </c>
      <c r="J2100" s="34" t="s">
        <v>1047</v>
      </c>
      <c r="K2100" s="34" t="s">
        <v>38</v>
      </c>
      <c r="L2100" s="4"/>
      <c r="M2100" s="4" t="s">
        <v>275</v>
      </c>
    </row>
    <row r="2101" spans="1:13" x14ac:dyDescent="0.25">
      <c r="A2101" s="34" t="s">
        <v>1436</v>
      </c>
      <c r="B2101" s="34" t="s">
        <v>0</v>
      </c>
      <c r="C2101" s="34" t="s">
        <v>208</v>
      </c>
      <c r="D2101" s="34" t="s">
        <v>209</v>
      </c>
      <c r="E2101" s="34" t="s">
        <v>48</v>
      </c>
      <c r="F2101" s="35">
        <v>43504</v>
      </c>
      <c r="G2101" s="35">
        <v>43532</v>
      </c>
      <c r="H2101" s="36">
        <v>0.5625</v>
      </c>
      <c r="I2101" s="34">
        <v>320</v>
      </c>
      <c r="J2101" s="34" t="s">
        <v>1683</v>
      </c>
      <c r="K2101" s="34" t="s">
        <v>38</v>
      </c>
      <c r="L2101" s="4"/>
      <c r="M2101" s="4" t="s">
        <v>275</v>
      </c>
    </row>
    <row r="2102" spans="1:13" x14ac:dyDescent="0.25">
      <c r="A2102" s="34" t="s">
        <v>1436</v>
      </c>
      <c r="B2102" s="34" t="s">
        <v>0</v>
      </c>
      <c r="C2102" s="34" t="s">
        <v>208</v>
      </c>
      <c r="D2102" s="34" t="s">
        <v>209</v>
      </c>
      <c r="E2102" s="34" t="s">
        <v>48</v>
      </c>
      <c r="F2102" s="35">
        <v>43420</v>
      </c>
      <c r="G2102" s="35">
        <v>43525</v>
      </c>
      <c r="H2102" s="36">
        <v>0.57986111111111105</v>
      </c>
      <c r="I2102" s="34">
        <v>320</v>
      </c>
      <c r="J2102" s="34" t="s">
        <v>1048</v>
      </c>
      <c r="K2102" s="34" t="s">
        <v>38</v>
      </c>
      <c r="L2102" s="4"/>
      <c r="M2102" s="4" t="s">
        <v>275</v>
      </c>
    </row>
    <row r="2103" spans="1:13" x14ac:dyDescent="0.25">
      <c r="A2103" s="34" t="s">
        <v>1436</v>
      </c>
      <c r="B2103" s="34" t="s">
        <v>0</v>
      </c>
      <c r="C2103" s="34" t="s">
        <v>208</v>
      </c>
      <c r="D2103" s="34" t="s">
        <v>209</v>
      </c>
      <c r="E2103" s="34" t="s">
        <v>19</v>
      </c>
      <c r="F2103" s="35">
        <v>43466</v>
      </c>
      <c r="G2103" s="35">
        <v>43550</v>
      </c>
      <c r="H2103" s="36">
        <v>0.57986111111111105</v>
      </c>
      <c r="I2103" s="34">
        <v>320</v>
      </c>
      <c r="J2103" s="34" t="s">
        <v>1048</v>
      </c>
      <c r="K2103" s="34" t="s">
        <v>38</v>
      </c>
      <c r="L2103" s="4"/>
      <c r="M2103" s="4" t="s">
        <v>275</v>
      </c>
    </row>
    <row r="2104" spans="1:13" x14ac:dyDescent="0.25">
      <c r="A2104" s="34" t="s">
        <v>1436</v>
      </c>
      <c r="B2104" s="34" t="s">
        <v>0</v>
      </c>
      <c r="C2104" s="34" t="s">
        <v>208</v>
      </c>
      <c r="D2104" s="34" t="s">
        <v>209</v>
      </c>
      <c r="E2104" s="34" t="s">
        <v>20</v>
      </c>
      <c r="F2104" s="35">
        <v>43404</v>
      </c>
      <c r="G2104" s="35">
        <v>43551</v>
      </c>
      <c r="H2104" s="36">
        <v>0.59375</v>
      </c>
      <c r="I2104" s="34">
        <v>320</v>
      </c>
      <c r="J2104" s="34" t="s">
        <v>1048</v>
      </c>
      <c r="K2104" s="34" t="s">
        <v>38</v>
      </c>
      <c r="L2104" s="4"/>
      <c r="M2104" s="4" t="s">
        <v>275</v>
      </c>
    </row>
    <row r="2105" spans="1:13" x14ac:dyDescent="0.25">
      <c r="A2105" s="34" t="s">
        <v>1436</v>
      </c>
      <c r="B2105" s="34" t="s">
        <v>0</v>
      </c>
      <c r="C2105" s="34" t="s">
        <v>208</v>
      </c>
      <c r="D2105" s="34" t="s">
        <v>209</v>
      </c>
      <c r="E2105" s="34" t="s">
        <v>59</v>
      </c>
      <c r="F2105" s="35">
        <v>43507</v>
      </c>
      <c r="G2105" s="35">
        <v>43549</v>
      </c>
      <c r="H2105" s="36">
        <v>0.59375</v>
      </c>
      <c r="I2105" s="34">
        <v>320</v>
      </c>
      <c r="J2105" s="34" t="s">
        <v>1048</v>
      </c>
      <c r="K2105" s="34" t="s">
        <v>38</v>
      </c>
      <c r="L2105" s="4"/>
      <c r="M2105" s="4" t="s">
        <v>275</v>
      </c>
    </row>
    <row r="2106" spans="1:13" x14ac:dyDescent="0.25">
      <c r="A2106" s="34" t="s">
        <v>1436</v>
      </c>
      <c r="B2106" s="34" t="s">
        <v>0</v>
      </c>
      <c r="C2106" s="34" t="s">
        <v>208</v>
      </c>
      <c r="D2106" s="34" t="s">
        <v>209</v>
      </c>
      <c r="E2106" s="34" t="s">
        <v>13</v>
      </c>
      <c r="F2106" s="35">
        <v>43454</v>
      </c>
      <c r="G2106" s="35">
        <v>43552</v>
      </c>
      <c r="H2106" s="36">
        <v>0.62152777777777779</v>
      </c>
      <c r="I2106" s="34" t="s">
        <v>39</v>
      </c>
      <c r="J2106" s="34" t="s">
        <v>1049</v>
      </c>
      <c r="K2106" s="34" t="s">
        <v>38</v>
      </c>
      <c r="L2106" s="4"/>
      <c r="M2106" s="4" t="s">
        <v>275</v>
      </c>
    </row>
    <row r="2107" spans="1:13" x14ac:dyDescent="0.25">
      <c r="A2107" s="34" t="s">
        <v>1436</v>
      </c>
      <c r="B2107" s="34" t="s">
        <v>0</v>
      </c>
      <c r="C2107" s="34" t="s">
        <v>208</v>
      </c>
      <c r="D2107" s="34" t="s">
        <v>209</v>
      </c>
      <c r="E2107" s="34" t="s">
        <v>59</v>
      </c>
      <c r="F2107" s="35">
        <v>43507</v>
      </c>
      <c r="G2107" s="35">
        <v>43549</v>
      </c>
      <c r="H2107" s="36">
        <v>0.62152777777777779</v>
      </c>
      <c r="I2107" s="34">
        <v>320</v>
      </c>
      <c r="J2107" s="34" t="s">
        <v>1683</v>
      </c>
      <c r="K2107" s="34" t="s">
        <v>38</v>
      </c>
      <c r="L2107" s="4"/>
      <c r="M2107" s="4" t="s">
        <v>275</v>
      </c>
    </row>
    <row r="2108" spans="1:13" x14ac:dyDescent="0.25">
      <c r="A2108" s="34" t="s">
        <v>1436</v>
      </c>
      <c r="B2108" s="34" t="s">
        <v>0</v>
      </c>
      <c r="C2108" s="34" t="s">
        <v>208</v>
      </c>
      <c r="D2108" s="34" t="s">
        <v>209</v>
      </c>
      <c r="E2108" s="34" t="s">
        <v>22</v>
      </c>
      <c r="F2108" s="35">
        <v>43512</v>
      </c>
      <c r="G2108" s="35">
        <v>43554</v>
      </c>
      <c r="H2108" s="36">
        <v>0.625</v>
      </c>
      <c r="I2108" s="34" t="s">
        <v>39</v>
      </c>
      <c r="J2108" s="34" t="s">
        <v>1049</v>
      </c>
      <c r="K2108" s="34" t="s">
        <v>38</v>
      </c>
      <c r="L2108" s="4"/>
      <c r="M2108" s="4" t="s">
        <v>275</v>
      </c>
    </row>
    <row r="2109" spans="1:13" x14ac:dyDescent="0.25">
      <c r="A2109" s="34" t="s">
        <v>1436</v>
      </c>
      <c r="B2109" s="34" t="s">
        <v>0</v>
      </c>
      <c r="C2109" s="34" t="s">
        <v>208</v>
      </c>
      <c r="D2109" s="34" t="s">
        <v>209</v>
      </c>
      <c r="E2109" s="34" t="s">
        <v>13</v>
      </c>
      <c r="F2109" s="35">
        <v>43468</v>
      </c>
      <c r="G2109" s="35">
        <v>43552</v>
      </c>
      <c r="H2109" s="36">
        <v>0.63541666666666663</v>
      </c>
      <c r="I2109" s="34">
        <v>320</v>
      </c>
      <c r="J2109" s="34" t="s">
        <v>1683</v>
      </c>
      <c r="K2109" s="34" t="s">
        <v>38</v>
      </c>
      <c r="L2109" s="4"/>
      <c r="M2109" s="4" t="s">
        <v>275</v>
      </c>
    </row>
    <row r="2110" spans="1:13" x14ac:dyDescent="0.25">
      <c r="A2110" s="34" t="s">
        <v>1436</v>
      </c>
      <c r="B2110" s="34" t="s">
        <v>0</v>
      </c>
      <c r="C2110" s="34" t="s">
        <v>208</v>
      </c>
      <c r="D2110" s="34" t="s">
        <v>209</v>
      </c>
      <c r="E2110" s="34" t="s">
        <v>19</v>
      </c>
      <c r="F2110" s="35">
        <v>43403</v>
      </c>
      <c r="G2110" s="35">
        <v>43550</v>
      </c>
      <c r="H2110" s="36">
        <v>0.63888888888888895</v>
      </c>
      <c r="I2110" s="34" t="s">
        <v>39</v>
      </c>
      <c r="J2110" s="34" t="s">
        <v>1049</v>
      </c>
      <c r="K2110" s="34" t="s">
        <v>38</v>
      </c>
      <c r="L2110" s="4"/>
      <c r="M2110" s="4" t="s">
        <v>275</v>
      </c>
    </row>
    <row r="2111" spans="1:13" x14ac:dyDescent="0.25">
      <c r="A2111" s="34" t="s">
        <v>1436</v>
      </c>
      <c r="B2111" s="34" t="s">
        <v>0</v>
      </c>
      <c r="C2111" s="34" t="s">
        <v>208</v>
      </c>
      <c r="D2111" s="34" t="s">
        <v>209</v>
      </c>
      <c r="E2111" s="34" t="s">
        <v>48</v>
      </c>
      <c r="F2111" s="35">
        <v>43511</v>
      </c>
      <c r="G2111" s="35">
        <v>43553</v>
      </c>
      <c r="H2111" s="36">
        <v>0.63888888888888895</v>
      </c>
      <c r="I2111" s="34" t="s">
        <v>39</v>
      </c>
      <c r="J2111" s="34" t="s">
        <v>1046</v>
      </c>
      <c r="K2111" s="34" t="s">
        <v>38</v>
      </c>
      <c r="L2111" s="4"/>
      <c r="M2111" s="4" t="s">
        <v>275</v>
      </c>
    </row>
    <row r="2112" spans="1:13" x14ac:dyDescent="0.25">
      <c r="A2112" s="34" t="s">
        <v>1436</v>
      </c>
      <c r="B2112" s="34" t="s">
        <v>0</v>
      </c>
      <c r="C2112" s="34" t="s">
        <v>208</v>
      </c>
      <c r="D2112" s="34" t="s">
        <v>209</v>
      </c>
      <c r="E2112" s="34" t="s">
        <v>22</v>
      </c>
      <c r="F2112" s="35">
        <v>43505</v>
      </c>
      <c r="G2112" s="35">
        <v>43554</v>
      </c>
      <c r="H2112" s="36">
        <v>0.64236111111111105</v>
      </c>
      <c r="I2112" s="34">
        <v>320</v>
      </c>
      <c r="J2112" s="34" t="s">
        <v>1683</v>
      </c>
      <c r="K2112" s="34" t="s">
        <v>38</v>
      </c>
      <c r="L2112" s="4"/>
      <c r="M2112" s="4" t="s">
        <v>275</v>
      </c>
    </row>
    <row r="2113" spans="1:13" x14ac:dyDescent="0.25">
      <c r="A2113" s="34" t="s">
        <v>1436</v>
      </c>
      <c r="B2113" s="34" t="s">
        <v>0</v>
      </c>
      <c r="C2113" s="34" t="s">
        <v>208</v>
      </c>
      <c r="D2113" s="34" t="s">
        <v>209</v>
      </c>
      <c r="E2113" s="34" t="s">
        <v>18</v>
      </c>
      <c r="F2113" s="35">
        <v>43513</v>
      </c>
      <c r="G2113" s="35">
        <v>43548</v>
      </c>
      <c r="H2113" s="36">
        <v>0.64236111111111105</v>
      </c>
      <c r="I2113" s="34" t="s">
        <v>39</v>
      </c>
      <c r="J2113" s="34" t="s">
        <v>1286</v>
      </c>
      <c r="K2113" s="34" t="s">
        <v>38</v>
      </c>
      <c r="L2113" s="4"/>
      <c r="M2113" s="4" t="s">
        <v>275</v>
      </c>
    </row>
    <row r="2114" spans="1:13" x14ac:dyDescent="0.25">
      <c r="A2114" s="34" t="s">
        <v>1436</v>
      </c>
      <c r="B2114" s="34" t="s">
        <v>0</v>
      </c>
      <c r="C2114" s="34" t="s">
        <v>208</v>
      </c>
      <c r="D2114" s="34" t="s">
        <v>209</v>
      </c>
      <c r="E2114" s="34" t="s">
        <v>18</v>
      </c>
      <c r="F2114" s="35">
        <v>43506</v>
      </c>
      <c r="G2114" s="35">
        <v>43541</v>
      </c>
      <c r="H2114" s="36">
        <v>0.73958333333333337</v>
      </c>
      <c r="I2114" s="34">
        <v>320</v>
      </c>
      <c r="J2114" s="34" t="s">
        <v>1683</v>
      </c>
      <c r="K2114" s="34" t="s">
        <v>38</v>
      </c>
      <c r="L2114" s="4"/>
      <c r="M2114" s="4" t="s">
        <v>275</v>
      </c>
    </row>
    <row r="2115" spans="1:13" x14ac:dyDescent="0.25">
      <c r="A2115" s="34" t="s">
        <v>1436</v>
      </c>
      <c r="B2115" s="34" t="s">
        <v>0</v>
      </c>
      <c r="C2115" s="34" t="s">
        <v>208</v>
      </c>
      <c r="D2115" s="34" t="s">
        <v>209</v>
      </c>
      <c r="E2115" s="34" t="s">
        <v>22</v>
      </c>
      <c r="F2115" s="35">
        <v>43407</v>
      </c>
      <c r="G2115" s="35">
        <v>43554</v>
      </c>
      <c r="H2115" s="36">
        <v>0.79513888888888884</v>
      </c>
      <c r="I2115" s="34">
        <v>320</v>
      </c>
      <c r="J2115" s="34" t="s">
        <v>1048</v>
      </c>
      <c r="K2115" s="34" t="s">
        <v>38</v>
      </c>
      <c r="L2115" s="4"/>
      <c r="M2115" s="4" t="s">
        <v>275</v>
      </c>
    </row>
    <row r="2116" spans="1:13" x14ac:dyDescent="0.25">
      <c r="A2116" s="34" t="s">
        <v>1436</v>
      </c>
      <c r="B2116" s="34" t="s">
        <v>0</v>
      </c>
      <c r="C2116" s="34" t="s">
        <v>208</v>
      </c>
      <c r="D2116" s="34" t="s">
        <v>209</v>
      </c>
      <c r="E2116" s="34" t="s">
        <v>59</v>
      </c>
      <c r="F2116" s="35">
        <v>43465</v>
      </c>
      <c r="G2116" s="35">
        <v>43549</v>
      </c>
      <c r="H2116" s="36">
        <v>0.79513888888888884</v>
      </c>
      <c r="I2116" s="34">
        <v>320</v>
      </c>
      <c r="J2116" s="34" t="s">
        <v>1684</v>
      </c>
      <c r="K2116" s="34" t="s">
        <v>38</v>
      </c>
      <c r="L2116" s="4"/>
      <c r="M2116" s="4" t="s">
        <v>275</v>
      </c>
    </row>
    <row r="2117" spans="1:13" x14ac:dyDescent="0.25">
      <c r="A2117" s="34" t="s">
        <v>1436</v>
      </c>
      <c r="B2117" s="34" t="s">
        <v>0</v>
      </c>
      <c r="C2117" s="34" t="s">
        <v>208</v>
      </c>
      <c r="D2117" s="34" t="s">
        <v>209</v>
      </c>
      <c r="E2117" s="34" t="s">
        <v>419</v>
      </c>
      <c r="F2117" s="35">
        <v>43476</v>
      </c>
      <c r="G2117" s="35">
        <v>43554</v>
      </c>
      <c r="H2117" s="36">
        <v>0.79513888888888884</v>
      </c>
      <c r="I2117" s="34">
        <v>320</v>
      </c>
      <c r="J2117" s="34" t="s">
        <v>1684</v>
      </c>
      <c r="K2117" s="34" t="s">
        <v>38</v>
      </c>
      <c r="L2117" s="34"/>
      <c r="M2117" s="4" t="s">
        <v>275</v>
      </c>
    </row>
    <row r="2118" spans="1:13" x14ac:dyDescent="0.25">
      <c r="A2118" s="34" t="s">
        <v>1436</v>
      </c>
      <c r="B2118" s="34" t="s">
        <v>0</v>
      </c>
      <c r="C2118" s="34" t="s">
        <v>208</v>
      </c>
      <c r="D2118" s="34" t="s">
        <v>209</v>
      </c>
      <c r="E2118" s="34" t="s">
        <v>391</v>
      </c>
      <c r="F2118" s="35">
        <v>43496</v>
      </c>
      <c r="G2118" s="35">
        <v>43552</v>
      </c>
      <c r="H2118" s="36">
        <v>0.79513888888888884</v>
      </c>
      <c r="I2118" s="34">
        <v>320</v>
      </c>
      <c r="J2118" s="34" t="s">
        <v>1684</v>
      </c>
      <c r="K2118" s="34" t="s">
        <v>38</v>
      </c>
      <c r="L2118" s="34"/>
      <c r="M2118" s="4" t="s">
        <v>275</v>
      </c>
    </row>
    <row r="2119" spans="1:13" x14ac:dyDescent="0.25">
      <c r="A2119" s="34" t="s">
        <v>1436</v>
      </c>
      <c r="B2119" s="34" t="s">
        <v>0</v>
      </c>
      <c r="C2119" s="34" t="s">
        <v>208</v>
      </c>
      <c r="D2119" s="34" t="s">
        <v>209</v>
      </c>
      <c r="E2119" s="34" t="s">
        <v>22</v>
      </c>
      <c r="F2119" s="35">
        <v>43505</v>
      </c>
      <c r="G2119" s="35">
        <v>43540</v>
      </c>
      <c r="H2119" s="36">
        <v>0.82638888888888884</v>
      </c>
      <c r="I2119" s="34">
        <v>320</v>
      </c>
      <c r="J2119" s="34" t="s">
        <v>1855</v>
      </c>
      <c r="K2119" s="34" t="s">
        <v>38</v>
      </c>
      <c r="L2119" s="34"/>
      <c r="M2119" s="4" t="s">
        <v>275</v>
      </c>
    </row>
    <row r="2120" spans="1:13" x14ac:dyDescent="0.25">
      <c r="A2120" s="34" t="s">
        <v>1436</v>
      </c>
      <c r="B2120" s="34" t="s">
        <v>0</v>
      </c>
      <c r="C2120" s="34" t="s">
        <v>216</v>
      </c>
      <c r="D2120" s="34" t="s">
        <v>217</v>
      </c>
      <c r="E2120" s="34" t="s">
        <v>20</v>
      </c>
      <c r="F2120" s="35">
        <v>43509</v>
      </c>
      <c r="G2120" s="35">
        <v>43516</v>
      </c>
      <c r="H2120" s="36">
        <v>0.47222222222222227</v>
      </c>
      <c r="I2120" s="34" t="s">
        <v>14</v>
      </c>
      <c r="J2120" s="34" t="s">
        <v>1845</v>
      </c>
      <c r="K2120" s="34" t="s">
        <v>216</v>
      </c>
      <c r="L2120" s="34" t="s">
        <v>138</v>
      </c>
      <c r="M2120" s="4" t="s">
        <v>275</v>
      </c>
    </row>
    <row r="2121" spans="1:13" x14ac:dyDescent="0.25">
      <c r="A2121" s="34" t="s">
        <v>1436</v>
      </c>
      <c r="B2121" s="34" t="s">
        <v>0</v>
      </c>
      <c r="C2121" s="34" t="s">
        <v>216</v>
      </c>
      <c r="D2121" s="34" t="s">
        <v>217</v>
      </c>
      <c r="E2121" s="34" t="s">
        <v>59</v>
      </c>
      <c r="F2121" s="35">
        <v>43500</v>
      </c>
      <c r="G2121" s="35">
        <v>43507</v>
      </c>
      <c r="H2121" s="36">
        <v>0.65972222222222221</v>
      </c>
      <c r="I2121" s="34" t="s">
        <v>14</v>
      </c>
      <c r="J2121" s="34" t="s">
        <v>1845</v>
      </c>
      <c r="K2121" s="34" t="s">
        <v>216</v>
      </c>
      <c r="L2121" s="34" t="s">
        <v>138</v>
      </c>
      <c r="M2121" s="4" t="s">
        <v>275</v>
      </c>
    </row>
    <row r="2122" spans="1:13" x14ac:dyDescent="0.25">
      <c r="A2122" s="34" t="s">
        <v>1436</v>
      </c>
      <c r="B2122" s="34" t="s">
        <v>0</v>
      </c>
      <c r="C2122" s="34" t="s">
        <v>216</v>
      </c>
      <c r="D2122" s="34" t="s">
        <v>217</v>
      </c>
      <c r="E2122" s="34" t="s">
        <v>59</v>
      </c>
      <c r="F2122" s="35">
        <v>43514</v>
      </c>
      <c r="G2122" s="35">
        <v>43514</v>
      </c>
      <c r="H2122" s="36">
        <v>0.65972222222222221</v>
      </c>
      <c r="I2122" s="34" t="s">
        <v>14</v>
      </c>
      <c r="J2122" s="34" t="s">
        <v>1908</v>
      </c>
      <c r="K2122" s="34" t="s">
        <v>216</v>
      </c>
      <c r="L2122" s="34"/>
      <c r="M2122" s="4" t="s">
        <v>275</v>
      </c>
    </row>
    <row r="2123" spans="1:13" x14ac:dyDescent="0.25">
      <c r="A2123" s="34" t="s">
        <v>1436</v>
      </c>
      <c r="B2123" s="34" t="s">
        <v>0</v>
      </c>
      <c r="C2123" s="34" t="s">
        <v>216</v>
      </c>
      <c r="D2123" s="34" t="s">
        <v>217</v>
      </c>
      <c r="E2123" s="34" t="s">
        <v>22</v>
      </c>
      <c r="F2123" s="35">
        <v>43512</v>
      </c>
      <c r="G2123" s="35">
        <v>43519</v>
      </c>
      <c r="H2123" s="36">
        <v>0.71527777777777779</v>
      </c>
      <c r="I2123" s="34" t="s">
        <v>14</v>
      </c>
      <c r="J2123" s="34" t="s">
        <v>1685</v>
      </c>
      <c r="K2123" s="34" t="s">
        <v>216</v>
      </c>
      <c r="L2123" s="34"/>
      <c r="M2123" s="4" t="s">
        <v>275</v>
      </c>
    </row>
    <row r="2124" spans="1:13" x14ac:dyDescent="0.25">
      <c r="A2124" s="34" t="s">
        <v>1436</v>
      </c>
      <c r="B2124" s="34" t="s">
        <v>0</v>
      </c>
      <c r="C2124" s="34" t="s">
        <v>216</v>
      </c>
      <c r="D2124" s="34" t="s">
        <v>217</v>
      </c>
      <c r="E2124" s="34" t="s">
        <v>22</v>
      </c>
      <c r="F2124" s="35">
        <v>43505</v>
      </c>
      <c r="G2124" s="35">
        <v>43554</v>
      </c>
      <c r="H2124" s="36">
        <v>0.72569444444444453</v>
      </c>
      <c r="I2124" s="34" t="s">
        <v>14</v>
      </c>
      <c r="J2124" s="34" t="s">
        <v>1050</v>
      </c>
      <c r="K2124" s="34" t="s">
        <v>216</v>
      </c>
      <c r="L2124" s="34"/>
      <c r="M2124" s="4" t="s">
        <v>275</v>
      </c>
    </row>
    <row r="2125" spans="1:13" x14ac:dyDescent="0.25">
      <c r="A2125" s="34" t="s">
        <v>1436</v>
      </c>
      <c r="B2125" s="34" t="s">
        <v>0</v>
      </c>
      <c r="C2125" s="34" t="s">
        <v>219</v>
      </c>
      <c r="D2125" s="34" t="s">
        <v>220</v>
      </c>
      <c r="E2125" s="34" t="s">
        <v>18</v>
      </c>
      <c r="F2125" s="35">
        <v>43408</v>
      </c>
      <c r="G2125" s="35">
        <v>43548</v>
      </c>
      <c r="H2125" s="36">
        <v>0.30208333333333331</v>
      </c>
      <c r="I2125" s="34">
        <v>320</v>
      </c>
      <c r="J2125" s="34" t="s">
        <v>1051</v>
      </c>
      <c r="K2125" s="34" t="s">
        <v>221</v>
      </c>
      <c r="L2125" s="34"/>
      <c r="M2125" s="4" t="s">
        <v>275</v>
      </c>
    </row>
    <row r="2126" spans="1:13" x14ac:dyDescent="0.25">
      <c r="A2126" s="34" t="s">
        <v>1436</v>
      </c>
      <c r="B2126" s="34" t="s">
        <v>0</v>
      </c>
      <c r="C2126" s="34" t="s">
        <v>1589</v>
      </c>
      <c r="D2126" s="34" t="s">
        <v>223</v>
      </c>
      <c r="E2126" s="34" t="s">
        <v>18</v>
      </c>
      <c r="F2126" s="35">
        <v>43464</v>
      </c>
      <c r="G2126" s="35">
        <v>43548</v>
      </c>
      <c r="H2126" s="36">
        <v>0.25</v>
      </c>
      <c r="I2126" s="34" t="s">
        <v>14</v>
      </c>
      <c r="J2126" s="34" t="s">
        <v>1053</v>
      </c>
      <c r="K2126" s="34" t="s">
        <v>1533</v>
      </c>
      <c r="L2126" s="34"/>
      <c r="M2126" s="4" t="s">
        <v>275</v>
      </c>
    </row>
    <row r="2127" spans="1:13" x14ac:dyDescent="0.25">
      <c r="A2127" s="34" t="s">
        <v>1436</v>
      </c>
      <c r="B2127" s="34" t="s">
        <v>0</v>
      </c>
      <c r="C2127" s="34" t="s">
        <v>1589</v>
      </c>
      <c r="D2127" s="34" t="s">
        <v>223</v>
      </c>
      <c r="E2127" s="34" t="s">
        <v>48</v>
      </c>
      <c r="F2127" s="35">
        <v>43476</v>
      </c>
      <c r="G2127" s="35">
        <v>43518</v>
      </c>
      <c r="H2127" s="36">
        <v>0.25694444444444448</v>
      </c>
      <c r="I2127" s="34" t="s">
        <v>14</v>
      </c>
      <c r="J2127" s="34" t="s">
        <v>1053</v>
      </c>
      <c r="K2127" s="34" t="s">
        <v>1533</v>
      </c>
      <c r="L2127" s="34"/>
      <c r="M2127" s="4" t="s">
        <v>275</v>
      </c>
    </row>
    <row r="2128" spans="1:13" x14ac:dyDescent="0.25">
      <c r="A2128" s="34" t="s">
        <v>1436</v>
      </c>
      <c r="B2128" s="34" t="s">
        <v>0</v>
      </c>
      <c r="C2128" s="34" t="s">
        <v>1589</v>
      </c>
      <c r="D2128" s="34" t="s">
        <v>223</v>
      </c>
      <c r="E2128" s="34" t="s">
        <v>583</v>
      </c>
      <c r="F2128" s="35">
        <v>43404</v>
      </c>
      <c r="G2128" s="35">
        <v>43553</v>
      </c>
      <c r="H2128" s="36">
        <v>0.27083333333333331</v>
      </c>
      <c r="I2128" s="34">
        <v>320</v>
      </c>
      <c r="J2128" s="34" t="s">
        <v>1287</v>
      </c>
      <c r="K2128" s="34" t="s">
        <v>1533</v>
      </c>
      <c r="L2128" s="34"/>
      <c r="M2128" s="4" t="s">
        <v>275</v>
      </c>
    </row>
    <row r="2129" spans="1:13" x14ac:dyDescent="0.25">
      <c r="A2129" s="34" t="s">
        <v>1436</v>
      </c>
      <c r="B2129" s="34" t="s">
        <v>0</v>
      </c>
      <c r="C2129" s="34" t="s">
        <v>1589</v>
      </c>
      <c r="D2129" s="34" t="s">
        <v>223</v>
      </c>
      <c r="E2129" s="34" t="s">
        <v>13</v>
      </c>
      <c r="F2129" s="35">
        <v>43475</v>
      </c>
      <c r="G2129" s="35">
        <v>43524</v>
      </c>
      <c r="H2129" s="36">
        <v>0.3263888888888889</v>
      </c>
      <c r="I2129" s="34" t="s">
        <v>14</v>
      </c>
      <c r="J2129" s="34" t="s">
        <v>1053</v>
      </c>
      <c r="K2129" s="34" t="s">
        <v>1533</v>
      </c>
      <c r="L2129" s="34"/>
      <c r="M2129" s="4" t="s">
        <v>275</v>
      </c>
    </row>
    <row r="2130" spans="1:13" x14ac:dyDescent="0.25">
      <c r="A2130" s="34" t="s">
        <v>1436</v>
      </c>
      <c r="B2130" s="34" t="s">
        <v>0</v>
      </c>
      <c r="C2130" s="34" t="s">
        <v>1589</v>
      </c>
      <c r="D2130" s="34" t="s">
        <v>223</v>
      </c>
      <c r="E2130" s="34" t="s">
        <v>20</v>
      </c>
      <c r="F2130" s="35">
        <v>43509</v>
      </c>
      <c r="G2130" s="35">
        <v>43551</v>
      </c>
      <c r="H2130" s="36">
        <v>0.3263888888888889</v>
      </c>
      <c r="I2130" s="34" t="s">
        <v>14</v>
      </c>
      <c r="J2130" s="34" t="s">
        <v>1053</v>
      </c>
      <c r="K2130" s="34" t="s">
        <v>1533</v>
      </c>
      <c r="L2130" s="34"/>
      <c r="M2130" s="4" t="s">
        <v>275</v>
      </c>
    </row>
    <row r="2131" spans="1:13" x14ac:dyDescent="0.25">
      <c r="A2131" s="34" t="s">
        <v>1436</v>
      </c>
      <c r="B2131" s="34" t="s">
        <v>0</v>
      </c>
      <c r="C2131" s="34" t="s">
        <v>1589</v>
      </c>
      <c r="D2131" s="34" t="s">
        <v>223</v>
      </c>
      <c r="E2131" s="34" t="s">
        <v>22</v>
      </c>
      <c r="F2131" s="35">
        <v>43407</v>
      </c>
      <c r="G2131" s="35">
        <v>43519</v>
      </c>
      <c r="H2131" s="36">
        <v>0.44444444444444442</v>
      </c>
      <c r="I2131" s="34" t="s">
        <v>14</v>
      </c>
      <c r="J2131" s="34" t="s">
        <v>1053</v>
      </c>
      <c r="K2131" s="34" t="s">
        <v>1533</v>
      </c>
      <c r="L2131" s="34"/>
      <c r="M2131" s="4" t="s">
        <v>275</v>
      </c>
    </row>
    <row r="2132" spans="1:13" x14ac:dyDescent="0.25">
      <c r="A2132" s="34" t="s">
        <v>1436</v>
      </c>
      <c r="B2132" s="34" t="s">
        <v>0</v>
      </c>
      <c r="C2132" s="34" t="s">
        <v>1589</v>
      </c>
      <c r="D2132" s="34" t="s">
        <v>223</v>
      </c>
      <c r="E2132" s="34" t="s">
        <v>560</v>
      </c>
      <c r="F2132" s="35">
        <v>43478</v>
      </c>
      <c r="G2132" s="35">
        <v>43554</v>
      </c>
      <c r="H2132" s="36">
        <v>0.58680555555555558</v>
      </c>
      <c r="I2132" s="34">
        <v>320</v>
      </c>
      <c r="J2132" s="34" t="s">
        <v>1052</v>
      </c>
      <c r="K2132" s="34" t="s">
        <v>1533</v>
      </c>
      <c r="L2132" s="34"/>
      <c r="M2132" s="4" t="s">
        <v>275</v>
      </c>
    </row>
    <row r="2133" spans="1:13" x14ac:dyDescent="0.25">
      <c r="A2133" s="34" t="s">
        <v>1436</v>
      </c>
      <c r="B2133" s="34" t="s">
        <v>0</v>
      </c>
      <c r="C2133" s="34" t="s">
        <v>1589</v>
      </c>
      <c r="D2133" s="34" t="s">
        <v>223</v>
      </c>
      <c r="E2133" s="34" t="s">
        <v>48</v>
      </c>
      <c r="F2133" s="35">
        <v>43448</v>
      </c>
      <c r="G2133" s="35">
        <v>43553</v>
      </c>
      <c r="H2133" s="36">
        <v>0.59027777777777779</v>
      </c>
      <c r="I2133" s="34">
        <v>320</v>
      </c>
      <c r="J2133" s="34" t="s">
        <v>1052</v>
      </c>
      <c r="K2133" s="34" t="s">
        <v>1533</v>
      </c>
      <c r="L2133" s="4"/>
      <c r="M2133" s="4" t="s">
        <v>275</v>
      </c>
    </row>
    <row r="2134" spans="1:13" x14ac:dyDescent="0.25">
      <c r="A2134" s="34" t="s">
        <v>1436</v>
      </c>
      <c r="B2134" s="34" t="s">
        <v>0</v>
      </c>
      <c r="C2134" s="34" t="s">
        <v>1589</v>
      </c>
      <c r="D2134" s="34" t="s">
        <v>223</v>
      </c>
      <c r="E2134" s="34" t="s">
        <v>59</v>
      </c>
      <c r="F2134" s="35">
        <v>43472</v>
      </c>
      <c r="G2134" s="35">
        <v>43549</v>
      </c>
      <c r="H2134" s="36">
        <v>0.67708333333333337</v>
      </c>
      <c r="I2134" s="34" t="s">
        <v>14</v>
      </c>
      <c r="J2134" s="34" t="s">
        <v>1053</v>
      </c>
      <c r="K2134" s="34" t="s">
        <v>1533</v>
      </c>
      <c r="L2134" s="4"/>
      <c r="M2134" s="4" t="s">
        <v>275</v>
      </c>
    </row>
    <row r="2135" spans="1:13" x14ac:dyDescent="0.25">
      <c r="A2135" s="34" t="s">
        <v>1436</v>
      </c>
      <c r="B2135" s="34" t="s">
        <v>0</v>
      </c>
      <c r="C2135" s="34" t="s">
        <v>230</v>
      </c>
      <c r="D2135" s="34" t="s">
        <v>231</v>
      </c>
      <c r="E2135" s="34" t="s">
        <v>18</v>
      </c>
      <c r="F2135" s="35">
        <v>43401</v>
      </c>
      <c r="G2135" s="35">
        <v>43548</v>
      </c>
      <c r="H2135" s="36">
        <v>0.39930555555555558</v>
      </c>
      <c r="I2135" s="34" t="s">
        <v>14</v>
      </c>
      <c r="J2135" s="34" t="s">
        <v>1686</v>
      </c>
      <c r="K2135" s="34" t="s">
        <v>1533</v>
      </c>
      <c r="L2135" s="4"/>
      <c r="M2135" s="4" t="s">
        <v>275</v>
      </c>
    </row>
    <row r="2136" spans="1:13" x14ac:dyDescent="0.25">
      <c r="A2136" s="34" t="s">
        <v>1436</v>
      </c>
      <c r="B2136" s="34" t="s">
        <v>0</v>
      </c>
      <c r="C2136" s="34" t="s">
        <v>230</v>
      </c>
      <c r="D2136" s="34" t="s">
        <v>231</v>
      </c>
      <c r="E2136" s="34" t="s">
        <v>20</v>
      </c>
      <c r="F2136" s="35">
        <v>43404</v>
      </c>
      <c r="G2136" s="35">
        <v>43551</v>
      </c>
      <c r="H2136" s="36">
        <v>0.80208333333333337</v>
      </c>
      <c r="I2136" s="34" t="s">
        <v>14</v>
      </c>
      <c r="J2136" s="34" t="s">
        <v>1686</v>
      </c>
      <c r="K2136" s="34" t="s">
        <v>1533</v>
      </c>
      <c r="L2136" s="4"/>
      <c r="M2136" s="4" t="s">
        <v>275</v>
      </c>
    </row>
    <row r="2137" spans="1:13" x14ac:dyDescent="0.25">
      <c r="A2137" s="34" t="s">
        <v>1436</v>
      </c>
      <c r="B2137" s="34" t="s">
        <v>0</v>
      </c>
      <c r="C2137" s="34" t="s">
        <v>230</v>
      </c>
      <c r="D2137" s="34" t="s">
        <v>231</v>
      </c>
      <c r="E2137" s="34" t="s">
        <v>37</v>
      </c>
      <c r="F2137" s="35">
        <v>43402</v>
      </c>
      <c r="G2137" s="35">
        <v>43553</v>
      </c>
      <c r="H2137" s="36">
        <v>0.84375</v>
      </c>
      <c r="I2137" s="34" t="s">
        <v>14</v>
      </c>
      <c r="J2137" s="34" t="s">
        <v>1686</v>
      </c>
      <c r="K2137" s="34" t="s">
        <v>1533</v>
      </c>
      <c r="L2137" s="4"/>
      <c r="M2137" s="4" t="s">
        <v>275</v>
      </c>
    </row>
    <row r="2138" spans="1:13" x14ac:dyDescent="0.25">
      <c r="A2138" s="34" t="s">
        <v>1436</v>
      </c>
      <c r="B2138" s="34" t="s">
        <v>0</v>
      </c>
      <c r="C2138" s="34" t="s">
        <v>233</v>
      </c>
      <c r="D2138" s="34" t="s">
        <v>234</v>
      </c>
      <c r="E2138" s="34" t="s">
        <v>13</v>
      </c>
      <c r="F2138" s="35">
        <v>43405</v>
      </c>
      <c r="G2138" s="35">
        <v>43552</v>
      </c>
      <c r="H2138" s="36">
        <v>0.46180555555555558</v>
      </c>
      <c r="I2138" s="34" t="s">
        <v>14</v>
      </c>
      <c r="J2138" s="34" t="s">
        <v>1059</v>
      </c>
      <c r="K2138" s="34" t="s">
        <v>38</v>
      </c>
      <c r="L2138" s="4"/>
      <c r="M2138" s="4" t="s">
        <v>275</v>
      </c>
    </row>
    <row r="2139" spans="1:13" x14ac:dyDescent="0.25">
      <c r="A2139" s="34" t="s">
        <v>1436</v>
      </c>
      <c r="B2139" s="34" t="s">
        <v>0</v>
      </c>
      <c r="C2139" s="34" t="s">
        <v>233</v>
      </c>
      <c r="D2139" s="34" t="s">
        <v>234</v>
      </c>
      <c r="E2139" s="34" t="s">
        <v>48</v>
      </c>
      <c r="F2139" s="35">
        <v>43406</v>
      </c>
      <c r="G2139" s="35">
        <v>43553</v>
      </c>
      <c r="H2139" s="36">
        <v>0.47222222222222227</v>
      </c>
      <c r="I2139" s="34" t="s">
        <v>14</v>
      </c>
      <c r="J2139" s="34" t="s">
        <v>1057</v>
      </c>
      <c r="K2139" s="34" t="s">
        <v>38</v>
      </c>
      <c r="L2139" s="4"/>
      <c r="M2139" s="4" t="s">
        <v>275</v>
      </c>
    </row>
    <row r="2140" spans="1:13" x14ac:dyDescent="0.25">
      <c r="A2140" s="34" t="s">
        <v>1436</v>
      </c>
      <c r="B2140" s="34" t="s">
        <v>0</v>
      </c>
      <c r="C2140" s="34" t="s">
        <v>233</v>
      </c>
      <c r="D2140" s="34" t="s">
        <v>234</v>
      </c>
      <c r="E2140" s="34" t="s">
        <v>18</v>
      </c>
      <c r="F2140" s="35">
        <v>43401</v>
      </c>
      <c r="G2140" s="35">
        <v>43548</v>
      </c>
      <c r="H2140" s="36">
        <v>0.49305555555555558</v>
      </c>
      <c r="I2140" s="34" t="s">
        <v>14</v>
      </c>
      <c r="J2140" s="34" t="s">
        <v>1057</v>
      </c>
      <c r="K2140" s="34" t="s">
        <v>38</v>
      </c>
      <c r="L2140" s="4"/>
      <c r="M2140" s="4" t="s">
        <v>275</v>
      </c>
    </row>
    <row r="2141" spans="1:13" x14ac:dyDescent="0.25">
      <c r="A2141" s="34" t="s">
        <v>1436</v>
      </c>
      <c r="B2141" s="34" t="s">
        <v>0</v>
      </c>
      <c r="C2141" s="34" t="s">
        <v>233</v>
      </c>
      <c r="D2141" s="34" t="s">
        <v>234</v>
      </c>
      <c r="E2141" s="34" t="s">
        <v>143</v>
      </c>
      <c r="F2141" s="35">
        <v>43401</v>
      </c>
      <c r="G2141" s="35">
        <v>43553</v>
      </c>
      <c r="H2141" s="36">
        <v>0.51736111111111105</v>
      </c>
      <c r="I2141" s="34">
        <v>320</v>
      </c>
      <c r="J2141" s="34" t="s">
        <v>1687</v>
      </c>
      <c r="K2141" s="34" t="s">
        <v>38</v>
      </c>
      <c r="L2141" s="4"/>
      <c r="M2141" s="4" t="s">
        <v>275</v>
      </c>
    </row>
    <row r="2142" spans="1:13" x14ac:dyDescent="0.25">
      <c r="A2142" s="34" t="s">
        <v>1436</v>
      </c>
      <c r="B2142" s="34" t="s">
        <v>0</v>
      </c>
      <c r="C2142" s="34" t="s">
        <v>233</v>
      </c>
      <c r="D2142" s="34" t="s">
        <v>234</v>
      </c>
      <c r="E2142" s="34" t="s">
        <v>13</v>
      </c>
      <c r="F2142" s="35">
        <v>43405</v>
      </c>
      <c r="G2142" s="35">
        <v>43552</v>
      </c>
      <c r="H2142" s="36">
        <v>0.53125</v>
      </c>
      <c r="I2142" s="34">
        <v>320</v>
      </c>
      <c r="J2142" s="34" t="s">
        <v>1687</v>
      </c>
      <c r="K2142" s="34" t="s">
        <v>38</v>
      </c>
      <c r="L2142" s="4"/>
      <c r="M2142" s="4" t="s">
        <v>275</v>
      </c>
    </row>
    <row r="2143" spans="1:13" x14ac:dyDescent="0.25">
      <c r="A2143" s="34" t="s">
        <v>1436</v>
      </c>
      <c r="B2143" s="34" t="s">
        <v>0</v>
      </c>
      <c r="C2143" s="34" t="s">
        <v>233</v>
      </c>
      <c r="D2143" s="34" t="s">
        <v>234</v>
      </c>
      <c r="E2143" s="34" t="s">
        <v>298</v>
      </c>
      <c r="F2143" s="35">
        <v>43402</v>
      </c>
      <c r="G2143" s="35">
        <v>43551</v>
      </c>
      <c r="H2143" s="36">
        <v>0.54861111111111105</v>
      </c>
      <c r="I2143" s="34">
        <v>320</v>
      </c>
      <c r="J2143" s="34" t="s">
        <v>1687</v>
      </c>
      <c r="K2143" s="34" t="s">
        <v>38</v>
      </c>
      <c r="L2143" s="4"/>
      <c r="M2143" s="4" t="s">
        <v>275</v>
      </c>
    </row>
    <row r="2144" spans="1:13" x14ac:dyDescent="0.25">
      <c r="A2144" s="34" t="s">
        <v>1436</v>
      </c>
      <c r="B2144" s="34" t="s">
        <v>0</v>
      </c>
      <c r="C2144" s="34" t="s">
        <v>233</v>
      </c>
      <c r="D2144" s="34" t="s">
        <v>234</v>
      </c>
      <c r="E2144" s="34" t="s">
        <v>19</v>
      </c>
      <c r="F2144" s="35">
        <v>43466</v>
      </c>
      <c r="G2144" s="35">
        <v>43550</v>
      </c>
      <c r="H2144" s="36">
        <v>0.54861111111111105</v>
      </c>
      <c r="I2144" s="34">
        <v>320</v>
      </c>
      <c r="J2144" s="34" t="s">
        <v>1687</v>
      </c>
      <c r="K2144" s="34" t="s">
        <v>38</v>
      </c>
      <c r="L2144" s="4"/>
      <c r="M2144" s="4" t="s">
        <v>275</v>
      </c>
    </row>
    <row r="2145" spans="1:13" x14ac:dyDescent="0.25">
      <c r="A2145" s="34" t="s">
        <v>1436</v>
      </c>
      <c r="B2145" s="34" t="s">
        <v>0</v>
      </c>
      <c r="C2145" s="34" t="s">
        <v>233</v>
      </c>
      <c r="D2145" s="34" t="s">
        <v>234</v>
      </c>
      <c r="E2145" s="34" t="s">
        <v>22</v>
      </c>
      <c r="F2145" s="35">
        <v>43470</v>
      </c>
      <c r="G2145" s="35">
        <v>43547</v>
      </c>
      <c r="H2145" s="36">
        <v>0.58333333333333337</v>
      </c>
      <c r="I2145" s="34">
        <v>320</v>
      </c>
      <c r="J2145" s="34" t="s">
        <v>1688</v>
      </c>
      <c r="K2145" s="34" t="s">
        <v>38</v>
      </c>
      <c r="L2145" s="4"/>
      <c r="M2145" s="4" t="s">
        <v>275</v>
      </c>
    </row>
    <row r="2146" spans="1:13" x14ac:dyDescent="0.25">
      <c r="A2146" s="34" t="s">
        <v>1436</v>
      </c>
      <c r="B2146" s="34" t="s">
        <v>0</v>
      </c>
      <c r="C2146" s="34" t="s">
        <v>233</v>
      </c>
      <c r="D2146" s="34" t="s">
        <v>234</v>
      </c>
      <c r="E2146" s="34" t="s">
        <v>22</v>
      </c>
      <c r="F2146" s="35">
        <v>43407</v>
      </c>
      <c r="G2146" s="35">
        <v>43554</v>
      </c>
      <c r="H2146" s="36">
        <v>0.58680555555555558</v>
      </c>
      <c r="I2146" s="34" t="s">
        <v>14</v>
      </c>
      <c r="J2146" s="34" t="s">
        <v>1059</v>
      </c>
      <c r="K2146" s="34" t="s">
        <v>38</v>
      </c>
      <c r="L2146" s="4"/>
      <c r="M2146" s="4" t="s">
        <v>275</v>
      </c>
    </row>
    <row r="2147" spans="1:13" x14ac:dyDescent="0.25">
      <c r="A2147" s="34" t="s">
        <v>1436</v>
      </c>
      <c r="B2147" s="34" t="s">
        <v>0</v>
      </c>
      <c r="C2147" s="34" t="s">
        <v>233</v>
      </c>
      <c r="D2147" s="34" t="s">
        <v>234</v>
      </c>
      <c r="E2147" s="34" t="s">
        <v>20</v>
      </c>
      <c r="F2147" s="35">
        <v>43488</v>
      </c>
      <c r="G2147" s="35">
        <v>43551</v>
      </c>
      <c r="H2147" s="36">
        <v>0.60763888888888895</v>
      </c>
      <c r="I2147" s="34">
        <v>320</v>
      </c>
      <c r="J2147" s="34" t="s">
        <v>1058</v>
      </c>
      <c r="K2147" s="34" t="s">
        <v>38</v>
      </c>
      <c r="L2147" s="4"/>
      <c r="M2147" s="4" t="s">
        <v>275</v>
      </c>
    </row>
    <row r="2148" spans="1:13" x14ac:dyDescent="0.25">
      <c r="A2148" s="34" t="s">
        <v>1436</v>
      </c>
      <c r="B2148" s="34" t="s">
        <v>0</v>
      </c>
      <c r="C2148" s="34" t="s">
        <v>233</v>
      </c>
      <c r="D2148" s="34" t="s">
        <v>234</v>
      </c>
      <c r="E2148" s="34" t="s">
        <v>22</v>
      </c>
      <c r="F2148" s="35">
        <v>43477</v>
      </c>
      <c r="G2148" s="35">
        <v>43554</v>
      </c>
      <c r="H2148" s="36">
        <v>0.625</v>
      </c>
      <c r="I2148" s="34" t="s">
        <v>39</v>
      </c>
      <c r="J2148" s="34" t="s">
        <v>1055</v>
      </c>
      <c r="K2148" s="34" t="s">
        <v>38</v>
      </c>
      <c r="L2148" s="4"/>
      <c r="M2148" s="4" t="s">
        <v>275</v>
      </c>
    </row>
    <row r="2149" spans="1:13" x14ac:dyDescent="0.25">
      <c r="A2149" s="34" t="s">
        <v>1436</v>
      </c>
      <c r="B2149" s="34" t="s">
        <v>0</v>
      </c>
      <c r="C2149" s="34" t="s">
        <v>233</v>
      </c>
      <c r="D2149" s="34" t="s">
        <v>234</v>
      </c>
      <c r="E2149" s="34" t="s">
        <v>13</v>
      </c>
      <c r="F2149" s="35">
        <v>43440</v>
      </c>
      <c r="G2149" s="35">
        <v>43552</v>
      </c>
      <c r="H2149" s="36">
        <v>0.62847222222222221</v>
      </c>
      <c r="I2149" s="34" t="s">
        <v>39</v>
      </c>
      <c r="J2149" s="34" t="s">
        <v>1055</v>
      </c>
      <c r="K2149" s="34" t="s">
        <v>38</v>
      </c>
      <c r="L2149" s="4"/>
      <c r="M2149" s="4" t="s">
        <v>275</v>
      </c>
    </row>
    <row r="2150" spans="1:13" x14ac:dyDescent="0.25">
      <c r="A2150" s="34" t="s">
        <v>1436</v>
      </c>
      <c r="B2150" s="34" t="s">
        <v>0</v>
      </c>
      <c r="C2150" s="34" t="s">
        <v>233</v>
      </c>
      <c r="D2150" s="34" t="s">
        <v>234</v>
      </c>
      <c r="E2150" s="34" t="s">
        <v>59</v>
      </c>
      <c r="F2150" s="35">
        <v>43507</v>
      </c>
      <c r="G2150" s="35">
        <v>43549</v>
      </c>
      <c r="H2150" s="36">
        <v>0.64236111111111105</v>
      </c>
      <c r="I2150" s="34" t="s">
        <v>39</v>
      </c>
      <c r="J2150" s="34" t="s">
        <v>1058</v>
      </c>
      <c r="K2150" s="34" t="s">
        <v>38</v>
      </c>
      <c r="L2150" s="4"/>
      <c r="M2150" s="4" t="s">
        <v>275</v>
      </c>
    </row>
    <row r="2151" spans="1:13" x14ac:dyDescent="0.25">
      <c r="A2151" s="34" t="s">
        <v>1436</v>
      </c>
      <c r="B2151" s="34" t="s">
        <v>0</v>
      </c>
      <c r="C2151" s="34" t="s">
        <v>233</v>
      </c>
      <c r="D2151" s="34" t="s">
        <v>234</v>
      </c>
      <c r="E2151" s="34" t="s">
        <v>19</v>
      </c>
      <c r="F2151" s="35">
        <v>43403</v>
      </c>
      <c r="G2151" s="35">
        <v>43550</v>
      </c>
      <c r="H2151" s="36">
        <v>0.64583333333333337</v>
      </c>
      <c r="I2151" s="34" t="s">
        <v>39</v>
      </c>
      <c r="J2151" s="34" t="s">
        <v>1055</v>
      </c>
      <c r="K2151" s="34" t="s">
        <v>38</v>
      </c>
      <c r="L2151" s="4"/>
      <c r="M2151" s="4" t="s">
        <v>275</v>
      </c>
    </row>
    <row r="2152" spans="1:13" x14ac:dyDescent="0.25">
      <c r="A2152" s="34" t="s">
        <v>1436</v>
      </c>
      <c r="B2152" s="34" t="s">
        <v>0</v>
      </c>
      <c r="C2152" s="34" t="s">
        <v>233</v>
      </c>
      <c r="D2152" s="34" t="s">
        <v>234</v>
      </c>
      <c r="E2152" s="34" t="s">
        <v>18</v>
      </c>
      <c r="F2152" s="35">
        <v>43478</v>
      </c>
      <c r="G2152" s="35">
        <v>43548</v>
      </c>
      <c r="H2152" s="36">
        <v>0.64583333333333337</v>
      </c>
      <c r="I2152" s="34" t="s">
        <v>14</v>
      </c>
      <c r="J2152" s="34" t="s">
        <v>1054</v>
      </c>
      <c r="K2152" s="34" t="s">
        <v>38</v>
      </c>
      <c r="L2152" s="4"/>
      <c r="M2152" s="4" t="s">
        <v>275</v>
      </c>
    </row>
    <row r="2153" spans="1:13" x14ac:dyDescent="0.25">
      <c r="A2153" s="34" t="s">
        <v>1436</v>
      </c>
      <c r="B2153" s="34" t="s">
        <v>0</v>
      </c>
      <c r="C2153" s="34" t="s">
        <v>233</v>
      </c>
      <c r="D2153" s="34" t="s">
        <v>234</v>
      </c>
      <c r="E2153" s="34" t="s">
        <v>48</v>
      </c>
      <c r="F2153" s="35">
        <v>43434</v>
      </c>
      <c r="G2153" s="35">
        <v>43553</v>
      </c>
      <c r="H2153" s="36">
        <v>0.65972222222222221</v>
      </c>
      <c r="I2153" s="34" t="s">
        <v>39</v>
      </c>
      <c r="J2153" s="34" t="s">
        <v>1058</v>
      </c>
      <c r="K2153" s="34" t="s">
        <v>38</v>
      </c>
      <c r="L2153" s="4"/>
      <c r="M2153" s="4" t="s">
        <v>275</v>
      </c>
    </row>
    <row r="2154" spans="1:13" x14ac:dyDescent="0.25">
      <c r="A2154" s="34" t="s">
        <v>1436</v>
      </c>
      <c r="B2154" s="34" t="s">
        <v>0</v>
      </c>
      <c r="C2154" s="34" t="s">
        <v>233</v>
      </c>
      <c r="D2154" s="34" t="s">
        <v>234</v>
      </c>
      <c r="E2154" s="34" t="s">
        <v>18</v>
      </c>
      <c r="F2154" s="35">
        <v>43513</v>
      </c>
      <c r="G2154" s="35">
        <v>43513</v>
      </c>
      <c r="H2154" s="36">
        <v>0.65972222222222221</v>
      </c>
      <c r="I2154" s="34">
        <v>320</v>
      </c>
      <c r="J2154" s="34" t="s">
        <v>1856</v>
      </c>
      <c r="K2154" s="34" t="s">
        <v>38</v>
      </c>
      <c r="L2154" s="4"/>
      <c r="M2154" s="4" t="s">
        <v>275</v>
      </c>
    </row>
    <row r="2155" spans="1:13" x14ac:dyDescent="0.25">
      <c r="A2155" s="34" t="s">
        <v>1436</v>
      </c>
      <c r="B2155" s="34" t="s">
        <v>0</v>
      </c>
      <c r="C2155" s="34" t="s">
        <v>233</v>
      </c>
      <c r="D2155" s="34" t="s">
        <v>234</v>
      </c>
      <c r="E2155" s="34" t="s">
        <v>48</v>
      </c>
      <c r="F2155" s="35">
        <v>43413</v>
      </c>
      <c r="G2155" s="35">
        <v>43553</v>
      </c>
      <c r="H2155" s="36">
        <v>0.66319444444444442</v>
      </c>
      <c r="I2155" s="34" t="s">
        <v>207</v>
      </c>
      <c r="J2155" s="34" t="s">
        <v>1061</v>
      </c>
      <c r="K2155" s="34" t="s">
        <v>38</v>
      </c>
      <c r="L2155" s="4"/>
      <c r="M2155" s="4" t="s">
        <v>275</v>
      </c>
    </row>
    <row r="2156" spans="1:13" x14ac:dyDescent="0.25">
      <c r="A2156" s="34" t="s">
        <v>1436</v>
      </c>
      <c r="B2156" s="34" t="s">
        <v>0</v>
      </c>
      <c r="C2156" s="34" t="s">
        <v>233</v>
      </c>
      <c r="D2156" s="34" t="s">
        <v>234</v>
      </c>
      <c r="E2156" s="34" t="s">
        <v>750</v>
      </c>
      <c r="F2156" s="35">
        <v>43507</v>
      </c>
      <c r="G2156" s="35">
        <v>43554</v>
      </c>
      <c r="H2156" s="36">
        <v>0.66319444444444442</v>
      </c>
      <c r="I2156" s="34" t="s">
        <v>207</v>
      </c>
      <c r="J2156" s="34" t="s">
        <v>1061</v>
      </c>
      <c r="K2156" s="34" t="s">
        <v>38</v>
      </c>
      <c r="L2156" s="4"/>
      <c r="M2156" s="4" t="s">
        <v>275</v>
      </c>
    </row>
    <row r="2157" spans="1:13" x14ac:dyDescent="0.25">
      <c r="A2157" s="34" t="s">
        <v>1436</v>
      </c>
      <c r="B2157" s="34" t="s">
        <v>0</v>
      </c>
      <c r="C2157" s="34" t="s">
        <v>233</v>
      </c>
      <c r="D2157" s="34" t="s">
        <v>234</v>
      </c>
      <c r="E2157" s="34" t="s">
        <v>19</v>
      </c>
      <c r="F2157" s="35">
        <v>43508</v>
      </c>
      <c r="G2157" s="35">
        <v>43522</v>
      </c>
      <c r="H2157" s="36">
        <v>0.66319444444444442</v>
      </c>
      <c r="I2157" s="34" t="s">
        <v>207</v>
      </c>
      <c r="J2157" s="34" t="s">
        <v>1061</v>
      </c>
      <c r="K2157" s="34" t="s">
        <v>38</v>
      </c>
      <c r="L2157" s="4"/>
      <c r="M2157" s="4" t="s">
        <v>275</v>
      </c>
    </row>
    <row r="2158" spans="1:13" x14ac:dyDescent="0.25">
      <c r="A2158" s="34" t="s">
        <v>1436</v>
      </c>
      <c r="B2158" s="34" t="s">
        <v>0</v>
      </c>
      <c r="C2158" s="34" t="s">
        <v>233</v>
      </c>
      <c r="D2158" s="34" t="s">
        <v>234</v>
      </c>
      <c r="E2158" s="34" t="s">
        <v>18</v>
      </c>
      <c r="F2158" s="35">
        <v>43401</v>
      </c>
      <c r="G2158" s="35">
        <v>43548</v>
      </c>
      <c r="H2158" s="36">
        <v>0.68055555555555547</v>
      </c>
      <c r="I2158" s="34" t="s">
        <v>207</v>
      </c>
      <c r="J2158" s="34" t="s">
        <v>1061</v>
      </c>
      <c r="K2158" s="34" t="s">
        <v>38</v>
      </c>
      <c r="L2158" s="4"/>
      <c r="M2158" s="4" t="s">
        <v>275</v>
      </c>
    </row>
    <row r="2159" spans="1:13" x14ac:dyDescent="0.25">
      <c r="A2159" s="34" t="s">
        <v>1436</v>
      </c>
      <c r="B2159" s="34" t="s">
        <v>0</v>
      </c>
      <c r="C2159" s="34" t="s">
        <v>233</v>
      </c>
      <c r="D2159" s="34" t="s">
        <v>234</v>
      </c>
      <c r="E2159" s="34" t="s">
        <v>48</v>
      </c>
      <c r="F2159" s="35">
        <v>43511</v>
      </c>
      <c r="G2159" s="35">
        <v>43518</v>
      </c>
      <c r="H2159" s="36">
        <v>0.70138888888888884</v>
      </c>
      <c r="I2159" s="34" t="s">
        <v>207</v>
      </c>
      <c r="J2159" s="34" t="s">
        <v>1054</v>
      </c>
      <c r="K2159" s="34" t="s">
        <v>38</v>
      </c>
      <c r="L2159" s="4"/>
      <c r="M2159" s="4" t="s">
        <v>275</v>
      </c>
    </row>
    <row r="2160" spans="1:13" x14ac:dyDescent="0.25">
      <c r="A2160" s="34" t="s">
        <v>1436</v>
      </c>
      <c r="B2160" s="34" t="s">
        <v>0</v>
      </c>
      <c r="C2160" s="34" t="s">
        <v>233</v>
      </c>
      <c r="D2160" s="34" t="s">
        <v>234</v>
      </c>
      <c r="E2160" s="34" t="s">
        <v>22</v>
      </c>
      <c r="F2160" s="35">
        <v>43512</v>
      </c>
      <c r="G2160" s="35">
        <v>43547</v>
      </c>
      <c r="H2160" s="36">
        <v>0.70138888888888884</v>
      </c>
      <c r="I2160" s="34" t="s">
        <v>14</v>
      </c>
      <c r="J2160" s="34" t="s">
        <v>1940</v>
      </c>
      <c r="K2160" s="34" t="s">
        <v>38</v>
      </c>
      <c r="L2160" s="4"/>
      <c r="M2160" s="4" t="s">
        <v>275</v>
      </c>
    </row>
    <row r="2161" spans="1:13" x14ac:dyDescent="0.25">
      <c r="A2161" s="34" t="s">
        <v>1436</v>
      </c>
      <c r="B2161" s="34" t="s">
        <v>0</v>
      </c>
      <c r="C2161" s="34" t="s">
        <v>233</v>
      </c>
      <c r="D2161" s="34" t="s">
        <v>234</v>
      </c>
      <c r="E2161" s="34" t="s">
        <v>18</v>
      </c>
      <c r="F2161" s="35">
        <v>43464</v>
      </c>
      <c r="G2161" s="35">
        <v>43548</v>
      </c>
      <c r="H2161" s="36">
        <v>0.70833333333333337</v>
      </c>
      <c r="I2161" s="34">
        <v>320</v>
      </c>
      <c r="J2161" s="34" t="s">
        <v>1056</v>
      </c>
      <c r="K2161" s="34" t="s">
        <v>38</v>
      </c>
      <c r="L2161" s="4"/>
      <c r="M2161" s="4" t="s">
        <v>275</v>
      </c>
    </row>
    <row r="2162" spans="1:13" x14ac:dyDescent="0.25">
      <c r="A2162" s="34" t="s">
        <v>1436</v>
      </c>
      <c r="B2162" s="34" t="s">
        <v>0</v>
      </c>
      <c r="C2162" s="34" t="s">
        <v>233</v>
      </c>
      <c r="D2162" s="34" t="s">
        <v>234</v>
      </c>
      <c r="E2162" s="34" t="s">
        <v>48</v>
      </c>
      <c r="F2162" s="35">
        <v>43406</v>
      </c>
      <c r="G2162" s="35">
        <v>43553</v>
      </c>
      <c r="H2162" s="36">
        <v>0.75694444444444453</v>
      </c>
      <c r="I2162" s="34">
        <v>320</v>
      </c>
      <c r="J2162" s="34" t="s">
        <v>1060</v>
      </c>
      <c r="K2162" s="34" t="s">
        <v>38</v>
      </c>
      <c r="L2162" s="4"/>
      <c r="M2162" s="4" t="s">
        <v>275</v>
      </c>
    </row>
    <row r="2163" spans="1:13" x14ac:dyDescent="0.25">
      <c r="A2163" s="34" t="s">
        <v>1436</v>
      </c>
      <c r="B2163" s="34" t="s">
        <v>0</v>
      </c>
      <c r="C2163" s="34" t="s">
        <v>233</v>
      </c>
      <c r="D2163" s="34" t="s">
        <v>234</v>
      </c>
      <c r="E2163" s="34" t="s">
        <v>20</v>
      </c>
      <c r="F2163" s="35">
        <v>43404</v>
      </c>
      <c r="G2163" s="35">
        <v>43551</v>
      </c>
      <c r="H2163" s="36">
        <v>0.79166666666666663</v>
      </c>
      <c r="I2163" s="34" t="s">
        <v>14</v>
      </c>
      <c r="J2163" s="34" t="s">
        <v>1059</v>
      </c>
      <c r="K2163" s="34" t="s">
        <v>38</v>
      </c>
      <c r="L2163" s="4"/>
      <c r="M2163" s="4" t="s">
        <v>275</v>
      </c>
    </row>
    <row r="2164" spans="1:13" x14ac:dyDescent="0.25">
      <c r="A2164" s="34" t="s">
        <v>1436</v>
      </c>
      <c r="B2164" s="34" t="s">
        <v>0</v>
      </c>
      <c r="C2164" s="34" t="s">
        <v>233</v>
      </c>
      <c r="D2164" s="34" t="s">
        <v>234</v>
      </c>
      <c r="E2164" s="34" t="s">
        <v>146</v>
      </c>
      <c r="F2164" s="35">
        <v>43466</v>
      </c>
      <c r="G2164" s="35">
        <v>43550</v>
      </c>
      <c r="H2164" s="36">
        <v>0.79166666666666663</v>
      </c>
      <c r="I2164" s="34" t="s">
        <v>14</v>
      </c>
      <c r="J2164" s="34" t="s">
        <v>1059</v>
      </c>
      <c r="K2164" s="34" t="s">
        <v>38</v>
      </c>
      <c r="L2164" s="4"/>
      <c r="M2164" s="4" t="s">
        <v>275</v>
      </c>
    </row>
    <row r="2165" spans="1:13" x14ac:dyDescent="0.25">
      <c r="A2165" s="34" t="s">
        <v>1436</v>
      </c>
      <c r="B2165" s="34" t="s">
        <v>0</v>
      </c>
      <c r="C2165" s="34" t="s">
        <v>233</v>
      </c>
      <c r="D2165" s="34" t="s">
        <v>234</v>
      </c>
      <c r="E2165" s="34" t="s">
        <v>48</v>
      </c>
      <c r="F2165" s="35">
        <v>43406</v>
      </c>
      <c r="G2165" s="35">
        <v>43553</v>
      </c>
      <c r="H2165" s="36">
        <v>0.79861111111111116</v>
      </c>
      <c r="I2165" s="34" t="s">
        <v>14</v>
      </c>
      <c r="J2165" s="34" t="s">
        <v>1059</v>
      </c>
      <c r="K2165" s="34" t="s">
        <v>38</v>
      </c>
      <c r="L2165" s="4"/>
      <c r="M2165" s="4" t="s">
        <v>275</v>
      </c>
    </row>
    <row r="2166" spans="1:13" x14ac:dyDescent="0.25">
      <c r="A2166" s="34" t="s">
        <v>1436</v>
      </c>
      <c r="B2166" s="34" t="s">
        <v>0</v>
      </c>
      <c r="C2166" s="34" t="s">
        <v>233</v>
      </c>
      <c r="D2166" s="34" t="s">
        <v>234</v>
      </c>
      <c r="E2166" s="34" t="s">
        <v>22</v>
      </c>
      <c r="F2166" s="35">
        <v>43407</v>
      </c>
      <c r="G2166" s="35">
        <v>43554</v>
      </c>
      <c r="H2166" s="36">
        <v>0.80208333333333337</v>
      </c>
      <c r="I2166" s="34">
        <v>320</v>
      </c>
      <c r="J2166" s="34" t="s">
        <v>1687</v>
      </c>
      <c r="K2166" s="34" t="s">
        <v>38</v>
      </c>
      <c r="L2166" s="4"/>
      <c r="M2166" s="4" t="s">
        <v>275</v>
      </c>
    </row>
    <row r="2167" spans="1:13" x14ac:dyDescent="0.25">
      <c r="A2167" s="34" t="s">
        <v>1436</v>
      </c>
      <c r="B2167" s="34" t="s">
        <v>0</v>
      </c>
      <c r="C2167" s="34" t="s">
        <v>233</v>
      </c>
      <c r="D2167" s="34" t="s">
        <v>234</v>
      </c>
      <c r="E2167" s="34" t="s">
        <v>18</v>
      </c>
      <c r="F2167" s="35">
        <v>43401</v>
      </c>
      <c r="G2167" s="35">
        <v>43548</v>
      </c>
      <c r="H2167" s="36">
        <v>0.80555555555555547</v>
      </c>
      <c r="I2167" s="34" t="s">
        <v>14</v>
      </c>
      <c r="J2167" s="34" t="s">
        <v>1059</v>
      </c>
      <c r="K2167" s="34" t="s">
        <v>38</v>
      </c>
      <c r="L2167" s="4"/>
      <c r="M2167" s="4" t="s">
        <v>275</v>
      </c>
    </row>
    <row r="2168" spans="1:13" x14ac:dyDescent="0.25">
      <c r="A2168" s="34" t="s">
        <v>1436</v>
      </c>
      <c r="B2168" s="34" t="s">
        <v>0</v>
      </c>
      <c r="C2168" s="34" t="s">
        <v>233</v>
      </c>
      <c r="D2168" s="34" t="s">
        <v>234</v>
      </c>
      <c r="E2168" s="34" t="s">
        <v>22</v>
      </c>
      <c r="F2168" s="35">
        <v>43512</v>
      </c>
      <c r="G2168" s="35">
        <v>43519</v>
      </c>
      <c r="H2168" s="36">
        <v>0.83680555555555547</v>
      </c>
      <c r="I2168" s="34" t="s">
        <v>14</v>
      </c>
      <c r="J2168" s="34" t="s">
        <v>1857</v>
      </c>
      <c r="K2168" s="34" t="s">
        <v>38</v>
      </c>
      <c r="L2168" s="4"/>
      <c r="M2168" s="4" t="s">
        <v>275</v>
      </c>
    </row>
    <row r="2169" spans="1:13" x14ac:dyDescent="0.25">
      <c r="A2169" s="34" t="s">
        <v>1436</v>
      </c>
      <c r="B2169" s="34" t="s">
        <v>0</v>
      </c>
      <c r="C2169" s="34" t="s">
        <v>233</v>
      </c>
      <c r="D2169" s="34" t="s">
        <v>234</v>
      </c>
      <c r="E2169" s="34" t="s">
        <v>48</v>
      </c>
      <c r="F2169" s="35">
        <v>43511</v>
      </c>
      <c r="G2169" s="35">
        <v>43553</v>
      </c>
      <c r="H2169" s="36">
        <v>0.86805555555555547</v>
      </c>
      <c r="I2169" s="34">
        <v>320</v>
      </c>
      <c r="J2169" s="34" t="s">
        <v>1288</v>
      </c>
      <c r="K2169" s="34" t="s">
        <v>38</v>
      </c>
      <c r="L2169" s="4"/>
      <c r="M2169" s="4" t="s">
        <v>275</v>
      </c>
    </row>
    <row r="2170" spans="1:13" x14ac:dyDescent="0.25">
      <c r="A2170" s="34" t="s">
        <v>1436</v>
      </c>
      <c r="B2170" s="34" t="s">
        <v>0</v>
      </c>
      <c r="C2170" s="34" t="s">
        <v>1062</v>
      </c>
      <c r="D2170" s="34" t="s">
        <v>1063</v>
      </c>
      <c r="E2170" s="34" t="s">
        <v>72</v>
      </c>
      <c r="F2170" s="35">
        <v>43463</v>
      </c>
      <c r="G2170" s="35">
        <v>43554</v>
      </c>
      <c r="H2170" s="36">
        <v>0.47916666666666669</v>
      </c>
      <c r="I2170" s="34" t="s">
        <v>14</v>
      </c>
      <c r="J2170" s="34" t="s">
        <v>1064</v>
      </c>
      <c r="K2170" s="34" t="s">
        <v>45</v>
      </c>
      <c r="L2170" s="4"/>
      <c r="M2170" s="4" t="s">
        <v>275</v>
      </c>
    </row>
    <row r="2171" spans="1:13" x14ac:dyDescent="0.25">
      <c r="A2171" s="34" t="s">
        <v>1436</v>
      </c>
      <c r="B2171" s="34" t="s">
        <v>0</v>
      </c>
      <c r="C2171" s="34" t="s">
        <v>240</v>
      </c>
      <c r="D2171" s="34" t="s">
        <v>241</v>
      </c>
      <c r="E2171" s="34" t="s">
        <v>13</v>
      </c>
      <c r="F2171" s="35">
        <v>43405</v>
      </c>
      <c r="G2171" s="35">
        <v>43552</v>
      </c>
      <c r="H2171" s="36">
        <v>0.46180555555555558</v>
      </c>
      <c r="I2171" s="34">
        <v>320</v>
      </c>
      <c r="J2171" s="34" t="s">
        <v>1065</v>
      </c>
      <c r="K2171" s="34" t="s">
        <v>66</v>
      </c>
      <c r="L2171" s="4"/>
      <c r="M2171" s="4" t="s">
        <v>275</v>
      </c>
    </row>
    <row r="2172" spans="1:13" x14ac:dyDescent="0.25">
      <c r="A2172" s="34" t="s">
        <v>1436</v>
      </c>
      <c r="B2172" s="34" t="s">
        <v>0</v>
      </c>
      <c r="C2172" s="34" t="s">
        <v>240</v>
      </c>
      <c r="D2172" s="34" t="s">
        <v>241</v>
      </c>
      <c r="E2172" s="34" t="s">
        <v>19</v>
      </c>
      <c r="F2172" s="35">
        <v>43473</v>
      </c>
      <c r="G2172" s="35">
        <v>43550</v>
      </c>
      <c r="H2172" s="36">
        <v>0.47916666666666669</v>
      </c>
      <c r="I2172" s="34" t="s">
        <v>14</v>
      </c>
      <c r="J2172" s="34" t="s">
        <v>1689</v>
      </c>
      <c r="K2172" s="34" t="s">
        <v>66</v>
      </c>
      <c r="L2172" s="4"/>
      <c r="M2172" s="4" t="s">
        <v>275</v>
      </c>
    </row>
    <row r="2173" spans="1:13" x14ac:dyDescent="0.25">
      <c r="A2173" s="34" t="s">
        <v>1436</v>
      </c>
      <c r="B2173" s="34" t="s">
        <v>0</v>
      </c>
      <c r="C2173" s="34" t="s">
        <v>240</v>
      </c>
      <c r="D2173" s="34" t="s">
        <v>241</v>
      </c>
      <c r="E2173" s="34" t="s">
        <v>48</v>
      </c>
      <c r="F2173" s="35">
        <v>43406</v>
      </c>
      <c r="G2173" s="35">
        <v>43553</v>
      </c>
      <c r="H2173" s="36">
        <v>0.55902777777777779</v>
      </c>
      <c r="I2173" s="34" t="s">
        <v>14</v>
      </c>
      <c r="J2173" s="34" t="s">
        <v>1689</v>
      </c>
      <c r="K2173" s="34" t="s">
        <v>66</v>
      </c>
      <c r="L2173" s="4"/>
      <c r="M2173" s="4" t="s">
        <v>275</v>
      </c>
    </row>
    <row r="2174" spans="1:13" x14ac:dyDescent="0.25">
      <c r="A2174" s="34" t="s">
        <v>1436</v>
      </c>
      <c r="B2174" s="34" t="s">
        <v>0</v>
      </c>
      <c r="C2174" s="34" t="s">
        <v>240</v>
      </c>
      <c r="D2174" s="34" t="s">
        <v>241</v>
      </c>
      <c r="E2174" s="34" t="s">
        <v>22</v>
      </c>
      <c r="F2174" s="35">
        <v>43407</v>
      </c>
      <c r="G2174" s="35">
        <v>43547</v>
      </c>
      <c r="H2174" s="36">
        <v>0.70833333333333337</v>
      </c>
      <c r="I2174" s="34">
        <v>320</v>
      </c>
      <c r="J2174" s="34" t="s">
        <v>1065</v>
      </c>
      <c r="K2174" s="34" t="s">
        <v>66</v>
      </c>
      <c r="L2174" s="4"/>
      <c r="M2174" s="4" t="s">
        <v>275</v>
      </c>
    </row>
    <row r="2175" spans="1:13" x14ac:dyDescent="0.25">
      <c r="A2175" s="34" t="s">
        <v>1436</v>
      </c>
      <c r="B2175" s="34" t="s">
        <v>0</v>
      </c>
      <c r="C2175" s="34" t="s">
        <v>240</v>
      </c>
      <c r="D2175" s="34" t="s">
        <v>241</v>
      </c>
      <c r="E2175" s="34" t="s">
        <v>19</v>
      </c>
      <c r="F2175" s="35">
        <v>43466</v>
      </c>
      <c r="G2175" s="35">
        <v>43550</v>
      </c>
      <c r="H2175" s="36">
        <v>0.70833333333333337</v>
      </c>
      <c r="I2175" s="34">
        <v>320</v>
      </c>
      <c r="J2175" s="34" t="s">
        <v>1065</v>
      </c>
      <c r="K2175" s="34" t="s">
        <v>66</v>
      </c>
      <c r="L2175" s="4"/>
      <c r="M2175" s="4" t="s">
        <v>275</v>
      </c>
    </row>
    <row r="2176" spans="1:13" x14ac:dyDescent="0.25">
      <c r="A2176" s="34" t="s">
        <v>1436</v>
      </c>
      <c r="B2176" s="34" t="s">
        <v>0</v>
      </c>
      <c r="C2176" s="34" t="s">
        <v>243</v>
      </c>
      <c r="D2176" s="34" t="s">
        <v>244</v>
      </c>
      <c r="E2176" s="34" t="s">
        <v>19</v>
      </c>
      <c r="F2176" s="35">
        <v>43466</v>
      </c>
      <c r="G2176" s="35">
        <v>43550</v>
      </c>
      <c r="H2176" s="36">
        <v>0.49652777777777773</v>
      </c>
      <c r="I2176" s="34" t="s">
        <v>14</v>
      </c>
      <c r="J2176" s="34" t="s">
        <v>1066</v>
      </c>
      <c r="K2176" s="34" t="s">
        <v>66</v>
      </c>
      <c r="L2176" s="4"/>
      <c r="M2176" s="4" t="s">
        <v>275</v>
      </c>
    </row>
    <row r="2177" spans="1:13" x14ac:dyDescent="0.25">
      <c r="A2177" s="34" t="s">
        <v>1436</v>
      </c>
      <c r="B2177" s="34" t="s">
        <v>0</v>
      </c>
      <c r="C2177" s="34" t="s">
        <v>243</v>
      </c>
      <c r="D2177" s="34" t="s">
        <v>244</v>
      </c>
      <c r="E2177" s="34" t="s">
        <v>13</v>
      </c>
      <c r="F2177" s="35">
        <v>43405</v>
      </c>
      <c r="G2177" s="35">
        <v>43552</v>
      </c>
      <c r="H2177" s="36">
        <v>0.52083333333333337</v>
      </c>
      <c r="I2177" s="34" t="s">
        <v>14</v>
      </c>
      <c r="J2177" s="34" t="s">
        <v>1066</v>
      </c>
      <c r="K2177" s="34" t="s">
        <v>66</v>
      </c>
      <c r="L2177" s="4"/>
      <c r="M2177" s="4" t="s">
        <v>275</v>
      </c>
    </row>
    <row r="2178" spans="1:13" x14ac:dyDescent="0.25">
      <c r="A2178" s="34" t="s">
        <v>1436</v>
      </c>
      <c r="B2178" s="34" t="s">
        <v>0</v>
      </c>
      <c r="C2178" s="34" t="s">
        <v>243</v>
      </c>
      <c r="D2178" s="34" t="s">
        <v>244</v>
      </c>
      <c r="E2178" s="34" t="s">
        <v>20</v>
      </c>
      <c r="F2178" s="35">
        <v>43467</v>
      </c>
      <c r="G2178" s="35">
        <v>43551</v>
      </c>
      <c r="H2178" s="36">
        <v>0.52777777777777779</v>
      </c>
      <c r="I2178" s="34" t="s">
        <v>14</v>
      </c>
      <c r="J2178" s="34" t="s">
        <v>1066</v>
      </c>
      <c r="K2178" s="34" t="s">
        <v>66</v>
      </c>
      <c r="L2178" s="4"/>
      <c r="M2178" s="4" t="s">
        <v>275</v>
      </c>
    </row>
    <row r="2179" spans="1:13" x14ac:dyDescent="0.25">
      <c r="A2179" s="34" t="s">
        <v>1436</v>
      </c>
      <c r="B2179" s="34" t="s">
        <v>0</v>
      </c>
      <c r="C2179" s="34" t="s">
        <v>243</v>
      </c>
      <c r="D2179" s="34" t="s">
        <v>244</v>
      </c>
      <c r="E2179" s="34" t="s">
        <v>59</v>
      </c>
      <c r="F2179" s="35">
        <v>43472</v>
      </c>
      <c r="G2179" s="35">
        <v>43549</v>
      </c>
      <c r="H2179" s="36">
        <v>0.5625</v>
      </c>
      <c r="I2179" s="34" t="s">
        <v>14</v>
      </c>
      <c r="J2179" s="34" t="s">
        <v>1066</v>
      </c>
      <c r="K2179" s="34" t="s">
        <v>66</v>
      </c>
      <c r="L2179" s="4"/>
      <c r="M2179" s="4" t="s">
        <v>275</v>
      </c>
    </row>
    <row r="2180" spans="1:13" x14ac:dyDescent="0.25">
      <c r="A2180" s="34" t="s">
        <v>1436</v>
      </c>
      <c r="B2180" s="34" t="s">
        <v>0</v>
      </c>
      <c r="C2180" s="34" t="s">
        <v>243</v>
      </c>
      <c r="D2180" s="34" t="s">
        <v>244</v>
      </c>
      <c r="E2180" s="34" t="s">
        <v>18</v>
      </c>
      <c r="F2180" s="35">
        <v>43464</v>
      </c>
      <c r="G2180" s="35">
        <v>43548</v>
      </c>
      <c r="H2180" s="36">
        <v>0.58680555555555558</v>
      </c>
      <c r="I2180" s="34" t="s">
        <v>14</v>
      </c>
      <c r="J2180" s="34" t="s">
        <v>1066</v>
      </c>
      <c r="K2180" s="34" t="s">
        <v>66</v>
      </c>
      <c r="L2180" s="4"/>
      <c r="M2180" s="4" t="s">
        <v>275</v>
      </c>
    </row>
    <row r="2181" spans="1:13" x14ac:dyDescent="0.25">
      <c r="A2181" s="34" t="s">
        <v>1436</v>
      </c>
      <c r="B2181" s="34" t="s">
        <v>0</v>
      </c>
      <c r="C2181" s="34" t="s">
        <v>243</v>
      </c>
      <c r="D2181" s="34" t="s">
        <v>244</v>
      </c>
      <c r="E2181" s="34" t="s">
        <v>22</v>
      </c>
      <c r="F2181" s="35">
        <v>43498</v>
      </c>
      <c r="G2181" s="35">
        <v>43554</v>
      </c>
      <c r="H2181" s="36">
        <v>0.60763888888888895</v>
      </c>
      <c r="I2181" s="34" t="s">
        <v>14</v>
      </c>
      <c r="J2181" s="34" t="s">
        <v>1066</v>
      </c>
      <c r="K2181" s="34" t="s">
        <v>66</v>
      </c>
      <c r="L2181" s="4"/>
      <c r="M2181" s="4" t="s">
        <v>275</v>
      </c>
    </row>
    <row r="2182" spans="1:13" x14ac:dyDescent="0.25">
      <c r="A2182" s="34" t="s">
        <v>1436</v>
      </c>
      <c r="B2182" s="34" t="s">
        <v>0</v>
      </c>
      <c r="C2182" s="34" t="s">
        <v>1067</v>
      </c>
      <c r="D2182" s="34" t="s">
        <v>1068</v>
      </c>
      <c r="E2182" s="34" t="s">
        <v>235</v>
      </c>
      <c r="F2182" s="35">
        <v>43402</v>
      </c>
      <c r="G2182" s="35">
        <v>43552</v>
      </c>
      <c r="H2182" s="36">
        <v>0.77777777777777779</v>
      </c>
      <c r="I2182" s="34">
        <v>320</v>
      </c>
      <c r="J2182" s="34" t="s">
        <v>1069</v>
      </c>
      <c r="K2182" s="34" t="s">
        <v>1070</v>
      </c>
      <c r="L2182" s="4"/>
      <c r="M2182" s="4" t="s">
        <v>275</v>
      </c>
    </row>
    <row r="2183" spans="1:13" x14ac:dyDescent="0.25">
      <c r="A2183" s="34" t="s">
        <v>1436</v>
      </c>
      <c r="B2183" s="34" t="s">
        <v>0</v>
      </c>
      <c r="C2183" s="34" t="s">
        <v>1071</v>
      </c>
      <c r="D2183" s="34" t="s">
        <v>1072</v>
      </c>
      <c r="E2183" s="34" t="s">
        <v>1250</v>
      </c>
      <c r="F2183" s="35">
        <v>43508</v>
      </c>
      <c r="G2183" s="35">
        <v>43523</v>
      </c>
      <c r="H2183" s="36">
        <v>0.76041666666666663</v>
      </c>
      <c r="I2183" s="34">
        <v>333</v>
      </c>
      <c r="J2183" s="34" t="s">
        <v>1073</v>
      </c>
      <c r="K2183" s="34" t="s">
        <v>1070</v>
      </c>
      <c r="L2183" s="4"/>
      <c r="M2183" s="4" t="s">
        <v>275</v>
      </c>
    </row>
    <row r="2184" spans="1:13" x14ac:dyDescent="0.25">
      <c r="A2184" s="34" t="s">
        <v>1436</v>
      </c>
      <c r="B2184" s="34" t="s">
        <v>0</v>
      </c>
      <c r="C2184" s="34" t="s">
        <v>1071</v>
      </c>
      <c r="D2184" s="34" t="s">
        <v>1072</v>
      </c>
      <c r="E2184" s="34" t="s">
        <v>52</v>
      </c>
      <c r="F2184" s="35">
        <v>43512</v>
      </c>
      <c r="G2184" s="35">
        <v>43513</v>
      </c>
      <c r="H2184" s="36">
        <v>0.76041666666666663</v>
      </c>
      <c r="I2184" s="34">
        <v>333</v>
      </c>
      <c r="J2184" s="34" t="s">
        <v>1073</v>
      </c>
      <c r="K2184" s="34" t="s">
        <v>1070</v>
      </c>
      <c r="L2184" s="4"/>
      <c r="M2184" s="4" t="s">
        <v>275</v>
      </c>
    </row>
    <row r="2185" spans="1:13" x14ac:dyDescent="0.25">
      <c r="A2185" s="34" t="s">
        <v>1436</v>
      </c>
      <c r="B2185" s="34" t="s">
        <v>0</v>
      </c>
      <c r="C2185" s="34" t="s">
        <v>426</v>
      </c>
      <c r="D2185" s="34" t="s">
        <v>427</v>
      </c>
      <c r="E2185" s="34" t="s">
        <v>48</v>
      </c>
      <c r="F2185" s="35">
        <v>43413</v>
      </c>
      <c r="G2185" s="35">
        <v>43553</v>
      </c>
      <c r="H2185" s="36">
        <v>0.73958333333333337</v>
      </c>
      <c r="I2185" s="34">
        <v>319</v>
      </c>
      <c r="J2185" s="34" t="s">
        <v>1074</v>
      </c>
      <c r="K2185" s="34" t="s">
        <v>45</v>
      </c>
      <c r="L2185" s="4"/>
      <c r="M2185" s="4" t="s">
        <v>275</v>
      </c>
    </row>
    <row r="2186" spans="1:13" x14ac:dyDescent="0.25">
      <c r="A2186" s="34" t="s">
        <v>1436</v>
      </c>
      <c r="B2186" s="34" t="s">
        <v>0</v>
      </c>
      <c r="C2186" s="34" t="s">
        <v>426</v>
      </c>
      <c r="D2186" s="34" t="s">
        <v>427</v>
      </c>
      <c r="E2186" s="34" t="s">
        <v>59</v>
      </c>
      <c r="F2186" s="35">
        <v>43507</v>
      </c>
      <c r="G2186" s="35">
        <v>43549</v>
      </c>
      <c r="H2186" s="36">
        <v>0.73958333333333337</v>
      </c>
      <c r="I2186" s="34">
        <v>319</v>
      </c>
      <c r="J2186" s="34" t="s">
        <v>1074</v>
      </c>
      <c r="K2186" s="34" t="s">
        <v>45</v>
      </c>
      <c r="L2186" s="4"/>
      <c r="M2186" s="4" t="s">
        <v>275</v>
      </c>
    </row>
    <row r="2187" spans="1:13" x14ac:dyDescent="0.25">
      <c r="A2187" s="34" t="s">
        <v>1436</v>
      </c>
      <c r="B2187" s="34" t="s">
        <v>0</v>
      </c>
      <c r="C2187" s="34" t="s">
        <v>246</v>
      </c>
      <c r="D2187" s="34" t="s">
        <v>247</v>
      </c>
      <c r="E2187" s="34" t="s">
        <v>1527</v>
      </c>
      <c r="F2187" s="35">
        <v>43404</v>
      </c>
      <c r="G2187" s="35">
        <v>43554</v>
      </c>
      <c r="H2187" s="36">
        <v>0.3923611111111111</v>
      </c>
      <c r="I2187" s="34" t="s">
        <v>14</v>
      </c>
      <c r="J2187" s="34" t="s">
        <v>1075</v>
      </c>
      <c r="K2187" s="34" t="s">
        <v>45</v>
      </c>
      <c r="L2187" s="4"/>
      <c r="M2187" s="4" t="s">
        <v>275</v>
      </c>
    </row>
    <row r="2188" spans="1:13" x14ac:dyDescent="0.25">
      <c r="A2188" s="34" t="s">
        <v>1436</v>
      </c>
      <c r="B2188" s="34" t="s">
        <v>0</v>
      </c>
      <c r="C2188" s="34" t="s">
        <v>246</v>
      </c>
      <c r="D2188" s="34" t="s">
        <v>247</v>
      </c>
      <c r="E2188" s="34" t="s">
        <v>19</v>
      </c>
      <c r="F2188" s="35">
        <v>43501</v>
      </c>
      <c r="G2188" s="35">
        <v>43550</v>
      </c>
      <c r="H2188" s="36">
        <v>0.3923611111111111</v>
      </c>
      <c r="I2188" s="34" t="s">
        <v>14</v>
      </c>
      <c r="J2188" s="34" t="s">
        <v>1075</v>
      </c>
      <c r="K2188" s="34" t="s">
        <v>45</v>
      </c>
      <c r="L2188" s="4"/>
      <c r="M2188" s="4" t="s">
        <v>275</v>
      </c>
    </row>
    <row r="2189" spans="1:13" x14ac:dyDescent="0.25">
      <c r="A2189" s="34" t="s">
        <v>1436</v>
      </c>
      <c r="B2189" s="34" t="s">
        <v>0</v>
      </c>
      <c r="C2189" s="34" t="s">
        <v>246</v>
      </c>
      <c r="D2189" s="34" t="s">
        <v>247</v>
      </c>
      <c r="E2189" s="34" t="s">
        <v>19</v>
      </c>
      <c r="F2189" s="35">
        <v>43473</v>
      </c>
      <c r="G2189" s="35">
        <v>43550</v>
      </c>
      <c r="H2189" s="36">
        <v>0.4548611111111111</v>
      </c>
      <c r="I2189" s="34" t="s">
        <v>106</v>
      </c>
      <c r="J2189" s="34" t="s">
        <v>1076</v>
      </c>
      <c r="K2189" s="34" t="s">
        <v>45</v>
      </c>
      <c r="L2189" s="4"/>
      <c r="M2189" s="4" t="s">
        <v>275</v>
      </c>
    </row>
    <row r="2190" spans="1:13" x14ac:dyDescent="0.25">
      <c r="A2190" s="34" t="s">
        <v>1436</v>
      </c>
      <c r="B2190" s="34" t="s">
        <v>0</v>
      </c>
      <c r="C2190" s="34" t="s">
        <v>246</v>
      </c>
      <c r="D2190" s="34" t="s">
        <v>247</v>
      </c>
      <c r="E2190" s="34" t="s">
        <v>22</v>
      </c>
      <c r="F2190" s="35">
        <v>43512</v>
      </c>
      <c r="G2190" s="35">
        <v>43554</v>
      </c>
      <c r="H2190" s="36">
        <v>0.4548611111111111</v>
      </c>
      <c r="I2190" s="34" t="s">
        <v>106</v>
      </c>
      <c r="J2190" s="34" t="s">
        <v>1076</v>
      </c>
      <c r="K2190" s="34" t="s">
        <v>45</v>
      </c>
      <c r="L2190" s="4"/>
      <c r="M2190" s="4" t="s">
        <v>275</v>
      </c>
    </row>
    <row r="2191" spans="1:13" x14ac:dyDescent="0.25">
      <c r="A2191" s="34" t="s">
        <v>1436</v>
      </c>
      <c r="B2191" s="34" t="s">
        <v>0</v>
      </c>
      <c r="C2191" s="34" t="s">
        <v>246</v>
      </c>
      <c r="D2191" s="34" t="s">
        <v>247</v>
      </c>
      <c r="E2191" s="34" t="s">
        <v>59</v>
      </c>
      <c r="F2191" s="35">
        <v>43402</v>
      </c>
      <c r="G2191" s="35">
        <v>43549</v>
      </c>
      <c r="H2191" s="36">
        <v>0.5</v>
      </c>
      <c r="I2191" s="34" t="s">
        <v>352</v>
      </c>
      <c r="J2191" s="34" t="s">
        <v>1690</v>
      </c>
      <c r="K2191" s="34" t="s">
        <v>45</v>
      </c>
      <c r="L2191" s="4"/>
      <c r="M2191" s="4" t="s">
        <v>275</v>
      </c>
    </row>
    <row r="2192" spans="1:13" x14ac:dyDescent="0.25">
      <c r="A2192" s="34" t="s">
        <v>1436</v>
      </c>
      <c r="B2192" s="34" t="s">
        <v>0</v>
      </c>
      <c r="C2192" s="34" t="s">
        <v>246</v>
      </c>
      <c r="D2192" s="34" t="s">
        <v>247</v>
      </c>
      <c r="E2192" s="34" t="s">
        <v>13</v>
      </c>
      <c r="F2192" s="35">
        <v>43510</v>
      </c>
      <c r="G2192" s="35">
        <v>43552</v>
      </c>
      <c r="H2192" s="36">
        <v>0.5</v>
      </c>
      <c r="I2192" s="34" t="s">
        <v>352</v>
      </c>
      <c r="J2192" s="34" t="s">
        <v>1690</v>
      </c>
      <c r="K2192" s="34" t="s">
        <v>45</v>
      </c>
      <c r="L2192" s="4"/>
      <c r="M2192" s="4" t="s">
        <v>275</v>
      </c>
    </row>
    <row r="2193" spans="1:13" x14ac:dyDescent="0.25">
      <c r="A2193" s="34" t="s">
        <v>1436</v>
      </c>
      <c r="B2193" s="34" t="s">
        <v>0</v>
      </c>
      <c r="C2193" s="34" t="s">
        <v>246</v>
      </c>
      <c r="D2193" s="34" t="s">
        <v>247</v>
      </c>
      <c r="E2193" s="34" t="s">
        <v>20</v>
      </c>
      <c r="F2193" s="35">
        <v>43404</v>
      </c>
      <c r="G2193" s="35">
        <v>43551</v>
      </c>
      <c r="H2193" s="36">
        <v>0.59027777777777779</v>
      </c>
      <c r="I2193" s="34">
        <v>319</v>
      </c>
      <c r="J2193" s="34" t="s">
        <v>1691</v>
      </c>
      <c r="K2193" s="34" t="s">
        <v>45</v>
      </c>
      <c r="L2193" s="4"/>
      <c r="M2193" s="4" t="s">
        <v>275</v>
      </c>
    </row>
    <row r="2194" spans="1:13" x14ac:dyDescent="0.25">
      <c r="A2194" s="34" t="s">
        <v>1436</v>
      </c>
      <c r="B2194" s="34" t="s">
        <v>0</v>
      </c>
      <c r="C2194" s="34" t="s">
        <v>246</v>
      </c>
      <c r="D2194" s="34" t="s">
        <v>247</v>
      </c>
      <c r="E2194" s="34" t="s">
        <v>22</v>
      </c>
      <c r="F2194" s="35">
        <v>43407</v>
      </c>
      <c r="G2194" s="35">
        <v>43554</v>
      </c>
      <c r="H2194" s="36">
        <v>0.59722222222222221</v>
      </c>
      <c r="I2194" s="34">
        <v>321</v>
      </c>
      <c r="J2194" s="34" t="s">
        <v>1691</v>
      </c>
      <c r="K2194" s="34" t="s">
        <v>45</v>
      </c>
      <c r="L2194" s="4"/>
      <c r="M2194" s="4" t="s">
        <v>275</v>
      </c>
    </row>
    <row r="2195" spans="1:13" x14ac:dyDescent="0.25">
      <c r="A2195" s="34" t="s">
        <v>1436</v>
      </c>
      <c r="B2195" s="34" t="s">
        <v>0</v>
      </c>
      <c r="C2195" s="34" t="s">
        <v>246</v>
      </c>
      <c r="D2195" s="34" t="s">
        <v>247</v>
      </c>
      <c r="E2195" s="34" t="s">
        <v>48</v>
      </c>
      <c r="F2195" s="35">
        <v>43511</v>
      </c>
      <c r="G2195" s="35">
        <v>43553</v>
      </c>
      <c r="H2195" s="36">
        <v>0.62152777777777779</v>
      </c>
      <c r="I2195" s="34" t="s">
        <v>104</v>
      </c>
      <c r="J2195" s="34" t="s">
        <v>1077</v>
      </c>
      <c r="K2195" s="34" t="s">
        <v>45</v>
      </c>
      <c r="L2195" s="4"/>
      <c r="M2195" s="4" t="s">
        <v>275</v>
      </c>
    </row>
    <row r="2196" spans="1:13" x14ac:dyDescent="0.25">
      <c r="A2196" s="34" t="s">
        <v>1436</v>
      </c>
      <c r="B2196" s="34" t="s">
        <v>0</v>
      </c>
      <c r="C2196" s="34" t="s">
        <v>246</v>
      </c>
      <c r="D2196" s="34" t="s">
        <v>247</v>
      </c>
      <c r="E2196" s="34" t="s">
        <v>59</v>
      </c>
      <c r="F2196" s="35">
        <v>43479</v>
      </c>
      <c r="G2196" s="35">
        <v>43521</v>
      </c>
      <c r="H2196" s="36">
        <v>0.63194444444444442</v>
      </c>
      <c r="I2196" s="34">
        <v>320</v>
      </c>
      <c r="J2196" s="34" t="s">
        <v>1077</v>
      </c>
      <c r="K2196" s="34" t="s">
        <v>45</v>
      </c>
      <c r="L2196" s="4"/>
      <c r="M2196" s="4" t="s">
        <v>275</v>
      </c>
    </row>
    <row r="2197" spans="1:13" x14ac:dyDescent="0.25">
      <c r="A2197" s="34" t="s">
        <v>1436</v>
      </c>
      <c r="B2197" s="34" t="s">
        <v>0</v>
      </c>
      <c r="C2197" s="34" t="s">
        <v>246</v>
      </c>
      <c r="D2197" s="34" t="s">
        <v>247</v>
      </c>
      <c r="E2197" s="34" t="s">
        <v>18</v>
      </c>
      <c r="F2197" s="35">
        <v>43415</v>
      </c>
      <c r="G2197" s="35">
        <v>43548</v>
      </c>
      <c r="H2197" s="36">
        <v>0.64236111111111105</v>
      </c>
      <c r="I2197" s="34">
        <v>320</v>
      </c>
      <c r="J2197" s="34" t="s">
        <v>1077</v>
      </c>
      <c r="K2197" s="34" t="s">
        <v>45</v>
      </c>
      <c r="L2197" s="4"/>
      <c r="M2197" s="4" t="s">
        <v>275</v>
      </c>
    </row>
    <row r="2198" spans="1:13" x14ac:dyDescent="0.25">
      <c r="A2198" s="34" t="s">
        <v>1436</v>
      </c>
      <c r="B2198" s="34" t="s">
        <v>0</v>
      </c>
      <c r="C2198" s="34" t="s">
        <v>249</v>
      </c>
      <c r="D2198" s="34" t="s">
        <v>250</v>
      </c>
      <c r="E2198" s="34" t="s">
        <v>22</v>
      </c>
      <c r="F2198" s="35">
        <v>43407</v>
      </c>
      <c r="G2198" s="35">
        <v>43554</v>
      </c>
      <c r="H2198" s="36">
        <v>0.67013888888888884</v>
      </c>
      <c r="I2198" s="34">
        <v>320</v>
      </c>
      <c r="J2198" s="34" t="s">
        <v>1078</v>
      </c>
      <c r="K2198" s="34" t="s">
        <v>221</v>
      </c>
      <c r="L2198" s="4"/>
      <c r="M2198" s="4" t="s">
        <v>275</v>
      </c>
    </row>
    <row r="2199" spans="1:13" x14ac:dyDescent="0.25">
      <c r="A2199" s="34" t="s">
        <v>1436</v>
      </c>
      <c r="B2199" s="34" t="s">
        <v>0</v>
      </c>
      <c r="C2199" s="34" t="s">
        <v>249</v>
      </c>
      <c r="D2199" s="34" t="s">
        <v>250</v>
      </c>
      <c r="E2199" s="34" t="s">
        <v>22</v>
      </c>
      <c r="F2199" s="35">
        <v>43498</v>
      </c>
      <c r="G2199" s="35">
        <v>43547</v>
      </c>
      <c r="H2199" s="36">
        <v>0.73611111111111116</v>
      </c>
      <c r="I2199" s="34" t="s">
        <v>14</v>
      </c>
      <c r="J2199" s="34" t="s">
        <v>1858</v>
      </c>
      <c r="K2199" s="34" t="s">
        <v>221</v>
      </c>
      <c r="L2199" s="4"/>
      <c r="M2199" s="4" t="s">
        <v>275</v>
      </c>
    </row>
    <row r="2200" spans="1:13" x14ac:dyDescent="0.25">
      <c r="A2200" s="34" t="s">
        <v>1436</v>
      </c>
      <c r="B2200" s="34" t="s">
        <v>0</v>
      </c>
      <c r="C2200" s="34" t="s">
        <v>249</v>
      </c>
      <c r="D2200" s="34" t="s">
        <v>250</v>
      </c>
      <c r="E2200" s="34" t="s">
        <v>22</v>
      </c>
      <c r="F2200" s="35">
        <v>43477</v>
      </c>
      <c r="G2200" s="35">
        <v>43533</v>
      </c>
      <c r="H2200" s="36">
        <v>0.87152777777777779</v>
      </c>
      <c r="I2200" s="34">
        <v>319</v>
      </c>
      <c r="J2200" s="34" t="s">
        <v>1079</v>
      </c>
      <c r="K2200" s="34" t="s">
        <v>221</v>
      </c>
      <c r="L2200" s="4"/>
      <c r="M2200" s="4" t="s">
        <v>275</v>
      </c>
    </row>
    <row r="2201" spans="1:13" x14ac:dyDescent="0.25">
      <c r="A2201" s="34" t="s">
        <v>1436</v>
      </c>
      <c r="B2201" s="34" t="s">
        <v>0</v>
      </c>
      <c r="C2201" s="34" t="s">
        <v>249</v>
      </c>
      <c r="D2201" s="34" t="s">
        <v>250</v>
      </c>
      <c r="E2201" s="34" t="s">
        <v>18</v>
      </c>
      <c r="F2201" s="35">
        <v>43478</v>
      </c>
      <c r="G2201" s="35">
        <v>43534</v>
      </c>
      <c r="H2201" s="36">
        <v>0.89930555555555547</v>
      </c>
      <c r="I2201" s="34">
        <v>319</v>
      </c>
      <c r="J2201" s="34" t="s">
        <v>1079</v>
      </c>
      <c r="K2201" s="34" t="s">
        <v>221</v>
      </c>
      <c r="L2201" s="4"/>
      <c r="M2201" s="4" t="s">
        <v>275</v>
      </c>
    </row>
    <row r="2202" spans="1:13" x14ac:dyDescent="0.25">
      <c r="A2202" s="34" t="s">
        <v>1436</v>
      </c>
      <c r="B2202" s="34" t="s">
        <v>0</v>
      </c>
      <c r="C2202" s="34" t="s">
        <v>1692</v>
      </c>
      <c r="D2202" s="34" t="s">
        <v>1693</v>
      </c>
      <c r="E2202" s="34" t="s">
        <v>13</v>
      </c>
      <c r="F2202" s="35">
        <v>43510</v>
      </c>
      <c r="G2202" s="35">
        <v>43552</v>
      </c>
      <c r="H2202" s="36">
        <v>0.48958333333333331</v>
      </c>
      <c r="I2202" s="34">
        <v>320</v>
      </c>
      <c r="J2202" s="34" t="s">
        <v>1694</v>
      </c>
      <c r="K2202" s="34" t="s">
        <v>66</v>
      </c>
      <c r="L2202" s="4"/>
      <c r="M2202" s="4" t="s">
        <v>275</v>
      </c>
    </row>
    <row r="2203" spans="1:13" x14ac:dyDescent="0.25">
      <c r="A2203" s="34" t="s">
        <v>1436</v>
      </c>
      <c r="B2203" s="34" t="s">
        <v>0</v>
      </c>
      <c r="C2203" s="34" t="s">
        <v>1692</v>
      </c>
      <c r="D2203" s="34" t="s">
        <v>1693</v>
      </c>
      <c r="E2203" s="34" t="s">
        <v>976</v>
      </c>
      <c r="F2203" s="35">
        <v>43506</v>
      </c>
      <c r="G2203" s="35">
        <v>43550</v>
      </c>
      <c r="H2203" s="36">
        <v>0.51736111111111105</v>
      </c>
      <c r="I2203" s="34">
        <v>320</v>
      </c>
      <c r="J2203" s="34" t="s">
        <v>1694</v>
      </c>
      <c r="K2203" s="34" t="s">
        <v>66</v>
      </c>
      <c r="L2203" s="4"/>
      <c r="M2203" s="4" t="s">
        <v>275</v>
      </c>
    </row>
    <row r="2204" spans="1:13" x14ac:dyDescent="0.25">
      <c r="A2204" s="34" t="s">
        <v>1436</v>
      </c>
      <c r="B2204" s="34" t="s">
        <v>0</v>
      </c>
      <c r="C2204" s="34" t="s">
        <v>252</v>
      </c>
      <c r="D2204" s="34" t="s">
        <v>253</v>
      </c>
      <c r="E2204" s="34" t="s">
        <v>18</v>
      </c>
      <c r="F2204" s="35">
        <v>43478</v>
      </c>
      <c r="G2204" s="35">
        <v>43548</v>
      </c>
      <c r="H2204" s="36">
        <v>0.2673611111111111</v>
      </c>
      <c r="I2204" s="34" t="s">
        <v>14</v>
      </c>
      <c r="J2204" s="34" t="s">
        <v>1080</v>
      </c>
      <c r="K2204" s="34" t="s">
        <v>38</v>
      </c>
      <c r="L2204" s="4"/>
      <c r="M2204" s="4" t="s">
        <v>275</v>
      </c>
    </row>
    <row r="2205" spans="1:13" x14ac:dyDescent="0.25">
      <c r="A2205" s="34" t="s">
        <v>1436</v>
      </c>
      <c r="B2205" s="34" t="s">
        <v>0</v>
      </c>
      <c r="C2205" s="34" t="s">
        <v>252</v>
      </c>
      <c r="D2205" s="34" t="s">
        <v>253</v>
      </c>
      <c r="E2205" s="34" t="s">
        <v>48</v>
      </c>
      <c r="F2205" s="35">
        <v>43406</v>
      </c>
      <c r="G2205" s="35">
        <v>43553</v>
      </c>
      <c r="H2205" s="36">
        <v>0.45833333333333331</v>
      </c>
      <c r="I2205" s="34" t="s">
        <v>14</v>
      </c>
      <c r="J2205" s="34" t="s">
        <v>1080</v>
      </c>
      <c r="K2205" s="34" t="s">
        <v>38</v>
      </c>
      <c r="L2205" s="4"/>
      <c r="M2205" s="4" t="s">
        <v>275</v>
      </c>
    </row>
    <row r="2206" spans="1:13" x14ac:dyDescent="0.25">
      <c r="A2206" s="34" t="s">
        <v>1436</v>
      </c>
      <c r="B2206" s="34" t="s">
        <v>0</v>
      </c>
      <c r="C2206" s="34" t="s">
        <v>252</v>
      </c>
      <c r="D2206" s="34" t="s">
        <v>253</v>
      </c>
      <c r="E2206" s="34" t="s">
        <v>20</v>
      </c>
      <c r="F2206" s="35">
        <v>43467</v>
      </c>
      <c r="G2206" s="35">
        <v>43551</v>
      </c>
      <c r="H2206" s="36">
        <v>0.45833333333333331</v>
      </c>
      <c r="I2206" s="34" t="s">
        <v>14</v>
      </c>
      <c r="J2206" s="34" t="s">
        <v>1080</v>
      </c>
      <c r="K2206" s="34" t="s">
        <v>38</v>
      </c>
      <c r="L2206" s="4"/>
      <c r="M2206" s="4" t="s">
        <v>275</v>
      </c>
    </row>
    <row r="2207" spans="1:13" x14ac:dyDescent="0.25">
      <c r="A2207" s="34" t="s">
        <v>1436</v>
      </c>
      <c r="B2207" s="34" t="s">
        <v>0</v>
      </c>
      <c r="C2207" s="34" t="s">
        <v>252</v>
      </c>
      <c r="D2207" s="34" t="s">
        <v>253</v>
      </c>
      <c r="E2207" s="34" t="s">
        <v>48</v>
      </c>
      <c r="F2207" s="35">
        <v>43406</v>
      </c>
      <c r="G2207" s="35">
        <v>43553</v>
      </c>
      <c r="H2207" s="36">
        <v>0.61458333333333337</v>
      </c>
      <c r="I2207" s="34" t="s">
        <v>14</v>
      </c>
      <c r="J2207" s="34" t="s">
        <v>1083</v>
      </c>
      <c r="K2207" s="34" t="s">
        <v>38</v>
      </c>
      <c r="L2207" s="4"/>
      <c r="M2207" s="4" t="s">
        <v>275</v>
      </c>
    </row>
    <row r="2208" spans="1:13" x14ac:dyDescent="0.25">
      <c r="A2208" s="34" t="s">
        <v>1436</v>
      </c>
      <c r="B2208" s="34" t="s">
        <v>0</v>
      </c>
      <c r="C2208" s="34" t="s">
        <v>252</v>
      </c>
      <c r="D2208" s="34" t="s">
        <v>253</v>
      </c>
      <c r="E2208" s="34" t="s">
        <v>52</v>
      </c>
      <c r="F2208" s="35">
        <v>43408</v>
      </c>
      <c r="G2208" s="35">
        <v>43554</v>
      </c>
      <c r="H2208" s="36">
        <v>0.61458333333333337</v>
      </c>
      <c r="I2208" s="34" t="s">
        <v>14</v>
      </c>
      <c r="J2208" s="34" t="s">
        <v>1083</v>
      </c>
      <c r="K2208" s="34" t="s">
        <v>38</v>
      </c>
      <c r="L2208" s="4"/>
      <c r="M2208" s="4" t="s">
        <v>275</v>
      </c>
    </row>
    <row r="2209" spans="1:13" x14ac:dyDescent="0.25">
      <c r="A2209" s="34" t="s">
        <v>1436</v>
      </c>
      <c r="B2209" s="34" t="s">
        <v>0</v>
      </c>
      <c r="C2209" s="34" t="s">
        <v>252</v>
      </c>
      <c r="D2209" s="34" t="s">
        <v>253</v>
      </c>
      <c r="E2209" s="34" t="s">
        <v>19</v>
      </c>
      <c r="F2209" s="35">
        <v>43473</v>
      </c>
      <c r="G2209" s="35">
        <v>43550</v>
      </c>
      <c r="H2209" s="36">
        <v>0.61458333333333337</v>
      </c>
      <c r="I2209" s="34" t="s">
        <v>14</v>
      </c>
      <c r="J2209" s="34" t="s">
        <v>1083</v>
      </c>
      <c r="K2209" s="34" t="s">
        <v>38</v>
      </c>
      <c r="L2209" s="4"/>
      <c r="M2209" s="4" t="s">
        <v>275</v>
      </c>
    </row>
    <row r="2210" spans="1:13" x14ac:dyDescent="0.25">
      <c r="A2210" s="34" t="s">
        <v>1436</v>
      </c>
      <c r="B2210" s="34" t="s">
        <v>0</v>
      </c>
      <c r="C2210" s="34" t="s">
        <v>252</v>
      </c>
      <c r="D2210" s="34" t="s">
        <v>253</v>
      </c>
      <c r="E2210" s="34" t="s">
        <v>19</v>
      </c>
      <c r="F2210" s="35">
        <v>43403</v>
      </c>
      <c r="G2210" s="35">
        <v>43550</v>
      </c>
      <c r="H2210" s="36">
        <v>0.61805555555555558</v>
      </c>
      <c r="I2210" s="34" t="s">
        <v>39</v>
      </c>
      <c r="J2210" s="34" t="s">
        <v>1081</v>
      </c>
      <c r="K2210" s="34" t="s">
        <v>38</v>
      </c>
      <c r="L2210" s="4"/>
      <c r="M2210" s="4" t="s">
        <v>275</v>
      </c>
    </row>
    <row r="2211" spans="1:13" x14ac:dyDescent="0.25">
      <c r="A2211" s="34" t="s">
        <v>1436</v>
      </c>
      <c r="B2211" s="34" t="s">
        <v>0</v>
      </c>
      <c r="C2211" s="34" t="s">
        <v>252</v>
      </c>
      <c r="D2211" s="34" t="s">
        <v>253</v>
      </c>
      <c r="E2211" s="34" t="s">
        <v>22</v>
      </c>
      <c r="F2211" s="35">
        <v>43512</v>
      </c>
      <c r="G2211" s="35">
        <v>43554</v>
      </c>
      <c r="H2211" s="36">
        <v>0.63888888888888895</v>
      </c>
      <c r="I2211" s="34" t="s">
        <v>39</v>
      </c>
      <c r="J2211" s="34" t="s">
        <v>1081</v>
      </c>
      <c r="K2211" s="34" t="s">
        <v>38</v>
      </c>
      <c r="L2211" s="4"/>
      <c r="M2211" s="4" t="s">
        <v>275</v>
      </c>
    </row>
    <row r="2212" spans="1:13" x14ac:dyDescent="0.25">
      <c r="A2212" s="34" t="s">
        <v>1436</v>
      </c>
      <c r="B2212" s="34" t="s">
        <v>0</v>
      </c>
      <c r="C2212" s="34" t="s">
        <v>252</v>
      </c>
      <c r="D2212" s="34" t="s">
        <v>253</v>
      </c>
      <c r="E2212" s="34" t="s">
        <v>48</v>
      </c>
      <c r="F2212" s="35">
        <v>43413</v>
      </c>
      <c r="G2212" s="35">
        <v>43553</v>
      </c>
      <c r="H2212" s="36">
        <v>0.64236111111111105</v>
      </c>
      <c r="I2212" s="34" t="s">
        <v>39</v>
      </c>
      <c r="J2212" s="34" t="s">
        <v>1082</v>
      </c>
      <c r="K2212" s="34" t="s">
        <v>38</v>
      </c>
      <c r="L2212" s="4"/>
      <c r="M2212" s="4" t="s">
        <v>275</v>
      </c>
    </row>
    <row r="2213" spans="1:13" x14ac:dyDescent="0.25">
      <c r="A2213" s="34" t="s">
        <v>1436</v>
      </c>
      <c r="B2213" s="34" t="s">
        <v>0</v>
      </c>
      <c r="C2213" s="34" t="s">
        <v>252</v>
      </c>
      <c r="D2213" s="34" t="s">
        <v>253</v>
      </c>
      <c r="E2213" s="34" t="s">
        <v>20</v>
      </c>
      <c r="F2213" s="35">
        <v>43404</v>
      </c>
      <c r="G2213" s="35">
        <v>43551</v>
      </c>
      <c r="H2213" s="36">
        <v>0.67708333333333337</v>
      </c>
      <c r="I2213" s="34">
        <v>320</v>
      </c>
      <c r="J2213" s="34" t="s">
        <v>1695</v>
      </c>
      <c r="K2213" s="34" t="s">
        <v>38</v>
      </c>
      <c r="L2213" s="4"/>
      <c r="M2213" s="4" t="s">
        <v>275</v>
      </c>
    </row>
    <row r="2214" spans="1:13" x14ac:dyDescent="0.25">
      <c r="A2214" s="34" t="s">
        <v>1436</v>
      </c>
      <c r="B2214" s="34" t="s">
        <v>0</v>
      </c>
      <c r="C2214" s="34" t="s">
        <v>252</v>
      </c>
      <c r="D2214" s="34" t="s">
        <v>253</v>
      </c>
      <c r="E2214" s="34" t="s">
        <v>22</v>
      </c>
      <c r="F2214" s="35">
        <v>43407</v>
      </c>
      <c r="G2214" s="35">
        <v>43554</v>
      </c>
      <c r="H2214" s="36">
        <v>0.84375</v>
      </c>
      <c r="I2214" s="34">
        <v>320</v>
      </c>
      <c r="J2214" s="34" t="s">
        <v>1695</v>
      </c>
      <c r="K2214" s="34" t="s">
        <v>38</v>
      </c>
      <c r="L2214" s="4"/>
      <c r="M2214" s="4" t="s">
        <v>275</v>
      </c>
    </row>
    <row r="2215" spans="1:13" x14ac:dyDescent="0.25">
      <c r="A2215" s="34" t="s">
        <v>1436</v>
      </c>
      <c r="B2215" s="34" t="s">
        <v>0</v>
      </c>
      <c r="C2215" s="34" t="s">
        <v>1084</v>
      </c>
      <c r="D2215" s="34" t="s">
        <v>1085</v>
      </c>
      <c r="E2215" s="34" t="s">
        <v>48</v>
      </c>
      <c r="F2215" s="35">
        <v>43406</v>
      </c>
      <c r="G2215" s="35">
        <v>43553</v>
      </c>
      <c r="H2215" s="36">
        <v>0.52777777777777779</v>
      </c>
      <c r="I2215" s="34">
        <v>320</v>
      </c>
      <c r="J2215" s="34" t="s">
        <v>1086</v>
      </c>
      <c r="K2215" s="34" t="s">
        <v>221</v>
      </c>
      <c r="L2215" s="4"/>
      <c r="M2215" s="4" t="s">
        <v>275</v>
      </c>
    </row>
    <row r="2216" spans="1:13" x14ac:dyDescent="0.25">
      <c r="A2216" s="34" t="s">
        <v>1436</v>
      </c>
      <c r="B2216" s="34" t="s">
        <v>0</v>
      </c>
      <c r="C2216" s="34" t="s">
        <v>1084</v>
      </c>
      <c r="D2216" s="34" t="s">
        <v>1085</v>
      </c>
      <c r="E2216" s="34" t="s">
        <v>59</v>
      </c>
      <c r="F2216" s="35">
        <v>43465</v>
      </c>
      <c r="G2216" s="35">
        <v>43549</v>
      </c>
      <c r="H2216" s="36">
        <v>0.69444444444444453</v>
      </c>
      <c r="I2216" s="34">
        <v>320</v>
      </c>
      <c r="J2216" s="34" t="s">
        <v>1086</v>
      </c>
      <c r="K2216" s="34" t="s">
        <v>221</v>
      </c>
      <c r="L2216" s="4"/>
      <c r="M2216" s="4" t="s">
        <v>275</v>
      </c>
    </row>
    <row r="2217" spans="1:13" x14ac:dyDescent="0.25">
      <c r="A2217" s="34" t="s">
        <v>1436</v>
      </c>
      <c r="B2217" s="34" t="s">
        <v>0</v>
      </c>
      <c r="C2217" s="34" t="s">
        <v>258</v>
      </c>
      <c r="D2217" s="34" t="s">
        <v>259</v>
      </c>
      <c r="E2217" s="34" t="s">
        <v>20</v>
      </c>
      <c r="F2217" s="35">
        <v>43495</v>
      </c>
      <c r="G2217" s="35">
        <v>43551</v>
      </c>
      <c r="H2217" s="36">
        <v>0.66319444444444442</v>
      </c>
      <c r="I2217" s="34" t="s">
        <v>14</v>
      </c>
      <c r="J2217" s="34" t="s">
        <v>1696</v>
      </c>
      <c r="K2217" s="34" t="s">
        <v>45</v>
      </c>
      <c r="L2217" s="4"/>
      <c r="M2217" s="4" t="s">
        <v>275</v>
      </c>
    </row>
    <row r="2218" spans="1:13" x14ac:dyDescent="0.25">
      <c r="A2218" s="34" t="s">
        <v>1436</v>
      </c>
      <c r="B2218" s="34" t="s">
        <v>0</v>
      </c>
      <c r="C2218" s="34" t="s">
        <v>258</v>
      </c>
      <c r="D2218" s="34" t="s">
        <v>259</v>
      </c>
      <c r="E2218" s="34" t="s">
        <v>59</v>
      </c>
      <c r="F2218" s="35">
        <v>43472</v>
      </c>
      <c r="G2218" s="35">
        <v>43549</v>
      </c>
      <c r="H2218" s="36">
        <v>0.71875</v>
      </c>
      <c r="I2218" s="34">
        <v>319</v>
      </c>
      <c r="J2218" s="34" t="s">
        <v>1697</v>
      </c>
      <c r="K2218" s="34" t="s">
        <v>45</v>
      </c>
      <c r="L2218" s="4"/>
      <c r="M2218" s="4" t="s">
        <v>275</v>
      </c>
    </row>
    <row r="2219" spans="1:13" x14ac:dyDescent="0.25">
      <c r="A2219" s="34" t="s">
        <v>1436</v>
      </c>
      <c r="B2219" s="34" t="s">
        <v>0</v>
      </c>
      <c r="C2219" s="34" t="s">
        <v>258</v>
      </c>
      <c r="D2219" s="34" t="s">
        <v>259</v>
      </c>
      <c r="E2219" s="34" t="s">
        <v>48</v>
      </c>
      <c r="F2219" s="35">
        <v>43406</v>
      </c>
      <c r="G2219" s="35">
        <v>43553</v>
      </c>
      <c r="H2219" s="36">
        <v>0.72222222222222221</v>
      </c>
      <c r="I2219" s="34" t="s">
        <v>14</v>
      </c>
      <c r="J2219" s="34" t="s">
        <v>1696</v>
      </c>
      <c r="K2219" s="34" t="s">
        <v>45</v>
      </c>
      <c r="L2219" s="4"/>
      <c r="M2219" s="4" t="s">
        <v>275</v>
      </c>
    </row>
    <row r="2220" spans="1:13" x14ac:dyDescent="0.25">
      <c r="A2220" s="34" t="s">
        <v>1436</v>
      </c>
      <c r="B2220" s="34" t="s">
        <v>0</v>
      </c>
      <c r="C2220" s="34" t="s">
        <v>258</v>
      </c>
      <c r="D2220" s="34" t="s">
        <v>259</v>
      </c>
      <c r="E2220" s="34" t="s">
        <v>13</v>
      </c>
      <c r="F2220" s="35">
        <v>43510</v>
      </c>
      <c r="G2220" s="35">
        <v>43510</v>
      </c>
      <c r="H2220" s="36">
        <v>0.76041666666666663</v>
      </c>
      <c r="I2220" s="34">
        <v>319</v>
      </c>
      <c r="J2220" s="34" t="s">
        <v>1087</v>
      </c>
      <c r="K2220" s="34" t="s">
        <v>45</v>
      </c>
      <c r="L2220" s="4"/>
      <c r="M2220" s="4" t="s">
        <v>275</v>
      </c>
    </row>
    <row r="2221" spans="1:13" x14ac:dyDescent="0.25">
      <c r="A2221" s="34" t="s">
        <v>1436</v>
      </c>
      <c r="B2221" s="34" t="s">
        <v>0</v>
      </c>
      <c r="C2221" s="34" t="s">
        <v>258</v>
      </c>
      <c r="D2221" s="34" t="s">
        <v>259</v>
      </c>
      <c r="E2221" s="34" t="s">
        <v>18</v>
      </c>
      <c r="F2221" s="35">
        <v>43499</v>
      </c>
      <c r="G2221" s="35">
        <v>43548</v>
      </c>
      <c r="H2221" s="36">
        <v>0.78472222222222221</v>
      </c>
      <c r="I2221" s="34">
        <v>319</v>
      </c>
      <c r="J2221" s="34" t="s">
        <v>1087</v>
      </c>
      <c r="K2221" s="34" t="s">
        <v>45</v>
      </c>
      <c r="L2221" s="4"/>
      <c r="M2221" s="4" t="s">
        <v>275</v>
      </c>
    </row>
    <row r="2222" spans="1:13" x14ac:dyDescent="0.25">
      <c r="A2222" s="34" t="s">
        <v>1436</v>
      </c>
      <c r="B2222" s="34" t="s">
        <v>0</v>
      </c>
      <c r="C2222" s="34" t="s">
        <v>696</v>
      </c>
      <c r="D2222" s="34" t="s">
        <v>697</v>
      </c>
      <c r="E2222" s="34" t="s">
        <v>13</v>
      </c>
      <c r="F2222" s="35">
        <v>43482</v>
      </c>
      <c r="G2222" s="35">
        <v>43552</v>
      </c>
      <c r="H2222" s="36">
        <v>0.4548611111111111</v>
      </c>
      <c r="I2222" s="34" t="s">
        <v>698</v>
      </c>
      <c r="J2222" s="34" t="s">
        <v>1698</v>
      </c>
      <c r="K2222" s="34" t="s">
        <v>79</v>
      </c>
      <c r="L2222" s="4"/>
      <c r="M2222" s="4" t="s">
        <v>275</v>
      </c>
    </row>
    <row r="2223" spans="1:13" x14ac:dyDescent="0.25">
      <c r="A2223" s="34" t="s">
        <v>1436</v>
      </c>
      <c r="B2223" s="34" t="s">
        <v>0</v>
      </c>
      <c r="C2223" s="34" t="s">
        <v>696</v>
      </c>
      <c r="D2223" s="34" t="s">
        <v>697</v>
      </c>
      <c r="E2223" s="34" t="s">
        <v>20</v>
      </c>
      <c r="F2223" s="35">
        <v>43488</v>
      </c>
      <c r="G2223" s="35">
        <v>43551</v>
      </c>
      <c r="H2223" s="36">
        <v>0.63888888888888895</v>
      </c>
      <c r="I2223" s="34" t="s">
        <v>698</v>
      </c>
      <c r="J2223" s="34" t="s">
        <v>1599</v>
      </c>
      <c r="K2223" s="34" t="s">
        <v>79</v>
      </c>
      <c r="L2223" s="4"/>
      <c r="M2223" s="4" t="s">
        <v>275</v>
      </c>
    </row>
    <row r="2224" spans="1:13" x14ac:dyDescent="0.25">
      <c r="A2224" s="34" t="s">
        <v>1436</v>
      </c>
      <c r="B2224" s="34" t="s">
        <v>0</v>
      </c>
      <c r="C2224" s="34" t="s">
        <v>696</v>
      </c>
      <c r="D2224" s="34" t="s">
        <v>697</v>
      </c>
      <c r="E2224" s="34" t="s">
        <v>18</v>
      </c>
      <c r="F2224" s="35">
        <v>43485</v>
      </c>
      <c r="G2224" s="35">
        <v>43520</v>
      </c>
      <c r="H2224" s="36">
        <v>0.70486111111111116</v>
      </c>
      <c r="I2224" s="34" t="s">
        <v>698</v>
      </c>
      <c r="J2224" s="34" t="s">
        <v>1698</v>
      </c>
      <c r="K2224" s="34" t="s">
        <v>79</v>
      </c>
      <c r="L2224" s="4"/>
      <c r="M2224" s="4" t="s">
        <v>275</v>
      </c>
    </row>
    <row r="2225" spans="1:13" x14ac:dyDescent="0.25">
      <c r="A2225" s="34" t="s">
        <v>1436</v>
      </c>
      <c r="B2225" s="34" t="s">
        <v>0</v>
      </c>
      <c r="C2225" s="34" t="s">
        <v>696</v>
      </c>
      <c r="D2225" s="34" t="s">
        <v>697</v>
      </c>
      <c r="E2225" s="34" t="s">
        <v>22</v>
      </c>
      <c r="F2225" s="35">
        <v>43484</v>
      </c>
      <c r="G2225" s="35">
        <v>43554</v>
      </c>
      <c r="H2225" s="36">
        <v>0.75347222222222221</v>
      </c>
      <c r="I2225" s="34" t="s">
        <v>698</v>
      </c>
      <c r="J2225" s="34" t="s">
        <v>1599</v>
      </c>
      <c r="K2225" s="34" t="s">
        <v>79</v>
      </c>
      <c r="L2225" s="4"/>
      <c r="M2225" s="4" t="s">
        <v>275</v>
      </c>
    </row>
    <row r="2226" spans="1:13" x14ac:dyDescent="0.25">
      <c r="A2226" s="34" t="s">
        <v>1436</v>
      </c>
      <c r="B2226" s="34" t="s">
        <v>0</v>
      </c>
      <c r="C2226" s="34" t="s">
        <v>699</v>
      </c>
      <c r="D2226" s="34" t="s">
        <v>700</v>
      </c>
      <c r="E2226" s="34" t="s">
        <v>18</v>
      </c>
      <c r="F2226" s="35">
        <v>43464</v>
      </c>
      <c r="G2226" s="35">
        <v>43548</v>
      </c>
      <c r="H2226" s="36">
        <v>0.3263888888888889</v>
      </c>
      <c r="I2226" s="34" t="s">
        <v>14</v>
      </c>
      <c r="J2226" s="34" t="s">
        <v>1699</v>
      </c>
      <c r="K2226" s="34" t="s">
        <v>582</v>
      </c>
      <c r="L2226" s="4"/>
      <c r="M2226" s="4" t="s">
        <v>275</v>
      </c>
    </row>
    <row r="2227" spans="1:13" x14ac:dyDescent="0.25">
      <c r="A2227" s="34" t="s">
        <v>1436</v>
      </c>
      <c r="B2227" s="34" t="s">
        <v>0</v>
      </c>
      <c r="C2227" s="34" t="s">
        <v>701</v>
      </c>
      <c r="D2227" s="34" t="s">
        <v>702</v>
      </c>
      <c r="E2227" s="34" t="s">
        <v>18</v>
      </c>
      <c r="F2227" s="35">
        <v>43408</v>
      </c>
      <c r="G2227" s="35">
        <v>43548</v>
      </c>
      <c r="H2227" s="36">
        <v>0.41666666666666669</v>
      </c>
      <c r="I2227" s="34" t="s">
        <v>14</v>
      </c>
      <c r="J2227" s="34" t="s">
        <v>1700</v>
      </c>
      <c r="K2227" s="34" t="s">
        <v>488</v>
      </c>
      <c r="L2227" s="4"/>
      <c r="M2227" s="4" t="s">
        <v>275</v>
      </c>
    </row>
    <row r="2228" spans="1:13" x14ac:dyDescent="0.25">
      <c r="A2228" s="34" t="s">
        <v>1436</v>
      </c>
      <c r="B2228" s="34" t="s">
        <v>0</v>
      </c>
      <c r="C2228" s="34" t="s">
        <v>701</v>
      </c>
      <c r="D2228" s="34" t="s">
        <v>702</v>
      </c>
      <c r="E2228" s="34" t="s">
        <v>19</v>
      </c>
      <c r="F2228" s="35">
        <v>43494</v>
      </c>
      <c r="G2228" s="35">
        <v>43515</v>
      </c>
      <c r="H2228" s="36">
        <v>0.41666666666666669</v>
      </c>
      <c r="I2228" s="34" t="s">
        <v>14</v>
      </c>
      <c r="J2228" s="34" t="s">
        <v>1700</v>
      </c>
      <c r="K2228" s="34" t="s">
        <v>488</v>
      </c>
      <c r="L2228" s="4"/>
      <c r="M2228" s="4" t="s">
        <v>275</v>
      </c>
    </row>
    <row r="2229" spans="1:13" x14ac:dyDescent="0.25">
      <c r="A2229" s="34" t="s">
        <v>1436</v>
      </c>
      <c r="B2229" s="34" t="s">
        <v>0</v>
      </c>
      <c r="C2229" s="34" t="s">
        <v>701</v>
      </c>
      <c r="D2229" s="34" t="s">
        <v>702</v>
      </c>
      <c r="E2229" s="34" t="s">
        <v>48</v>
      </c>
      <c r="F2229" s="35">
        <v>43406</v>
      </c>
      <c r="G2229" s="35">
        <v>43553</v>
      </c>
      <c r="H2229" s="36">
        <v>0.48958333333333331</v>
      </c>
      <c r="I2229" s="34" t="s">
        <v>14</v>
      </c>
      <c r="J2229" s="34" t="s">
        <v>1700</v>
      </c>
      <c r="K2229" s="34" t="s">
        <v>488</v>
      </c>
      <c r="L2229" s="4"/>
      <c r="M2229" s="4" t="s">
        <v>275</v>
      </c>
    </row>
    <row r="2230" spans="1:13" x14ac:dyDescent="0.25">
      <c r="A2230" s="34" t="s">
        <v>1436</v>
      </c>
      <c r="B2230" s="34" t="s">
        <v>0</v>
      </c>
      <c r="C2230" s="34" t="s">
        <v>701</v>
      </c>
      <c r="D2230" s="34" t="s">
        <v>702</v>
      </c>
      <c r="E2230" s="34" t="s">
        <v>22</v>
      </c>
      <c r="F2230" s="35">
        <v>43491</v>
      </c>
      <c r="G2230" s="35">
        <v>43554</v>
      </c>
      <c r="H2230" s="36">
        <v>0.67708333333333337</v>
      </c>
      <c r="I2230" s="34" t="s">
        <v>698</v>
      </c>
      <c r="J2230" s="34" t="s">
        <v>1701</v>
      </c>
      <c r="K2230" s="34" t="s">
        <v>488</v>
      </c>
      <c r="L2230" s="4"/>
      <c r="M2230" s="4" t="s">
        <v>275</v>
      </c>
    </row>
    <row r="2231" spans="1:13" x14ac:dyDescent="0.25">
      <c r="A2231" s="34" t="s">
        <v>1436</v>
      </c>
      <c r="B2231" s="34" t="s">
        <v>0</v>
      </c>
      <c r="C2231" s="34" t="s">
        <v>706</v>
      </c>
      <c r="D2231" s="34" t="s">
        <v>707</v>
      </c>
      <c r="E2231" s="34" t="s">
        <v>18</v>
      </c>
      <c r="F2231" s="35">
        <v>43415</v>
      </c>
      <c r="G2231" s="35">
        <v>43548</v>
      </c>
      <c r="H2231" s="36">
        <v>0.4375</v>
      </c>
      <c r="I2231" s="34" t="s">
        <v>14</v>
      </c>
      <c r="J2231" s="34" t="s">
        <v>1702</v>
      </c>
      <c r="K2231" s="34" t="s">
        <v>488</v>
      </c>
      <c r="L2231" s="4"/>
      <c r="M2231" s="4" t="s">
        <v>275</v>
      </c>
    </row>
    <row r="2232" spans="1:13" x14ac:dyDescent="0.25">
      <c r="A2232" s="34" t="s">
        <v>1436</v>
      </c>
      <c r="B2232" s="34" t="s">
        <v>0</v>
      </c>
      <c r="C2232" s="34" t="s">
        <v>1377</v>
      </c>
      <c r="D2232" s="34" t="s">
        <v>1378</v>
      </c>
      <c r="E2232" s="34" t="s">
        <v>13</v>
      </c>
      <c r="F2232" s="35">
        <v>43405</v>
      </c>
      <c r="G2232" s="35">
        <v>43552</v>
      </c>
      <c r="H2232" s="36">
        <v>0.33333333333333331</v>
      </c>
      <c r="I2232" s="34" t="s">
        <v>14</v>
      </c>
      <c r="J2232" s="34" t="s">
        <v>1703</v>
      </c>
      <c r="K2232" s="34" t="s">
        <v>595</v>
      </c>
      <c r="L2232" s="4"/>
      <c r="M2232" s="4" t="s">
        <v>275</v>
      </c>
    </row>
    <row r="2233" spans="1:13" x14ac:dyDescent="0.25">
      <c r="A2233" s="34" t="s">
        <v>1436</v>
      </c>
      <c r="B2233" s="34" t="s">
        <v>0</v>
      </c>
      <c r="C2233" s="34" t="s">
        <v>1160</v>
      </c>
      <c r="D2233" s="34" t="s">
        <v>1161</v>
      </c>
      <c r="E2233" s="34" t="s">
        <v>22</v>
      </c>
      <c r="F2233" s="35">
        <v>43498</v>
      </c>
      <c r="G2233" s="35">
        <v>43554</v>
      </c>
      <c r="H2233" s="36">
        <v>0.57638888888888895</v>
      </c>
      <c r="I2233" s="34" t="s">
        <v>331</v>
      </c>
      <c r="J2233" s="34" t="s">
        <v>1704</v>
      </c>
      <c r="K2233" s="34" t="s">
        <v>45</v>
      </c>
      <c r="L2233" s="4"/>
      <c r="M2233" s="4" t="s">
        <v>275</v>
      </c>
    </row>
    <row r="2234" spans="1:13" x14ac:dyDescent="0.25">
      <c r="A2234" s="34" t="s">
        <v>1436</v>
      </c>
      <c r="B2234" s="34" t="s">
        <v>0</v>
      </c>
      <c r="C2234" s="34" t="s">
        <v>1089</v>
      </c>
      <c r="D2234" s="34" t="s">
        <v>1090</v>
      </c>
      <c r="E2234" s="34" t="s">
        <v>20</v>
      </c>
      <c r="F2234" s="35">
        <v>43474</v>
      </c>
      <c r="G2234" s="35">
        <v>43551</v>
      </c>
      <c r="H2234" s="36">
        <v>0.5</v>
      </c>
      <c r="I2234" s="34" t="s">
        <v>14</v>
      </c>
      <c r="J2234" s="34" t="s">
        <v>1091</v>
      </c>
      <c r="K2234" s="34" t="s">
        <v>221</v>
      </c>
      <c r="L2234" s="4"/>
      <c r="M2234" s="4" t="s">
        <v>275</v>
      </c>
    </row>
    <row r="2235" spans="1:13" x14ac:dyDescent="0.25">
      <c r="A2235" s="34" t="s">
        <v>1436</v>
      </c>
      <c r="B2235" s="34" t="s">
        <v>0</v>
      </c>
      <c r="C2235" s="34" t="s">
        <v>1089</v>
      </c>
      <c r="D2235" s="34" t="s">
        <v>1090</v>
      </c>
      <c r="E2235" s="34" t="s">
        <v>18</v>
      </c>
      <c r="F2235" s="35">
        <v>43464</v>
      </c>
      <c r="G2235" s="35">
        <v>43548</v>
      </c>
      <c r="H2235" s="36">
        <v>0.63194444444444442</v>
      </c>
      <c r="I2235" s="34" t="s">
        <v>14</v>
      </c>
      <c r="J2235" s="34" t="s">
        <v>1091</v>
      </c>
      <c r="K2235" s="34" t="s">
        <v>221</v>
      </c>
      <c r="L2235" s="4"/>
      <c r="M2235" s="4" t="s">
        <v>275</v>
      </c>
    </row>
    <row r="2236" spans="1:13" x14ac:dyDescent="0.25">
      <c r="A2236" s="34" t="s">
        <v>1436</v>
      </c>
      <c r="B2236" s="34" t="s">
        <v>0</v>
      </c>
      <c r="C2236" s="34" t="s">
        <v>261</v>
      </c>
      <c r="D2236" s="34" t="s">
        <v>262</v>
      </c>
      <c r="E2236" s="34" t="s">
        <v>22</v>
      </c>
      <c r="F2236" s="35">
        <v>43477</v>
      </c>
      <c r="G2236" s="35">
        <v>43554</v>
      </c>
      <c r="H2236" s="36">
        <v>0.25694444444444448</v>
      </c>
      <c r="I2236" s="34">
        <v>320</v>
      </c>
      <c r="J2236" s="34" t="s">
        <v>1092</v>
      </c>
      <c r="K2236" s="34" t="s">
        <v>221</v>
      </c>
      <c r="L2236" s="4"/>
      <c r="M2236" s="4" t="s">
        <v>275</v>
      </c>
    </row>
    <row r="2237" spans="1:13" x14ac:dyDescent="0.25">
      <c r="A2237" s="34" t="s">
        <v>1436</v>
      </c>
      <c r="B2237" s="34" t="s">
        <v>0</v>
      </c>
      <c r="C2237" s="34" t="s">
        <v>261</v>
      </c>
      <c r="D2237" s="34" t="s">
        <v>262</v>
      </c>
      <c r="E2237" s="34" t="s">
        <v>22</v>
      </c>
      <c r="F2237" s="35">
        <v>43456</v>
      </c>
      <c r="G2237" s="35">
        <v>43554</v>
      </c>
      <c r="H2237" s="36">
        <v>0.42708333333333331</v>
      </c>
      <c r="I2237" s="34" t="s">
        <v>14</v>
      </c>
      <c r="J2237" s="34" t="s">
        <v>1859</v>
      </c>
      <c r="K2237" s="34" t="s">
        <v>221</v>
      </c>
      <c r="L2237" s="4"/>
      <c r="M2237" s="4" t="s">
        <v>275</v>
      </c>
    </row>
    <row r="2238" spans="1:13" x14ac:dyDescent="0.25">
      <c r="A2238" s="34" t="s">
        <v>1436</v>
      </c>
      <c r="B2238" s="34" t="s">
        <v>0</v>
      </c>
      <c r="C2238" s="34" t="s">
        <v>264</v>
      </c>
      <c r="D2238" s="34" t="s">
        <v>265</v>
      </c>
      <c r="E2238" s="34" t="s">
        <v>22</v>
      </c>
      <c r="F2238" s="35">
        <v>43407</v>
      </c>
      <c r="G2238" s="35">
        <v>43547</v>
      </c>
      <c r="H2238" s="36">
        <v>0.68402777777777779</v>
      </c>
      <c r="I2238" s="34">
        <v>320</v>
      </c>
      <c r="J2238" s="34" t="s">
        <v>1093</v>
      </c>
      <c r="K2238" s="34" t="s">
        <v>221</v>
      </c>
      <c r="L2238" s="4"/>
      <c r="M2238" s="4" t="s">
        <v>275</v>
      </c>
    </row>
    <row r="2239" spans="1:13" x14ac:dyDescent="0.25">
      <c r="A2239" s="34" t="s">
        <v>1436</v>
      </c>
      <c r="B2239" s="34" t="s">
        <v>0</v>
      </c>
      <c r="C2239" s="34" t="s">
        <v>264</v>
      </c>
      <c r="D2239" s="34" t="s">
        <v>265</v>
      </c>
      <c r="E2239" s="34" t="s">
        <v>19</v>
      </c>
      <c r="F2239" s="35">
        <v>43466</v>
      </c>
      <c r="G2239" s="35">
        <v>43550</v>
      </c>
      <c r="H2239" s="36">
        <v>0.70138888888888884</v>
      </c>
      <c r="I2239" s="34">
        <v>320</v>
      </c>
      <c r="J2239" s="34" t="s">
        <v>1093</v>
      </c>
      <c r="K2239" s="34" t="s">
        <v>221</v>
      </c>
      <c r="L2239" s="4"/>
      <c r="M2239" s="4" t="s">
        <v>275</v>
      </c>
    </row>
    <row r="2240" spans="1:13" x14ac:dyDescent="0.25">
      <c r="A2240" s="34" t="s">
        <v>1436</v>
      </c>
      <c r="B2240" s="34" t="s">
        <v>0</v>
      </c>
      <c r="C2240" s="34" t="s">
        <v>264</v>
      </c>
      <c r="D2240" s="34" t="s">
        <v>265</v>
      </c>
      <c r="E2240" s="34" t="s">
        <v>48</v>
      </c>
      <c r="F2240" s="35">
        <v>43413</v>
      </c>
      <c r="G2240" s="35">
        <v>43553</v>
      </c>
      <c r="H2240" s="36">
        <v>0.88888888888888884</v>
      </c>
      <c r="I2240" s="34" t="s">
        <v>14</v>
      </c>
      <c r="J2240" s="34" t="s">
        <v>1705</v>
      </c>
      <c r="K2240" s="34" t="s">
        <v>221</v>
      </c>
      <c r="L2240" s="4"/>
      <c r="M2240" s="4" t="s">
        <v>275</v>
      </c>
    </row>
    <row r="2241" spans="1:13" x14ac:dyDescent="0.25">
      <c r="A2241" s="34" t="s">
        <v>1436</v>
      </c>
      <c r="B2241" s="34" t="s">
        <v>0</v>
      </c>
      <c r="C2241" s="34" t="s">
        <v>437</v>
      </c>
      <c r="D2241" s="34" t="s">
        <v>438</v>
      </c>
      <c r="E2241" s="34" t="s">
        <v>19</v>
      </c>
      <c r="F2241" s="35">
        <v>43473</v>
      </c>
      <c r="G2241" s="35">
        <v>43550</v>
      </c>
      <c r="H2241" s="36">
        <v>0.45833333333333331</v>
      </c>
      <c r="I2241" s="34" t="s">
        <v>14</v>
      </c>
      <c r="J2241" s="34" t="s">
        <v>1094</v>
      </c>
      <c r="K2241" s="34" t="s">
        <v>66</v>
      </c>
      <c r="L2241" s="4"/>
      <c r="M2241" s="4" t="s">
        <v>275</v>
      </c>
    </row>
    <row r="2242" spans="1:13" x14ac:dyDescent="0.25">
      <c r="A2242" s="34" t="s">
        <v>1436</v>
      </c>
      <c r="B2242" s="34" t="s">
        <v>0</v>
      </c>
      <c r="C2242" s="34" t="s">
        <v>437</v>
      </c>
      <c r="D2242" s="34" t="s">
        <v>438</v>
      </c>
      <c r="E2242" s="34" t="s">
        <v>22</v>
      </c>
      <c r="F2242" s="35">
        <v>43407</v>
      </c>
      <c r="G2242" s="35">
        <v>43554</v>
      </c>
      <c r="H2242" s="36">
        <v>0.76388888888888884</v>
      </c>
      <c r="I2242" s="34" t="s">
        <v>14</v>
      </c>
      <c r="J2242" s="34" t="s">
        <v>1094</v>
      </c>
      <c r="K2242" s="34" t="s">
        <v>66</v>
      </c>
      <c r="L2242" s="4"/>
      <c r="M2242" s="4" t="s">
        <v>275</v>
      </c>
    </row>
    <row r="2243" spans="1:13" x14ac:dyDescent="0.25">
      <c r="A2243" s="34" t="s">
        <v>1436</v>
      </c>
      <c r="B2243" s="34" t="s">
        <v>0</v>
      </c>
      <c r="C2243" s="34" t="s">
        <v>266</v>
      </c>
      <c r="D2243" s="34" t="s">
        <v>267</v>
      </c>
      <c r="E2243" s="34" t="s">
        <v>13</v>
      </c>
      <c r="F2243" s="35">
        <v>43468</v>
      </c>
      <c r="G2243" s="35">
        <v>43552</v>
      </c>
      <c r="H2243" s="36">
        <v>0.61805555555555558</v>
      </c>
      <c r="I2243" s="34">
        <v>738</v>
      </c>
      <c r="J2243" s="34" t="s">
        <v>1706</v>
      </c>
      <c r="K2243" s="34" t="s">
        <v>129</v>
      </c>
      <c r="L2243" s="4"/>
      <c r="M2243" s="4" t="s">
        <v>275</v>
      </c>
    </row>
    <row r="2244" spans="1:13" x14ac:dyDescent="0.25">
      <c r="A2244" s="34" t="s">
        <v>1436</v>
      </c>
      <c r="B2244" s="34" t="s">
        <v>0</v>
      </c>
      <c r="C2244" s="34" t="s">
        <v>268</v>
      </c>
      <c r="D2244" s="34" t="s">
        <v>269</v>
      </c>
      <c r="E2244" s="34" t="s">
        <v>37</v>
      </c>
      <c r="F2244" s="35">
        <v>43504</v>
      </c>
      <c r="G2244" s="35">
        <v>43553</v>
      </c>
      <c r="H2244" s="36">
        <v>0.71180555555555547</v>
      </c>
      <c r="I2244" s="34" t="s">
        <v>440</v>
      </c>
      <c r="J2244" s="34" t="s">
        <v>1095</v>
      </c>
      <c r="K2244" s="34" t="s">
        <v>270</v>
      </c>
      <c r="L2244" s="4"/>
      <c r="M2244" s="4" t="s">
        <v>275</v>
      </c>
    </row>
    <row r="2245" spans="1:13" x14ac:dyDescent="0.25">
      <c r="A2245" s="34" t="s">
        <v>1436</v>
      </c>
      <c r="B2245" s="34" t="s">
        <v>0</v>
      </c>
      <c r="C2245" s="34" t="s">
        <v>271</v>
      </c>
      <c r="D2245" s="34" t="s">
        <v>272</v>
      </c>
      <c r="E2245" s="34" t="s">
        <v>22</v>
      </c>
      <c r="F2245" s="35">
        <v>43407</v>
      </c>
      <c r="G2245" s="35">
        <v>43554</v>
      </c>
      <c r="H2245" s="36">
        <v>0.51041666666666663</v>
      </c>
      <c r="I2245" s="34">
        <v>320</v>
      </c>
      <c r="J2245" s="34" t="s">
        <v>1097</v>
      </c>
      <c r="K2245" s="34" t="s">
        <v>66</v>
      </c>
      <c r="L2245" s="34"/>
      <c r="M2245" s="4" t="s">
        <v>275</v>
      </c>
    </row>
    <row r="2246" spans="1:13" x14ac:dyDescent="0.25">
      <c r="A2246" s="34" t="s">
        <v>1436</v>
      </c>
      <c r="B2246" s="34" t="s">
        <v>0</v>
      </c>
      <c r="C2246" s="34" t="s">
        <v>271</v>
      </c>
      <c r="D2246" s="34" t="s">
        <v>272</v>
      </c>
      <c r="E2246" s="34" t="s">
        <v>59</v>
      </c>
      <c r="F2246" s="35">
        <v>43479</v>
      </c>
      <c r="G2246" s="35">
        <v>43521</v>
      </c>
      <c r="H2246" s="36">
        <v>0.51041666666666663</v>
      </c>
      <c r="I2246" s="34" t="s">
        <v>106</v>
      </c>
      <c r="J2246" s="34" t="s">
        <v>1909</v>
      </c>
      <c r="K2246" s="34" t="s">
        <v>66</v>
      </c>
      <c r="L2246" s="34" t="s">
        <v>241</v>
      </c>
      <c r="M2246" s="4" t="s">
        <v>275</v>
      </c>
    </row>
    <row r="2247" spans="1:13" x14ac:dyDescent="0.25">
      <c r="A2247" s="34" t="s">
        <v>1436</v>
      </c>
      <c r="B2247" s="34" t="s">
        <v>0</v>
      </c>
      <c r="C2247" s="34" t="s">
        <v>271</v>
      </c>
      <c r="D2247" s="34" t="s">
        <v>272</v>
      </c>
      <c r="E2247" s="34" t="s">
        <v>13</v>
      </c>
      <c r="F2247" s="35">
        <v>43405</v>
      </c>
      <c r="G2247" s="35">
        <v>43552</v>
      </c>
      <c r="H2247" s="36">
        <v>0.53125</v>
      </c>
      <c r="I2247" s="34" t="s">
        <v>14</v>
      </c>
      <c r="J2247" s="34" t="s">
        <v>1707</v>
      </c>
      <c r="K2247" s="34" t="s">
        <v>66</v>
      </c>
      <c r="L2247" s="34"/>
      <c r="M2247" s="4" t="s">
        <v>275</v>
      </c>
    </row>
    <row r="2248" spans="1:13" x14ac:dyDescent="0.25">
      <c r="A2248" s="34" t="s">
        <v>1436</v>
      </c>
      <c r="B2248" s="34" t="s">
        <v>0</v>
      </c>
      <c r="C2248" s="34" t="s">
        <v>271</v>
      </c>
      <c r="D2248" s="34" t="s">
        <v>272</v>
      </c>
      <c r="E2248" s="34" t="s">
        <v>22</v>
      </c>
      <c r="F2248" s="35">
        <v>43477</v>
      </c>
      <c r="G2248" s="35">
        <v>43554</v>
      </c>
      <c r="H2248" s="36">
        <v>0.63888888888888895</v>
      </c>
      <c r="I2248" s="34">
        <v>320</v>
      </c>
      <c r="J2248" s="34" t="s">
        <v>1860</v>
      </c>
      <c r="K2248" s="34" t="s">
        <v>66</v>
      </c>
      <c r="L2248" s="34"/>
      <c r="M2248" s="4" t="s">
        <v>275</v>
      </c>
    </row>
    <row r="2249" spans="1:13" x14ac:dyDescent="0.25">
      <c r="A2249" s="34" t="s">
        <v>1436</v>
      </c>
      <c r="B2249" s="34" t="s">
        <v>0</v>
      </c>
      <c r="C2249" s="34" t="s">
        <v>271</v>
      </c>
      <c r="D2249" s="34" t="s">
        <v>272</v>
      </c>
      <c r="E2249" s="34" t="s">
        <v>72</v>
      </c>
      <c r="F2249" s="35">
        <v>43403</v>
      </c>
      <c r="G2249" s="35">
        <v>43554</v>
      </c>
      <c r="H2249" s="36">
        <v>0.78472222222222221</v>
      </c>
      <c r="I2249" s="34" t="s">
        <v>14</v>
      </c>
      <c r="J2249" s="34" t="s">
        <v>1096</v>
      </c>
      <c r="K2249" s="34" t="s">
        <v>66</v>
      </c>
      <c r="L2249" s="34"/>
      <c r="M2249" s="4" t="s">
        <v>275</v>
      </c>
    </row>
    <row r="2250" spans="1:13" x14ac:dyDescent="0.25">
      <c r="A2250" s="34" t="s">
        <v>1436</v>
      </c>
      <c r="B2250" s="34" t="s">
        <v>0</v>
      </c>
      <c r="C2250" s="34" t="s">
        <v>1519</v>
      </c>
      <c r="D2250" s="34" t="s">
        <v>1520</v>
      </c>
      <c r="E2250" s="34" t="s">
        <v>13</v>
      </c>
      <c r="F2250" s="35">
        <v>43496</v>
      </c>
      <c r="G2250" s="35">
        <v>43552</v>
      </c>
      <c r="H2250" s="36">
        <v>0.84027777777777779</v>
      </c>
      <c r="I2250" s="34">
        <v>319</v>
      </c>
      <c r="J2250" s="34" t="s">
        <v>1708</v>
      </c>
      <c r="K2250" s="34" t="s">
        <v>45</v>
      </c>
      <c r="L2250" s="34"/>
      <c r="M2250" s="4" t="s">
        <v>275</v>
      </c>
    </row>
    <row r="2251" spans="1:13" x14ac:dyDescent="0.25">
      <c r="A2251" s="34" t="s">
        <v>1436</v>
      </c>
      <c r="B2251" s="34" t="s">
        <v>0</v>
      </c>
      <c r="C2251" s="34" t="s">
        <v>273</v>
      </c>
      <c r="D2251" s="34" t="s">
        <v>274</v>
      </c>
      <c r="E2251" s="34" t="s">
        <v>20</v>
      </c>
      <c r="F2251" s="35">
        <v>43411</v>
      </c>
      <c r="G2251" s="35">
        <v>43509</v>
      </c>
      <c r="H2251" s="36">
        <v>0.72222222222222221</v>
      </c>
      <c r="I2251" s="34" t="s">
        <v>81</v>
      </c>
      <c r="J2251" s="34" t="s">
        <v>1709</v>
      </c>
      <c r="K2251" s="34" t="s">
        <v>16</v>
      </c>
      <c r="L2251" s="34"/>
      <c r="M2251" s="4" t="s">
        <v>275</v>
      </c>
    </row>
    <row r="2252" spans="1:13" x14ac:dyDescent="0.25">
      <c r="A2252" s="34" t="s">
        <v>1436</v>
      </c>
      <c r="B2252" s="34" t="s">
        <v>0</v>
      </c>
      <c r="C2252" s="34" t="s">
        <v>273</v>
      </c>
      <c r="D2252" s="34" t="s">
        <v>274</v>
      </c>
      <c r="E2252" s="34" t="s">
        <v>22</v>
      </c>
      <c r="F2252" s="35">
        <v>43407</v>
      </c>
      <c r="G2252" s="35">
        <v>43554</v>
      </c>
      <c r="H2252" s="36">
        <v>0.72569444444444453</v>
      </c>
      <c r="I2252" s="34" t="s">
        <v>81</v>
      </c>
      <c r="J2252" s="34" t="s">
        <v>1098</v>
      </c>
      <c r="K2252" s="34" t="s">
        <v>16</v>
      </c>
      <c r="L2252" s="34"/>
      <c r="M2252" s="4" t="s">
        <v>275</v>
      </c>
    </row>
    <row r="2253" spans="1:13" x14ac:dyDescent="0.25">
      <c r="A2253" s="34" t="s">
        <v>1436</v>
      </c>
      <c r="B2253" s="34" t="s">
        <v>0</v>
      </c>
      <c r="C2253" s="34" t="s">
        <v>1522</v>
      </c>
      <c r="D2253" s="34" t="s">
        <v>1523</v>
      </c>
      <c r="E2253" s="34" t="s">
        <v>48</v>
      </c>
      <c r="F2253" s="35">
        <v>43406</v>
      </c>
      <c r="G2253" s="35">
        <v>43553</v>
      </c>
      <c r="H2253" s="36">
        <v>0.4826388888888889</v>
      </c>
      <c r="I2253" s="34" t="s">
        <v>352</v>
      </c>
      <c r="J2253" s="34" t="s">
        <v>1710</v>
      </c>
      <c r="K2253" s="34" t="s">
        <v>460</v>
      </c>
      <c r="L2253" s="34"/>
      <c r="M2253" s="4" t="s">
        <v>275</v>
      </c>
    </row>
    <row r="2254" spans="1:13" x14ac:dyDescent="0.25">
      <c r="A2254" s="34" t="s">
        <v>1436</v>
      </c>
      <c r="B2254" s="34" t="s">
        <v>0</v>
      </c>
      <c r="C2254" s="34" t="s">
        <v>276</v>
      </c>
      <c r="D2254" s="34" t="s">
        <v>277</v>
      </c>
      <c r="E2254" s="34" t="s">
        <v>22</v>
      </c>
      <c r="F2254" s="35">
        <v>43407</v>
      </c>
      <c r="G2254" s="35">
        <v>43554</v>
      </c>
      <c r="H2254" s="36">
        <v>0.2638888888888889</v>
      </c>
      <c r="I2254" s="34" t="s">
        <v>14</v>
      </c>
      <c r="J2254" s="34" t="s">
        <v>1099</v>
      </c>
      <c r="K2254" s="34" t="s">
        <v>1533</v>
      </c>
      <c r="L2254" s="34"/>
      <c r="M2254" s="4" t="s">
        <v>275</v>
      </c>
    </row>
    <row r="2255" spans="1:13" x14ac:dyDescent="0.25">
      <c r="A2255" s="34" t="s">
        <v>1436</v>
      </c>
      <c r="B2255" s="34" t="s">
        <v>0</v>
      </c>
      <c r="C2255" s="34" t="s">
        <v>276</v>
      </c>
      <c r="D2255" s="34" t="s">
        <v>277</v>
      </c>
      <c r="E2255" s="34" t="s">
        <v>20</v>
      </c>
      <c r="F2255" s="35">
        <v>43467</v>
      </c>
      <c r="G2255" s="35">
        <v>43551</v>
      </c>
      <c r="H2255" s="36">
        <v>0.58333333333333337</v>
      </c>
      <c r="I2255" s="34" t="s">
        <v>14</v>
      </c>
      <c r="J2255" s="34" t="s">
        <v>1099</v>
      </c>
      <c r="K2255" s="34" t="s">
        <v>1533</v>
      </c>
      <c r="L2255" s="34"/>
      <c r="M2255" s="4" t="s">
        <v>275</v>
      </c>
    </row>
    <row r="2256" spans="1:13" x14ac:dyDescent="0.25">
      <c r="A2256" s="34" t="s">
        <v>1436</v>
      </c>
      <c r="B2256" s="34" t="s">
        <v>0</v>
      </c>
      <c r="C2256" s="34" t="s">
        <v>278</v>
      </c>
      <c r="D2256" s="34" t="s">
        <v>279</v>
      </c>
      <c r="E2256" s="34" t="s">
        <v>48</v>
      </c>
      <c r="F2256" s="35">
        <v>43406</v>
      </c>
      <c r="G2256" s="35">
        <v>43553</v>
      </c>
      <c r="H2256" s="36">
        <v>0.2638888888888889</v>
      </c>
      <c r="I2256" s="34" t="s">
        <v>14</v>
      </c>
      <c r="J2256" s="34" t="s">
        <v>1101</v>
      </c>
      <c r="K2256" s="34" t="s">
        <v>1533</v>
      </c>
      <c r="L2256" s="34"/>
      <c r="M2256" s="4" t="s">
        <v>275</v>
      </c>
    </row>
    <row r="2257" spans="1:13" x14ac:dyDescent="0.25">
      <c r="A2257" s="34" t="s">
        <v>1436</v>
      </c>
      <c r="B2257" s="34" t="s">
        <v>0</v>
      </c>
      <c r="C2257" s="34" t="s">
        <v>278</v>
      </c>
      <c r="D2257" s="34" t="s">
        <v>279</v>
      </c>
      <c r="E2257" s="34" t="s">
        <v>298</v>
      </c>
      <c r="F2257" s="35">
        <v>43472</v>
      </c>
      <c r="G2257" s="35">
        <v>43551</v>
      </c>
      <c r="H2257" s="36">
        <v>0.2638888888888889</v>
      </c>
      <c r="I2257" s="34" t="s">
        <v>14</v>
      </c>
      <c r="J2257" s="34" t="s">
        <v>1101</v>
      </c>
      <c r="K2257" s="34" t="s">
        <v>1533</v>
      </c>
      <c r="L2257" s="34"/>
      <c r="M2257" s="4" t="s">
        <v>275</v>
      </c>
    </row>
    <row r="2258" spans="1:13" x14ac:dyDescent="0.25">
      <c r="A2258" s="34" t="s">
        <v>1436</v>
      </c>
      <c r="B2258" s="34" t="s">
        <v>0</v>
      </c>
      <c r="C2258" s="34" t="s">
        <v>278</v>
      </c>
      <c r="D2258" s="34" t="s">
        <v>279</v>
      </c>
      <c r="E2258" s="34" t="s">
        <v>13</v>
      </c>
      <c r="F2258" s="35">
        <v>43433</v>
      </c>
      <c r="G2258" s="35">
        <v>43552</v>
      </c>
      <c r="H2258" s="36">
        <v>0.67361111111111116</v>
      </c>
      <c r="I2258" s="34" t="s">
        <v>14</v>
      </c>
      <c r="J2258" s="34" t="s">
        <v>1101</v>
      </c>
      <c r="K2258" s="34" t="s">
        <v>1533</v>
      </c>
      <c r="L2258" s="34"/>
      <c r="M2258" s="4" t="s">
        <v>275</v>
      </c>
    </row>
    <row r="2259" spans="1:13" x14ac:dyDescent="0.25">
      <c r="A2259" s="34" t="s">
        <v>1436</v>
      </c>
      <c r="B2259" s="34" t="s">
        <v>0</v>
      </c>
      <c r="C2259" s="34" t="s">
        <v>278</v>
      </c>
      <c r="D2259" s="34" t="s">
        <v>279</v>
      </c>
      <c r="E2259" s="34" t="s">
        <v>18</v>
      </c>
      <c r="F2259" s="35">
        <v>43471</v>
      </c>
      <c r="G2259" s="35">
        <v>43548</v>
      </c>
      <c r="H2259" s="36">
        <v>0.72222222222222221</v>
      </c>
      <c r="I2259" s="34" t="s">
        <v>14</v>
      </c>
      <c r="J2259" s="34" t="s">
        <v>1101</v>
      </c>
      <c r="K2259" s="34" t="s">
        <v>1533</v>
      </c>
      <c r="L2259" s="34"/>
      <c r="M2259" s="4" t="s">
        <v>275</v>
      </c>
    </row>
    <row r="2260" spans="1:13" x14ac:dyDescent="0.25">
      <c r="A2260" s="34" t="s">
        <v>1436</v>
      </c>
      <c r="B2260" s="34" t="s">
        <v>0</v>
      </c>
      <c r="C2260" s="34" t="s">
        <v>282</v>
      </c>
      <c r="D2260" s="34" t="s">
        <v>283</v>
      </c>
      <c r="E2260" s="34" t="s">
        <v>20</v>
      </c>
      <c r="F2260" s="35">
        <v>43474</v>
      </c>
      <c r="G2260" s="35">
        <v>43551</v>
      </c>
      <c r="H2260" s="36">
        <v>0.27083333333333331</v>
      </c>
      <c r="I2260" s="34" t="s">
        <v>14</v>
      </c>
      <c r="J2260" s="34" t="s">
        <v>1102</v>
      </c>
      <c r="K2260" s="34" t="s">
        <v>1533</v>
      </c>
      <c r="L2260" s="34"/>
      <c r="M2260" s="4" t="s">
        <v>275</v>
      </c>
    </row>
    <row r="2261" spans="1:13" x14ac:dyDescent="0.25">
      <c r="A2261" s="34" t="s">
        <v>1436</v>
      </c>
      <c r="B2261" s="34" t="s">
        <v>0</v>
      </c>
      <c r="C2261" s="34" t="s">
        <v>282</v>
      </c>
      <c r="D2261" s="34" t="s">
        <v>283</v>
      </c>
      <c r="E2261" s="34" t="s">
        <v>48</v>
      </c>
      <c r="F2261" s="35">
        <v>43476</v>
      </c>
      <c r="G2261" s="35">
        <v>43553</v>
      </c>
      <c r="H2261" s="36">
        <v>0.27430555555555552</v>
      </c>
      <c r="I2261" s="34" t="s">
        <v>14</v>
      </c>
      <c r="J2261" s="34" t="s">
        <v>1102</v>
      </c>
      <c r="K2261" s="34" t="s">
        <v>1533</v>
      </c>
      <c r="L2261" s="34"/>
      <c r="M2261" s="4" t="s">
        <v>275</v>
      </c>
    </row>
    <row r="2262" spans="1:13" x14ac:dyDescent="0.25">
      <c r="A2262" s="34" t="s">
        <v>1436</v>
      </c>
      <c r="B2262" s="34" t="s">
        <v>0</v>
      </c>
      <c r="C2262" s="34" t="s">
        <v>282</v>
      </c>
      <c r="D2262" s="34" t="s">
        <v>283</v>
      </c>
      <c r="E2262" s="34" t="s">
        <v>18</v>
      </c>
      <c r="F2262" s="35">
        <v>43415</v>
      </c>
      <c r="G2262" s="35">
        <v>43548</v>
      </c>
      <c r="H2262" s="36">
        <v>0.87152777777777779</v>
      </c>
      <c r="I2262" s="34" t="s">
        <v>14</v>
      </c>
      <c r="J2262" s="34" t="s">
        <v>1102</v>
      </c>
      <c r="K2262" s="34" t="s">
        <v>1533</v>
      </c>
      <c r="L2262" s="34"/>
      <c r="M2262" s="4" t="s">
        <v>275</v>
      </c>
    </row>
    <row r="2263" spans="1:13" x14ac:dyDescent="0.25">
      <c r="A2263" s="34" t="s">
        <v>1436</v>
      </c>
      <c r="B2263" s="34" t="s">
        <v>0</v>
      </c>
      <c r="C2263" s="34" t="s">
        <v>286</v>
      </c>
      <c r="D2263" s="34" t="s">
        <v>287</v>
      </c>
      <c r="E2263" s="34" t="s">
        <v>22</v>
      </c>
      <c r="F2263" s="35">
        <v>43470</v>
      </c>
      <c r="G2263" s="35">
        <v>43554</v>
      </c>
      <c r="H2263" s="36">
        <v>0.51736111111111105</v>
      </c>
      <c r="I2263" s="34" t="s">
        <v>14</v>
      </c>
      <c r="J2263" s="34" t="s">
        <v>445</v>
      </c>
      <c r="K2263" s="34" t="s">
        <v>93</v>
      </c>
      <c r="L2263" s="34"/>
      <c r="M2263" s="4" t="s">
        <v>275</v>
      </c>
    </row>
    <row r="2264" spans="1:13" x14ac:dyDescent="0.25">
      <c r="A2264" s="34" t="s">
        <v>1436</v>
      </c>
      <c r="B2264" s="34" t="s">
        <v>0</v>
      </c>
      <c r="C2264" s="34" t="s">
        <v>1476</v>
      </c>
      <c r="D2264" s="34" t="s">
        <v>1477</v>
      </c>
      <c r="E2264" s="34" t="s">
        <v>19</v>
      </c>
      <c r="F2264" s="35">
        <v>43466</v>
      </c>
      <c r="G2264" s="35">
        <v>43550</v>
      </c>
      <c r="H2264" s="36">
        <v>0.52777777777777779</v>
      </c>
      <c r="I2264" s="34">
        <v>320</v>
      </c>
      <c r="J2264" s="34" t="s">
        <v>1711</v>
      </c>
      <c r="K2264" s="34" t="s">
        <v>38</v>
      </c>
      <c r="L2264" s="34"/>
      <c r="M2264" s="4" t="s">
        <v>275</v>
      </c>
    </row>
    <row r="2265" spans="1:13" x14ac:dyDescent="0.25">
      <c r="A2265" s="34" t="s">
        <v>1436</v>
      </c>
      <c r="B2265" s="34" t="s">
        <v>0</v>
      </c>
      <c r="C2265" s="34" t="s">
        <v>1476</v>
      </c>
      <c r="D2265" s="34" t="s">
        <v>1477</v>
      </c>
      <c r="E2265" s="34" t="s">
        <v>22</v>
      </c>
      <c r="F2265" s="35">
        <v>43407</v>
      </c>
      <c r="G2265" s="35">
        <v>43554</v>
      </c>
      <c r="H2265" s="36">
        <v>0.70486111111111116</v>
      </c>
      <c r="I2265" s="34">
        <v>320</v>
      </c>
      <c r="J2265" s="34" t="s">
        <v>1711</v>
      </c>
      <c r="K2265" s="34" t="s">
        <v>38</v>
      </c>
      <c r="L2265" s="34"/>
      <c r="M2265" s="4" t="s">
        <v>275</v>
      </c>
    </row>
    <row r="2266" spans="1:13" x14ac:dyDescent="0.25">
      <c r="A2266" s="34" t="s">
        <v>1436</v>
      </c>
      <c r="B2266" s="34" t="s">
        <v>0</v>
      </c>
      <c r="C2266" s="34" t="s">
        <v>289</v>
      </c>
      <c r="D2266" s="34" t="s">
        <v>290</v>
      </c>
      <c r="E2266" s="34" t="s">
        <v>19</v>
      </c>
      <c r="F2266" s="35">
        <v>43410</v>
      </c>
      <c r="G2266" s="35">
        <v>43550</v>
      </c>
      <c r="H2266" s="36">
        <v>0.48958333333333331</v>
      </c>
      <c r="I2266" s="34" t="s">
        <v>106</v>
      </c>
      <c r="J2266" s="34" t="s">
        <v>1104</v>
      </c>
      <c r="K2266" s="34" t="s">
        <v>45</v>
      </c>
      <c r="L2266" s="34"/>
      <c r="M2266" s="4" t="s">
        <v>275</v>
      </c>
    </row>
    <row r="2267" spans="1:13" x14ac:dyDescent="0.25">
      <c r="A2267" s="34" t="s">
        <v>1436</v>
      </c>
      <c r="B2267" s="34" t="s">
        <v>0</v>
      </c>
      <c r="C2267" s="34" t="s">
        <v>289</v>
      </c>
      <c r="D2267" s="34" t="s">
        <v>290</v>
      </c>
      <c r="E2267" s="34" t="s">
        <v>22</v>
      </c>
      <c r="F2267" s="35">
        <v>43470</v>
      </c>
      <c r="G2267" s="35">
        <v>43554</v>
      </c>
      <c r="H2267" s="36">
        <v>0.5625</v>
      </c>
      <c r="I2267" s="34">
        <v>319</v>
      </c>
      <c r="J2267" s="34" t="s">
        <v>1712</v>
      </c>
      <c r="K2267" s="34" t="s">
        <v>45</v>
      </c>
      <c r="L2267" s="34"/>
      <c r="M2267" s="4" t="s">
        <v>275</v>
      </c>
    </row>
    <row r="2268" spans="1:13" x14ac:dyDescent="0.25">
      <c r="A2268" s="34" t="s">
        <v>1436</v>
      </c>
      <c r="B2268" s="34" t="s">
        <v>0</v>
      </c>
      <c r="C2268" s="34" t="s">
        <v>289</v>
      </c>
      <c r="D2268" s="34" t="s">
        <v>290</v>
      </c>
      <c r="E2268" s="34" t="s">
        <v>48</v>
      </c>
      <c r="F2268" s="35">
        <v>43413</v>
      </c>
      <c r="G2268" s="35">
        <v>43532</v>
      </c>
      <c r="H2268" s="36">
        <v>0.62152777777777779</v>
      </c>
      <c r="I2268" s="34">
        <v>320</v>
      </c>
      <c r="J2268" s="34" t="s">
        <v>1103</v>
      </c>
      <c r="K2268" s="34" t="s">
        <v>45</v>
      </c>
      <c r="L2268" s="34"/>
      <c r="M2268" s="4" t="s">
        <v>275</v>
      </c>
    </row>
    <row r="2269" spans="1:13" x14ac:dyDescent="0.25">
      <c r="A2269" s="34" t="s">
        <v>1436</v>
      </c>
      <c r="B2269" s="34" t="s">
        <v>0</v>
      </c>
      <c r="C2269" s="34" t="s">
        <v>289</v>
      </c>
      <c r="D2269" s="34" t="s">
        <v>290</v>
      </c>
      <c r="E2269" s="34" t="s">
        <v>22</v>
      </c>
      <c r="F2269" s="35">
        <v>43512</v>
      </c>
      <c r="G2269" s="35">
        <v>43512</v>
      </c>
      <c r="H2269" s="36">
        <v>0.63194444444444442</v>
      </c>
      <c r="I2269" s="34" t="s">
        <v>106</v>
      </c>
      <c r="J2269" s="34" t="s">
        <v>1941</v>
      </c>
      <c r="K2269" s="34" t="s">
        <v>45</v>
      </c>
      <c r="L2269" s="34" t="s">
        <v>80</v>
      </c>
      <c r="M2269" s="4" t="s">
        <v>275</v>
      </c>
    </row>
    <row r="2270" spans="1:13" x14ac:dyDescent="0.25">
      <c r="A2270" s="34" t="s">
        <v>1436</v>
      </c>
      <c r="B2270" s="34" t="s">
        <v>0</v>
      </c>
      <c r="C2270" s="34" t="s">
        <v>289</v>
      </c>
      <c r="D2270" s="34" t="s">
        <v>290</v>
      </c>
      <c r="E2270" s="34" t="s">
        <v>13</v>
      </c>
      <c r="F2270" s="35">
        <v>43503</v>
      </c>
      <c r="G2270" s="35">
        <v>43524</v>
      </c>
      <c r="H2270" s="36">
        <v>0.6875</v>
      </c>
      <c r="I2270" s="34" t="s">
        <v>106</v>
      </c>
      <c r="J2270" s="34" t="s">
        <v>1941</v>
      </c>
      <c r="K2270" s="34" t="s">
        <v>45</v>
      </c>
      <c r="L2270" s="34" t="s">
        <v>80</v>
      </c>
      <c r="M2270" s="4" t="s">
        <v>275</v>
      </c>
    </row>
    <row r="2271" spans="1:13" x14ac:dyDescent="0.25">
      <c r="A2271" s="34" t="s">
        <v>1436</v>
      </c>
      <c r="B2271" s="34" t="s">
        <v>0</v>
      </c>
      <c r="C2271" s="34" t="s">
        <v>289</v>
      </c>
      <c r="D2271" s="34" t="s">
        <v>290</v>
      </c>
      <c r="E2271" s="34" t="s">
        <v>20</v>
      </c>
      <c r="F2271" s="35">
        <v>43481</v>
      </c>
      <c r="G2271" s="35">
        <v>43551</v>
      </c>
      <c r="H2271" s="36">
        <v>0.69097222222222221</v>
      </c>
      <c r="I2271" s="34" t="s">
        <v>106</v>
      </c>
      <c r="J2271" s="34" t="s">
        <v>1104</v>
      </c>
      <c r="K2271" s="34" t="s">
        <v>45</v>
      </c>
      <c r="L2271" s="34"/>
      <c r="M2271" s="4" t="s">
        <v>275</v>
      </c>
    </row>
    <row r="2272" spans="1:13" x14ac:dyDescent="0.25">
      <c r="A2272" s="34" t="s">
        <v>1436</v>
      </c>
      <c r="B2272" s="34" t="s">
        <v>0</v>
      </c>
      <c r="C2272" s="34" t="s">
        <v>289</v>
      </c>
      <c r="D2272" s="34" t="s">
        <v>290</v>
      </c>
      <c r="E2272" s="34" t="s">
        <v>18</v>
      </c>
      <c r="F2272" s="35">
        <v>43401</v>
      </c>
      <c r="G2272" s="35">
        <v>43548</v>
      </c>
      <c r="H2272" s="36">
        <v>0.70833333333333337</v>
      </c>
      <c r="I2272" s="34">
        <v>320</v>
      </c>
      <c r="J2272" s="34" t="s">
        <v>1103</v>
      </c>
      <c r="K2272" s="34" t="s">
        <v>45</v>
      </c>
      <c r="L2272" s="34"/>
      <c r="M2272" s="4" t="s">
        <v>275</v>
      </c>
    </row>
    <row r="2273" spans="1:13" x14ac:dyDescent="0.25">
      <c r="A2273" s="34" t="s">
        <v>1436</v>
      </c>
      <c r="B2273" s="34" t="s">
        <v>0</v>
      </c>
      <c r="C2273" s="34" t="s">
        <v>1105</v>
      </c>
      <c r="D2273" s="34" t="s">
        <v>1106</v>
      </c>
      <c r="E2273" s="34" t="s">
        <v>19</v>
      </c>
      <c r="F2273" s="35">
        <v>43403</v>
      </c>
      <c r="G2273" s="35">
        <v>43550</v>
      </c>
      <c r="H2273" s="36">
        <v>0.59722222222222221</v>
      </c>
      <c r="I2273" s="34" t="s">
        <v>698</v>
      </c>
      <c r="J2273" s="34" t="s">
        <v>1107</v>
      </c>
      <c r="K2273" s="34" t="s">
        <v>1108</v>
      </c>
      <c r="L2273" s="34"/>
      <c r="M2273" s="4" t="s">
        <v>275</v>
      </c>
    </row>
    <row r="2274" spans="1:13" x14ac:dyDescent="0.25">
      <c r="A2274" s="34" t="s">
        <v>1436</v>
      </c>
      <c r="B2274" s="34" t="s">
        <v>0</v>
      </c>
      <c r="C2274" s="34" t="s">
        <v>306</v>
      </c>
      <c r="D2274" s="34" t="s">
        <v>307</v>
      </c>
      <c r="E2274" s="34" t="s">
        <v>20</v>
      </c>
      <c r="F2274" s="35">
        <v>43467</v>
      </c>
      <c r="G2274" s="35">
        <v>43551</v>
      </c>
      <c r="H2274" s="36">
        <v>0.50694444444444442</v>
      </c>
      <c r="I2274" s="34">
        <v>319</v>
      </c>
      <c r="J2274" s="34" t="s">
        <v>1861</v>
      </c>
      <c r="K2274" s="34" t="s">
        <v>221</v>
      </c>
      <c r="L2274" s="34"/>
      <c r="M2274" s="4" t="s">
        <v>275</v>
      </c>
    </row>
    <row r="2275" spans="1:13" x14ac:dyDescent="0.25">
      <c r="A2275" s="34" t="s">
        <v>1436</v>
      </c>
      <c r="B2275" s="34" t="s">
        <v>0</v>
      </c>
      <c r="C2275" s="34" t="s">
        <v>306</v>
      </c>
      <c r="D2275" s="34" t="s">
        <v>307</v>
      </c>
      <c r="E2275" s="34" t="s">
        <v>22</v>
      </c>
      <c r="F2275" s="35">
        <v>43435</v>
      </c>
      <c r="G2275" s="35">
        <v>43547</v>
      </c>
      <c r="H2275" s="36">
        <v>0.75347222222222221</v>
      </c>
      <c r="I2275" s="34">
        <v>319</v>
      </c>
      <c r="J2275" s="34" t="s">
        <v>1861</v>
      </c>
      <c r="K2275" s="34" t="s">
        <v>221</v>
      </c>
      <c r="L2275" s="34"/>
      <c r="M2275" s="4" t="s">
        <v>275</v>
      </c>
    </row>
    <row r="2276" spans="1:13" x14ac:dyDescent="0.25">
      <c r="A2276" s="34" t="s">
        <v>1436</v>
      </c>
      <c r="B2276" s="34" t="s">
        <v>0</v>
      </c>
      <c r="C2276" s="34" t="s">
        <v>306</v>
      </c>
      <c r="D2276" s="34" t="s">
        <v>307</v>
      </c>
      <c r="E2276" s="34" t="s">
        <v>22</v>
      </c>
      <c r="F2276" s="35">
        <v>43477</v>
      </c>
      <c r="G2276" s="35">
        <v>43533</v>
      </c>
      <c r="H2276" s="36">
        <v>0.86458333333333337</v>
      </c>
      <c r="I2276" s="34">
        <v>319</v>
      </c>
      <c r="J2276" s="34" t="s">
        <v>1109</v>
      </c>
      <c r="K2276" s="34" t="s">
        <v>221</v>
      </c>
      <c r="L2276" s="34"/>
      <c r="M2276" s="4" t="s">
        <v>275</v>
      </c>
    </row>
    <row r="2277" spans="1:13" x14ac:dyDescent="0.25">
      <c r="A2277" s="34" t="s">
        <v>1436</v>
      </c>
      <c r="B2277" s="34" t="s">
        <v>0</v>
      </c>
      <c r="C2277" s="34" t="s">
        <v>769</v>
      </c>
      <c r="D2277" s="34" t="s">
        <v>770</v>
      </c>
      <c r="E2277" s="34" t="s">
        <v>48</v>
      </c>
      <c r="F2277" s="35">
        <v>43406</v>
      </c>
      <c r="G2277" s="35">
        <v>43553</v>
      </c>
      <c r="H2277" s="36">
        <v>0.45833333333333331</v>
      </c>
      <c r="I2277" s="34" t="s">
        <v>14</v>
      </c>
      <c r="J2277" s="34" t="s">
        <v>1110</v>
      </c>
      <c r="K2277" s="34" t="s">
        <v>66</v>
      </c>
      <c r="L2277" s="4"/>
      <c r="M2277" s="4" t="s">
        <v>275</v>
      </c>
    </row>
    <row r="2278" spans="1:13" x14ac:dyDescent="0.25">
      <c r="A2278" s="34" t="s">
        <v>1436</v>
      </c>
      <c r="B2278" s="34" t="s">
        <v>0</v>
      </c>
      <c r="C2278" s="34" t="s">
        <v>769</v>
      </c>
      <c r="D2278" s="34" t="s">
        <v>770</v>
      </c>
      <c r="E2278" s="34" t="s">
        <v>59</v>
      </c>
      <c r="F2278" s="35">
        <v>43472</v>
      </c>
      <c r="G2278" s="35">
        <v>43549</v>
      </c>
      <c r="H2278" s="36">
        <v>0.45833333333333331</v>
      </c>
      <c r="I2278" s="34" t="s">
        <v>14</v>
      </c>
      <c r="J2278" s="34" t="s">
        <v>1110</v>
      </c>
      <c r="K2278" s="34" t="s">
        <v>66</v>
      </c>
      <c r="L2278" s="4"/>
      <c r="M2278" s="4" t="s">
        <v>275</v>
      </c>
    </row>
    <row r="2279" spans="1:13" x14ac:dyDescent="0.25">
      <c r="A2279" s="34" t="s">
        <v>1436</v>
      </c>
      <c r="B2279" s="34" t="s">
        <v>0</v>
      </c>
      <c r="C2279" s="34" t="s">
        <v>308</v>
      </c>
      <c r="D2279" s="34" t="s">
        <v>309</v>
      </c>
      <c r="E2279" s="34" t="s">
        <v>22</v>
      </c>
      <c r="F2279" s="35">
        <v>43407</v>
      </c>
      <c r="G2279" s="35">
        <v>43554</v>
      </c>
      <c r="H2279" s="36">
        <v>0.27777777777777779</v>
      </c>
      <c r="I2279" s="34" t="s">
        <v>14</v>
      </c>
      <c r="J2279" s="34" t="s">
        <v>1112</v>
      </c>
      <c r="K2279" s="34" t="s">
        <v>1533</v>
      </c>
      <c r="L2279" s="4"/>
      <c r="M2279" s="4" t="s">
        <v>275</v>
      </c>
    </row>
    <row r="2280" spans="1:13" x14ac:dyDescent="0.25">
      <c r="A2280" s="34" t="s">
        <v>1436</v>
      </c>
      <c r="B2280" s="34" t="s">
        <v>0</v>
      </c>
      <c r="C2280" s="34" t="s">
        <v>308</v>
      </c>
      <c r="D2280" s="34" t="s">
        <v>309</v>
      </c>
      <c r="E2280" s="34" t="s">
        <v>13</v>
      </c>
      <c r="F2280" s="35">
        <v>43440</v>
      </c>
      <c r="G2280" s="35">
        <v>43524</v>
      </c>
      <c r="H2280" s="36">
        <v>0.28125</v>
      </c>
      <c r="I2280" s="34" t="s">
        <v>14</v>
      </c>
      <c r="J2280" s="34" t="s">
        <v>1112</v>
      </c>
      <c r="K2280" s="34" t="s">
        <v>1533</v>
      </c>
      <c r="L2280" s="4"/>
      <c r="M2280" s="4" t="s">
        <v>275</v>
      </c>
    </row>
    <row r="2281" spans="1:13" x14ac:dyDescent="0.25">
      <c r="A2281" s="34" t="s">
        <v>1436</v>
      </c>
      <c r="B2281" s="34" t="s">
        <v>0</v>
      </c>
      <c r="C2281" s="34" t="s">
        <v>308</v>
      </c>
      <c r="D2281" s="34" t="s">
        <v>309</v>
      </c>
      <c r="E2281" s="34" t="s">
        <v>19</v>
      </c>
      <c r="F2281" s="35">
        <v>43473</v>
      </c>
      <c r="G2281" s="35">
        <v>43550</v>
      </c>
      <c r="H2281" s="36">
        <v>0.28125</v>
      </c>
      <c r="I2281" s="34" t="s">
        <v>14</v>
      </c>
      <c r="J2281" s="34" t="s">
        <v>1112</v>
      </c>
      <c r="K2281" s="34" t="s">
        <v>1533</v>
      </c>
      <c r="L2281" s="4"/>
      <c r="M2281" s="4" t="s">
        <v>275</v>
      </c>
    </row>
    <row r="2282" spans="1:13" x14ac:dyDescent="0.25">
      <c r="A2282" s="34" t="s">
        <v>1436</v>
      </c>
      <c r="B2282" s="34" t="s">
        <v>0</v>
      </c>
      <c r="C2282" s="34" t="s">
        <v>308</v>
      </c>
      <c r="D2282" s="34" t="s">
        <v>309</v>
      </c>
      <c r="E2282" s="34" t="s">
        <v>18</v>
      </c>
      <c r="F2282" s="35">
        <v>43401</v>
      </c>
      <c r="G2282" s="35">
        <v>43548</v>
      </c>
      <c r="H2282" s="36">
        <v>0.69444444444444453</v>
      </c>
      <c r="I2282" s="34">
        <v>320</v>
      </c>
      <c r="J2282" s="34" t="s">
        <v>1111</v>
      </c>
      <c r="K2282" s="34" t="s">
        <v>1533</v>
      </c>
      <c r="L2282" s="4"/>
      <c r="M2282" s="4" t="s">
        <v>275</v>
      </c>
    </row>
    <row r="2283" spans="1:13" x14ac:dyDescent="0.25">
      <c r="A2283" s="34" t="s">
        <v>1436</v>
      </c>
      <c r="B2283" s="34" t="s">
        <v>0</v>
      </c>
      <c r="C2283" s="34" t="s">
        <v>772</v>
      </c>
      <c r="D2283" s="34" t="s">
        <v>773</v>
      </c>
      <c r="E2283" s="34" t="s">
        <v>22</v>
      </c>
      <c r="F2283" s="35">
        <v>43456</v>
      </c>
      <c r="G2283" s="35">
        <v>43554</v>
      </c>
      <c r="H2283" s="36">
        <v>0.52083333333333337</v>
      </c>
      <c r="I2283" s="34" t="s">
        <v>14</v>
      </c>
      <c r="J2283" s="34" t="s">
        <v>1713</v>
      </c>
      <c r="K2283" s="34" t="s">
        <v>129</v>
      </c>
      <c r="L2283" s="4"/>
      <c r="M2283" s="4" t="s">
        <v>275</v>
      </c>
    </row>
    <row r="2284" spans="1:13" x14ac:dyDescent="0.25">
      <c r="A2284" s="34" t="s">
        <v>1436</v>
      </c>
      <c r="B2284" s="34" t="s">
        <v>0</v>
      </c>
      <c r="C2284" s="34" t="s">
        <v>772</v>
      </c>
      <c r="D2284" s="34" t="s">
        <v>773</v>
      </c>
      <c r="E2284" s="34" t="s">
        <v>20</v>
      </c>
      <c r="F2284" s="35">
        <v>43404</v>
      </c>
      <c r="G2284" s="35">
        <v>43551</v>
      </c>
      <c r="H2284" s="36">
        <v>0.67013888888888884</v>
      </c>
      <c r="I2284" s="34" t="s">
        <v>14</v>
      </c>
      <c r="J2284" s="34" t="s">
        <v>1113</v>
      </c>
      <c r="K2284" s="34" t="s">
        <v>129</v>
      </c>
      <c r="L2284" s="4"/>
      <c r="M2284" s="4" t="s">
        <v>275</v>
      </c>
    </row>
    <row r="2285" spans="1:13" x14ac:dyDescent="0.25">
      <c r="A2285" s="34" t="s">
        <v>1436</v>
      </c>
      <c r="B2285" s="34" t="s">
        <v>0</v>
      </c>
      <c r="C2285" s="34" t="s">
        <v>772</v>
      </c>
      <c r="D2285" s="34" t="s">
        <v>773</v>
      </c>
      <c r="E2285" s="34" t="s">
        <v>18</v>
      </c>
      <c r="F2285" s="35">
        <v>43401</v>
      </c>
      <c r="G2285" s="35">
        <v>43548</v>
      </c>
      <c r="H2285" s="36">
        <v>0.70833333333333337</v>
      </c>
      <c r="I2285" s="34" t="s">
        <v>14</v>
      </c>
      <c r="J2285" s="34" t="s">
        <v>1113</v>
      </c>
      <c r="K2285" s="34" t="s">
        <v>129</v>
      </c>
      <c r="L2285" s="4"/>
      <c r="M2285" s="4" t="s">
        <v>275</v>
      </c>
    </row>
    <row r="2286" spans="1:13" x14ac:dyDescent="0.25">
      <c r="A2286" s="34" t="s">
        <v>1436</v>
      </c>
      <c r="B2286" s="34" t="s">
        <v>0</v>
      </c>
      <c r="C2286" s="34" t="s">
        <v>455</v>
      </c>
      <c r="D2286" s="34" t="s">
        <v>456</v>
      </c>
      <c r="E2286" s="34" t="s">
        <v>59</v>
      </c>
      <c r="F2286" s="35">
        <v>43493</v>
      </c>
      <c r="G2286" s="35">
        <v>43514</v>
      </c>
      <c r="H2286" s="36">
        <v>0.55555555555555558</v>
      </c>
      <c r="I2286" s="34" t="s">
        <v>106</v>
      </c>
      <c r="J2286" s="34" t="s">
        <v>1896</v>
      </c>
      <c r="K2286" s="34" t="s">
        <v>66</v>
      </c>
      <c r="L2286" s="4"/>
      <c r="M2286" s="4" t="s">
        <v>275</v>
      </c>
    </row>
    <row r="2287" spans="1:13" x14ac:dyDescent="0.25">
      <c r="A2287" s="34" t="s">
        <v>1436</v>
      </c>
      <c r="B2287" s="34" t="s">
        <v>0</v>
      </c>
      <c r="C2287" s="34" t="s">
        <v>457</v>
      </c>
      <c r="D2287" s="34" t="s">
        <v>458</v>
      </c>
      <c r="E2287" s="34" t="s">
        <v>22</v>
      </c>
      <c r="F2287" s="35">
        <v>43407</v>
      </c>
      <c r="G2287" s="35">
        <v>43554</v>
      </c>
      <c r="H2287" s="36">
        <v>0.45833333333333331</v>
      </c>
      <c r="I2287" s="34">
        <v>321</v>
      </c>
      <c r="J2287" s="34" t="s">
        <v>1714</v>
      </c>
      <c r="K2287" s="34" t="s">
        <v>460</v>
      </c>
      <c r="L2287" s="4"/>
      <c r="M2287" s="4" t="s">
        <v>275</v>
      </c>
    </row>
    <row r="2288" spans="1:13" x14ac:dyDescent="0.25">
      <c r="A2288" s="34" t="s">
        <v>1436</v>
      </c>
      <c r="B2288" s="34" t="s">
        <v>0</v>
      </c>
      <c r="C2288" s="34" t="s">
        <v>457</v>
      </c>
      <c r="D2288" s="34" t="s">
        <v>458</v>
      </c>
      <c r="E2288" s="34" t="s">
        <v>158</v>
      </c>
      <c r="F2288" s="35">
        <v>43404</v>
      </c>
      <c r="G2288" s="35">
        <v>43554</v>
      </c>
      <c r="H2288" s="36">
        <v>0.51388888888888895</v>
      </c>
      <c r="I2288" s="34" t="s">
        <v>352</v>
      </c>
      <c r="J2288" s="34" t="s">
        <v>1715</v>
      </c>
      <c r="K2288" s="34" t="s">
        <v>460</v>
      </c>
      <c r="L2288" s="4"/>
      <c r="M2288" s="4" t="s">
        <v>275</v>
      </c>
    </row>
    <row r="2289" spans="1:13" x14ac:dyDescent="0.25">
      <c r="A2289" s="34" t="s">
        <v>1436</v>
      </c>
      <c r="B2289" s="34" t="s">
        <v>0</v>
      </c>
      <c r="C2289" s="34" t="s">
        <v>457</v>
      </c>
      <c r="D2289" s="34" t="s">
        <v>458</v>
      </c>
      <c r="E2289" s="34" t="s">
        <v>13</v>
      </c>
      <c r="F2289" s="35">
        <v>43510</v>
      </c>
      <c r="G2289" s="35">
        <v>43552</v>
      </c>
      <c r="H2289" s="36">
        <v>0.62847222222222221</v>
      </c>
      <c r="I2289" s="34">
        <v>319</v>
      </c>
      <c r="J2289" s="34" t="s">
        <v>1114</v>
      </c>
      <c r="K2289" s="34" t="s">
        <v>460</v>
      </c>
      <c r="L2289" s="4"/>
      <c r="M2289" s="4" t="s">
        <v>275</v>
      </c>
    </row>
    <row r="2290" spans="1:13" x14ac:dyDescent="0.25">
      <c r="A2290" s="34" t="s">
        <v>1436</v>
      </c>
      <c r="B2290" s="34" t="s">
        <v>0</v>
      </c>
      <c r="C2290" s="34" t="s">
        <v>457</v>
      </c>
      <c r="D2290" s="34" t="s">
        <v>458</v>
      </c>
      <c r="E2290" s="34" t="s">
        <v>20</v>
      </c>
      <c r="F2290" s="35">
        <v>43453</v>
      </c>
      <c r="G2290" s="35">
        <v>43551</v>
      </c>
      <c r="H2290" s="36">
        <v>0.71875</v>
      </c>
      <c r="I2290" s="34">
        <v>321</v>
      </c>
      <c r="J2290" s="34" t="s">
        <v>1714</v>
      </c>
      <c r="K2290" s="34" t="s">
        <v>460</v>
      </c>
      <c r="L2290" s="4"/>
      <c r="M2290" s="4" t="s">
        <v>275</v>
      </c>
    </row>
    <row r="2291" spans="1:13" x14ac:dyDescent="0.25">
      <c r="A2291" s="34" t="s">
        <v>1436</v>
      </c>
      <c r="B2291" s="34" t="s">
        <v>0</v>
      </c>
      <c r="C2291" s="34" t="s">
        <v>457</v>
      </c>
      <c r="D2291" s="34" t="s">
        <v>458</v>
      </c>
      <c r="E2291" s="34" t="s">
        <v>22</v>
      </c>
      <c r="F2291" s="35">
        <v>43498</v>
      </c>
      <c r="G2291" s="35">
        <v>43554</v>
      </c>
      <c r="H2291" s="36">
        <v>0.76041666666666663</v>
      </c>
      <c r="I2291" s="34">
        <v>321</v>
      </c>
      <c r="J2291" s="34" t="s">
        <v>1114</v>
      </c>
      <c r="K2291" s="34" t="s">
        <v>460</v>
      </c>
      <c r="L2291" s="4"/>
      <c r="M2291" s="4" t="s">
        <v>275</v>
      </c>
    </row>
    <row r="2292" spans="1:13" x14ac:dyDescent="0.25">
      <c r="A2292" s="34" t="s">
        <v>1436</v>
      </c>
      <c r="B2292" s="34" t="s">
        <v>0</v>
      </c>
      <c r="C2292" s="34" t="s">
        <v>457</v>
      </c>
      <c r="D2292" s="34" t="s">
        <v>458</v>
      </c>
      <c r="E2292" s="34" t="s">
        <v>22</v>
      </c>
      <c r="F2292" s="35">
        <v>43435</v>
      </c>
      <c r="G2292" s="35">
        <v>43554</v>
      </c>
      <c r="H2292" s="36">
        <v>0.84375</v>
      </c>
      <c r="I2292" s="34">
        <v>320</v>
      </c>
      <c r="J2292" s="34" t="s">
        <v>1862</v>
      </c>
      <c r="K2292" s="34" t="s">
        <v>460</v>
      </c>
      <c r="L2292" s="4"/>
      <c r="M2292" s="4" t="s">
        <v>275</v>
      </c>
    </row>
    <row r="2293" spans="1:13" x14ac:dyDescent="0.25">
      <c r="A2293" s="34" t="s">
        <v>1436</v>
      </c>
      <c r="B2293" s="34" t="s">
        <v>0</v>
      </c>
      <c r="C2293" s="34" t="s">
        <v>457</v>
      </c>
      <c r="D2293" s="34" t="s">
        <v>458</v>
      </c>
      <c r="E2293" s="34" t="s">
        <v>19</v>
      </c>
      <c r="F2293" s="35">
        <v>43466</v>
      </c>
      <c r="G2293" s="35">
        <v>43550</v>
      </c>
      <c r="H2293" s="36">
        <v>0.84375</v>
      </c>
      <c r="I2293" s="34">
        <v>320</v>
      </c>
      <c r="J2293" s="34" t="s">
        <v>1862</v>
      </c>
      <c r="K2293" s="34" t="s">
        <v>460</v>
      </c>
      <c r="L2293" s="4"/>
      <c r="M2293" s="4" t="s">
        <v>275</v>
      </c>
    </row>
    <row r="2294" spans="1:13" x14ac:dyDescent="0.25">
      <c r="A2294" s="34" t="s">
        <v>1436</v>
      </c>
      <c r="B2294" s="34" t="s">
        <v>0</v>
      </c>
      <c r="C2294" s="34" t="s">
        <v>457</v>
      </c>
      <c r="D2294" s="34" t="s">
        <v>458</v>
      </c>
      <c r="E2294" s="34" t="s">
        <v>13</v>
      </c>
      <c r="F2294" s="35">
        <v>43510</v>
      </c>
      <c r="G2294" s="35">
        <v>43552</v>
      </c>
      <c r="H2294" s="36">
        <v>0.85069444444444453</v>
      </c>
      <c r="I2294" s="34">
        <v>320</v>
      </c>
      <c r="J2294" s="34" t="s">
        <v>1862</v>
      </c>
      <c r="K2294" s="34" t="s">
        <v>460</v>
      </c>
      <c r="L2294" s="4"/>
      <c r="M2294" s="4" t="s">
        <v>275</v>
      </c>
    </row>
    <row r="2295" spans="1:13" x14ac:dyDescent="0.25">
      <c r="A2295" s="34" t="s">
        <v>1436</v>
      </c>
      <c r="B2295" s="34" t="s">
        <v>0</v>
      </c>
      <c r="C2295" s="34" t="s">
        <v>1115</v>
      </c>
      <c r="D2295" s="34" t="s">
        <v>1116</v>
      </c>
      <c r="E2295" s="34" t="s">
        <v>19</v>
      </c>
      <c r="F2295" s="35">
        <v>43508</v>
      </c>
      <c r="G2295" s="35">
        <v>43550</v>
      </c>
      <c r="H2295" s="36">
        <v>0.35416666666666669</v>
      </c>
      <c r="I2295" s="34" t="s">
        <v>14</v>
      </c>
      <c r="J2295" s="34" t="s">
        <v>1716</v>
      </c>
      <c r="K2295" s="34" t="s">
        <v>1533</v>
      </c>
      <c r="L2295" s="4"/>
      <c r="M2295" s="4" t="s">
        <v>275</v>
      </c>
    </row>
    <row r="2296" spans="1:13" x14ac:dyDescent="0.25">
      <c r="A2296" s="34" t="s">
        <v>1436</v>
      </c>
      <c r="B2296" s="34" t="s">
        <v>0</v>
      </c>
      <c r="C2296" s="34" t="s">
        <v>1115</v>
      </c>
      <c r="D2296" s="34" t="s">
        <v>1116</v>
      </c>
      <c r="E2296" s="34" t="s">
        <v>22</v>
      </c>
      <c r="F2296" s="35">
        <v>43498</v>
      </c>
      <c r="G2296" s="35">
        <v>43554</v>
      </c>
      <c r="H2296" s="36">
        <v>0.70833333333333337</v>
      </c>
      <c r="I2296" s="34" t="s">
        <v>14</v>
      </c>
      <c r="J2296" s="34" t="s">
        <v>1716</v>
      </c>
      <c r="K2296" s="34" t="s">
        <v>1533</v>
      </c>
      <c r="L2296" s="4"/>
      <c r="M2296" s="4" t="s">
        <v>275</v>
      </c>
    </row>
    <row r="2297" spans="1:13" x14ac:dyDescent="0.25">
      <c r="A2297" s="34" t="s">
        <v>1436</v>
      </c>
      <c r="B2297" s="34" t="s">
        <v>0</v>
      </c>
      <c r="C2297" s="34" t="s">
        <v>311</v>
      </c>
      <c r="D2297" s="34" t="s">
        <v>312</v>
      </c>
      <c r="E2297" s="34" t="s">
        <v>95</v>
      </c>
      <c r="F2297" s="35">
        <v>43405</v>
      </c>
      <c r="G2297" s="35">
        <v>43554</v>
      </c>
      <c r="H2297" s="36">
        <v>0.4513888888888889</v>
      </c>
      <c r="I2297" s="34" t="s">
        <v>14</v>
      </c>
      <c r="J2297" s="34" t="s">
        <v>1117</v>
      </c>
      <c r="K2297" s="34" t="s">
        <v>45</v>
      </c>
      <c r="L2297" s="4"/>
      <c r="M2297" s="4" t="s">
        <v>275</v>
      </c>
    </row>
    <row r="2298" spans="1:13" x14ac:dyDescent="0.25">
      <c r="A2298" s="34" t="s">
        <v>1436</v>
      </c>
      <c r="B2298" s="34" t="s">
        <v>0</v>
      </c>
      <c r="C2298" s="34" t="s">
        <v>311</v>
      </c>
      <c r="D2298" s="34" t="s">
        <v>312</v>
      </c>
      <c r="E2298" s="34" t="s">
        <v>19</v>
      </c>
      <c r="F2298" s="35">
        <v>43473</v>
      </c>
      <c r="G2298" s="35">
        <v>43550</v>
      </c>
      <c r="H2298" s="36">
        <v>0.4513888888888889</v>
      </c>
      <c r="I2298" s="34" t="s">
        <v>14</v>
      </c>
      <c r="J2298" s="34" t="s">
        <v>1117</v>
      </c>
      <c r="K2298" s="34" t="s">
        <v>45</v>
      </c>
      <c r="L2298" s="4"/>
      <c r="M2298" s="4" t="s">
        <v>275</v>
      </c>
    </row>
    <row r="2299" spans="1:13" x14ac:dyDescent="0.25">
      <c r="A2299" s="34" t="s">
        <v>1436</v>
      </c>
      <c r="B2299" s="34" t="s">
        <v>0</v>
      </c>
      <c r="C2299" s="34" t="s">
        <v>314</v>
      </c>
      <c r="D2299" s="34" t="s">
        <v>315</v>
      </c>
      <c r="E2299" s="34" t="s">
        <v>20</v>
      </c>
      <c r="F2299" s="35">
        <v>43467</v>
      </c>
      <c r="G2299" s="35">
        <v>43551</v>
      </c>
      <c r="H2299" s="36">
        <v>0.4826388888888889</v>
      </c>
      <c r="I2299" s="34" t="s">
        <v>14</v>
      </c>
      <c r="J2299" s="34" t="s">
        <v>1118</v>
      </c>
      <c r="K2299" s="34" t="s">
        <v>129</v>
      </c>
      <c r="L2299" s="4"/>
      <c r="M2299" s="4" t="s">
        <v>275</v>
      </c>
    </row>
    <row r="2300" spans="1:13" x14ac:dyDescent="0.25">
      <c r="A2300" s="34" t="s">
        <v>1436</v>
      </c>
      <c r="B2300" s="34" t="s">
        <v>0</v>
      </c>
      <c r="C2300" s="34" t="s">
        <v>316</v>
      </c>
      <c r="D2300" s="34" t="s">
        <v>317</v>
      </c>
      <c r="E2300" s="34" t="s">
        <v>48</v>
      </c>
      <c r="F2300" s="35">
        <v>43476</v>
      </c>
      <c r="G2300" s="35">
        <v>43553</v>
      </c>
      <c r="H2300" s="36">
        <v>0.34722222222222227</v>
      </c>
      <c r="I2300" s="34">
        <v>320</v>
      </c>
      <c r="J2300" s="34" t="s">
        <v>1717</v>
      </c>
      <c r="K2300" s="34" t="s">
        <v>1533</v>
      </c>
      <c r="L2300" s="4"/>
      <c r="M2300" s="4" t="s">
        <v>275</v>
      </c>
    </row>
    <row r="2301" spans="1:13" x14ac:dyDescent="0.25">
      <c r="A2301" s="34" t="s">
        <v>1436</v>
      </c>
      <c r="B2301" s="34" t="s">
        <v>0</v>
      </c>
      <c r="C2301" s="34" t="s">
        <v>318</v>
      </c>
      <c r="D2301" s="34" t="s">
        <v>319</v>
      </c>
      <c r="E2301" s="34" t="s">
        <v>22</v>
      </c>
      <c r="F2301" s="35">
        <v>43491</v>
      </c>
      <c r="G2301" s="35">
        <v>43554</v>
      </c>
      <c r="H2301" s="36">
        <v>0.43402777777777773</v>
      </c>
      <c r="I2301" s="34">
        <v>320</v>
      </c>
      <c r="J2301" s="34" t="s">
        <v>1718</v>
      </c>
      <c r="K2301" s="34" t="s">
        <v>34</v>
      </c>
      <c r="L2301" s="4"/>
      <c r="M2301" s="4" t="s">
        <v>275</v>
      </c>
    </row>
    <row r="2302" spans="1:13" x14ac:dyDescent="0.25">
      <c r="A2302" s="34" t="s">
        <v>1436</v>
      </c>
      <c r="B2302" s="34" t="s">
        <v>0</v>
      </c>
      <c r="C2302" s="34" t="s">
        <v>318</v>
      </c>
      <c r="D2302" s="34" t="s">
        <v>319</v>
      </c>
      <c r="E2302" s="34" t="s">
        <v>20</v>
      </c>
      <c r="F2302" s="35">
        <v>43404</v>
      </c>
      <c r="G2302" s="35">
        <v>43551</v>
      </c>
      <c r="H2302" s="36">
        <v>0.4375</v>
      </c>
      <c r="I2302" s="34">
        <v>320</v>
      </c>
      <c r="J2302" s="34" t="s">
        <v>1119</v>
      </c>
      <c r="K2302" s="34" t="s">
        <v>34</v>
      </c>
      <c r="L2302" s="4"/>
      <c r="M2302" s="4" t="s">
        <v>275</v>
      </c>
    </row>
    <row r="2303" spans="1:13" x14ac:dyDescent="0.25">
      <c r="A2303" s="34" t="s">
        <v>1436</v>
      </c>
      <c r="B2303" s="34" t="s">
        <v>0</v>
      </c>
      <c r="C2303" s="34" t="s">
        <v>318</v>
      </c>
      <c r="D2303" s="34" t="s">
        <v>319</v>
      </c>
      <c r="E2303" s="34" t="s">
        <v>19</v>
      </c>
      <c r="F2303" s="35">
        <v>43452</v>
      </c>
      <c r="G2303" s="35">
        <v>43550</v>
      </c>
      <c r="H2303" s="36">
        <v>0.4375</v>
      </c>
      <c r="I2303" s="34">
        <v>320</v>
      </c>
      <c r="J2303" s="34" t="s">
        <v>1119</v>
      </c>
      <c r="K2303" s="34" t="s">
        <v>34</v>
      </c>
      <c r="L2303" s="4"/>
      <c r="M2303" s="4" t="s">
        <v>275</v>
      </c>
    </row>
    <row r="2304" spans="1:13" x14ac:dyDescent="0.25">
      <c r="A2304" s="34" t="s">
        <v>1436</v>
      </c>
      <c r="B2304" s="34" t="s">
        <v>0</v>
      </c>
      <c r="C2304" s="34" t="s">
        <v>318</v>
      </c>
      <c r="D2304" s="34" t="s">
        <v>319</v>
      </c>
      <c r="E2304" s="34" t="s">
        <v>18</v>
      </c>
      <c r="F2304" s="35">
        <v>43401</v>
      </c>
      <c r="G2304" s="35">
        <v>43548</v>
      </c>
      <c r="H2304" s="36">
        <v>0.45833333333333331</v>
      </c>
      <c r="I2304" s="34">
        <v>320</v>
      </c>
      <c r="J2304" s="34" t="s">
        <v>1119</v>
      </c>
      <c r="K2304" s="34" t="s">
        <v>34</v>
      </c>
      <c r="L2304" s="4"/>
      <c r="M2304" s="4" t="s">
        <v>275</v>
      </c>
    </row>
    <row r="2305" spans="1:13" x14ac:dyDescent="0.25">
      <c r="A2305" s="34" t="s">
        <v>1436</v>
      </c>
      <c r="B2305" s="34" t="s">
        <v>0</v>
      </c>
      <c r="C2305" s="34" t="s">
        <v>318</v>
      </c>
      <c r="D2305" s="34" t="s">
        <v>319</v>
      </c>
      <c r="E2305" s="34" t="s">
        <v>48</v>
      </c>
      <c r="F2305" s="35">
        <v>43406</v>
      </c>
      <c r="G2305" s="35">
        <v>43553</v>
      </c>
      <c r="H2305" s="36">
        <v>0.47569444444444442</v>
      </c>
      <c r="I2305" s="34">
        <v>320</v>
      </c>
      <c r="J2305" s="34" t="s">
        <v>1119</v>
      </c>
      <c r="K2305" s="34" t="s">
        <v>34</v>
      </c>
      <c r="L2305" s="4"/>
      <c r="M2305" s="4" t="s">
        <v>275</v>
      </c>
    </row>
    <row r="2306" spans="1:13" x14ac:dyDescent="0.25">
      <c r="A2306" s="34" t="s">
        <v>1436</v>
      </c>
      <c r="B2306" s="34" t="s">
        <v>0</v>
      </c>
      <c r="C2306" s="34" t="s">
        <v>318</v>
      </c>
      <c r="D2306" s="34" t="s">
        <v>319</v>
      </c>
      <c r="E2306" s="34" t="s">
        <v>13</v>
      </c>
      <c r="F2306" s="35">
        <v>43447</v>
      </c>
      <c r="G2306" s="35">
        <v>43517</v>
      </c>
      <c r="H2306" s="36">
        <v>0.57986111111111105</v>
      </c>
      <c r="I2306" s="34">
        <v>320</v>
      </c>
      <c r="J2306" s="34" t="s">
        <v>1119</v>
      </c>
      <c r="K2306" s="34" t="s">
        <v>34</v>
      </c>
      <c r="L2306" s="4"/>
      <c r="M2306" s="4" t="s">
        <v>275</v>
      </c>
    </row>
    <row r="2307" spans="1:13" x14ac:dyDescent="0.25">
      <c r="A2307" s="34" t="s">
        <v>1436</v>
      </c>
      <c r="B2307" s="34" t="s">
        <v>0</v>
      </c>
      <c r="C2307" s="34" t="s">
        <v>318</v>
      </c>
      <c r="D2307" s="34" t="s">
        <v>319</v>
      </c>
      <c r="E2307" s="34" t="s">
        <v>59</v>
      </c>
      <c r="F2307" s="35">
        <v>43402</v>
      </c>
      <c r="G2307" s="35">
        <v>43549</v>
      </c>
      <c r="H2307" s="36">
        <v>0.69444444444444453</v>
      </c>
      <c r="I2307" s="34">
        <v>320</v>
      </c>
      <c r="J2307" s="34" t="s">
        <v>1119</v>
      </c>
      <c r="K2307" s="34" t="s">
        <v>34</v>
      </c>
      <c r="L2307" s="4"/>
      <c r="M2307" s="4" t="s">
        <v>275</v>
      </c>
    </row>
    <row r="2308" spans="1:13" x14ac:dyDescent="0.25">
      <c r="A2308" s="34" t="s">
        <v>1436</v>
      </c>
      <c r="B2308" s="34" t="s">
        <v>0</v>
      </c>
      <c r="C2308" s="34" t="s">
        <v>318</v>
      </c>
      <c r="D2308" s="34" t="s">
        <v>319</v>
      </c>
      <c r="E2308" s="34" t="s">
        <v>22</v>
      </c>
      <c r="F2308" s="35">
        <v>43407</v>
      </c>
      <c r="G2308" s="35">
        <v>43554</v>
      </c>
      <c r="H2308" s="36">
        <v>0.71180555555555547</v>
      </c>
      <c r="I2308" s="34">
        <v>320</v>
      </c>
      <c r="J2308" s="34" t="s">
        <v>1119</v>
      </c>
      <c r="K2308" s="34" t="s">
        <v>34</v>
      </c>
      <c r="L2308" s="4"/>
      <c r="M2308" s="4" t="s">
        <v>275</v>
      </c>
    </row>
    <row r="2309" spans="1:13" x14ac:dyDescent="0.25">
      <c r="A2309" s="37" t="s">
        <v>1436</v>
      </c>
      <c r="B2309" s="37" t="s">
        <v>0</v>
      </c>
      <c r="C2309" s="37" t="s">
        <v>486</v>
      </c>
      <c r="D2309" s="37" t="s">
        <v>487</v>
      </c>
      <c r="E2309" s="37" t="s">
        <v>48</v>
      </c>
      <c r="F2309" s="38">
        <v>43406</v>
      </c>
      <c r="G2309" s="38">
        <v>43553</v>
      </c>
      <c r="H2309" s="39">
        <v>0.65972222222222221</v>
      </c>
      <c r="I2309" s="37" t="s">
        <v>14</v>
      </c>
      <c r="J2309" s="37" t="s">
        <v>1289</v>
      </c>
      <c r="K2309" s="37" t="s">
        <v>488</v>
      </c>
      <c r="L2309" s="4"/>
      <c r="M2309" s="4" t="s">
        <v>17</v>
      </c>
    </row>
    <row r="2310" spans="1:13" x14ac:dyDescent="0.25">
      <c r="A2310" s="37" t="s">
        <v>1436</v>
      </c>
      <c r="B2310" s="37" t="s">
        <v>0</v>
      </c>
      <c r="C2310" s="37" t="s">
        <v>46</v>
      </c>
      <c r="D2310" s="37" t="s">
        <v>47</v>
      </c>
      <c r="E2310" s="37" t="s">
        <v>22</v>
      </c>
      <c r="F2310" s="38">
        <v>43498</v>
      </c>
      <c r="G2310" s="38">
        <v>43554</v>
      </c>
      <c r="H2310" s="39">
        <v>0.59375</v>
      </c>
      <c r="I2310" s="37">
        <v>320</v>
      </c>
      <c r="J2310" s="37" t="s">
        <v>1719</v>
      </c>
      <c r="K2310" s="37" t="s">
        <v>45</v>
      </c>
      <c r="L2310" s="4"/>
      <c r="M2310" s="4" t="s">
        <v>17</v>
      </c>
    </row>
    <row r="2311" spans="1:13" x14ac:dyDescent="0.25">
      <c r="A2311" s="37" t="s">
        <v>1436</v>
      </c>
      <c r="B2311" s="37" t="s">
        <v>0</v>
      </c>
      <c r="C2311" s="37" t="s">
        <v>784</v>
      </c>
      <c r="D2311" s="37" t="s">
        <v>785</v>
      </c>
      <c r="E2311" s="37" t="s">
        <v>48</v>
      </c>
      <c r="F2311" s="38">
        <v>43406</v>
      </c>
      <c r="G2311" s="38">
        <v>43553</v>
      </c>
      <c r="H2311" s="39">
        <v>0.51736111111111105</v>
      </c>
      <c r="I2311" s="37" t="s">
        <v>81</v>
      </c>
      <c r="J2311" s="37" t="s">
        <v>1120</v>
      </c>
      <c r="K2311" s="37" t="s">
        <v>515</v>
      </c>
      <c r="L2311" s="4"/>
      <c r="M2311" s="4" t="s">
        <v>17</v>
      </c>
    </row>
    <row r="2312" spans="1:13" x14ac:dyDescent="0.25">
      <c r="A2312" s="37" t="s">
        <v>1436</v>
      </c>
      <c r="B2312" s="37" t="s">
        <v>0</v>
      </c>
      <c r="C2312" s="37" t="s">
        <v>784</v>
      </c>
      <c r="D2312" s="37" t="s">
        <v>785</v>
      </c>
      <c r="E2312" s="37" t="s">
        <v>48</v>
      </c>
      <c r="F2312" s="38">
        <v>43441</v>
      </c>
      <c r="G2312" s="38">
        <v>43553</v>
      </c>
      <c r="H2312" s="39">
        <v>0.55555555555555558</v>
      </c>
      <c r="I2312" s="37" t="s">
        <v>14</v>
      </c>
      <c r="J2312" s="37" t="s">
        <v>1863</v>
      </c>
      <c r="K2312" s="37" t="s">
        <v>515</v>
      </c>
      <c r="L2312" s="4"/>
      <c r="M2312" s="4" t="s">
        <v>17</v>
      </c>
    </row>
    <row r="2313" spans="1:13" x14ac:dyDescent="0.25">
      <c r="A2313" s="37" t="s">
        <v>1436</v>
      </c>
      <c r="B2313" s="37" t="s">
        <v>0</v>
      </c>
      <c r="C2313" s="37" t="s">
        <v>56</v>
      </c>
      <c r="D2313" s="37" t="s">
        <v>57</v>
      </c>
      <c r="E2313" s="37" t="s">
        <v>13</v>
      </c>
      <c r="F2313" s="38">
        <v>43405</v>
      </c>
      <c r="G2313" s="38">
        <v>43552</v>
      </c>
      <c r="H2313" s="39">
        <v>0.61805555555555558</v>
      </c>
      <c r="I2313" s="37" t="s">
        <v>207</v>
      </c>
      <c r="J2313" s="37" t="s">
        <v>1122</v>
      </c>
      <c r="K2313" s="37" t="s">
        <v>38</v>
      </c>
      <c r="L2313" s="4"/>
      <c r="M2313" s="4" t="s">
        <v>17</v>
      </c>
    </row>
    <row r="2314" spans="1:13" x14ac:dyDescent="0.25">
      <c r="A2314" s="37" t="s">
        <v>1436</v>
      </c>
      <c r="B2314" s="37" t="s">
        <v>0</v>
      </c>
      <c r="C2314" s="37" t="s">
        <v>56</v>
      </c>
      <c r="D2314" s="37" t="s">
        <v>57</v>
      </c>
      <c r="E2314" s="37" t="s">
        <v>18</v>
      </c>
      <c r="F2314" s="38">
        <v>43464</v>
      </c>
      <c r="G2314" s="38">
        <v>43548</v>
      </c>
      <c r="H2314" s="39">
        <v>0.75347222222222221</v>
      </c>
      <c r="I2314" s="37" t="s">
        <v>207</v>
      </c>
      <c r="J2314" s="37" t="s">
        <v>1121</v>
      </c>
      <c r="K2314" s="37" t="s">
        <v>38</v>
      </c>
      <c r="L2314" s="4"/>
      <c r="M2314" s="4" t="s">
        <v>17</v>
      </c>
    </row>
    <row r="2315" spans="1:13" x14ac:dyDescent="0.25">
      <c r="A2315" s="37" t="s">
        <v>1436</v>
      </c>
      <c r="B2315" s="37" t="s">
        <v>0</v>
      </c>
      <c r="C2315" s="37" t="s">
        <v>499</v>
      </c>
      <c r="D2315" s="37" t="s">
        <v>500</v>
      </c>
      <c r="E2315" s="37" t="s">
        <v>13</v>
      </c>
      <c r="F2315" s="38">
        <v>43405</v>
      </c>
      <c r="G2315" s="38">
        <v>43552</v>
      </c>
      <c r="H2315" s="39">
        <v>0.53125</v>
      </c>
      <c r="I2315" s="37" t="s">
        <v>14</v>
      </c>
      <c r="J2315" s="37" t="s">
        <v>1123</v>
      </c>
      <c r="K2315" s="37" t="s">
        <v>38</v>
      </c>
      <c r="L2315" s="4"/>
      <c r="M2315" s="4" t="s">
        <v>17</v>
      </c>
    </row>
    <row r="2316" spans="1:13" x14ac:dyDescent="0.25">
      <c r="A2316" s="37" t="s">
        <v>1436</v>
      </c>
      <c r="B2316" s="37" t="s">
        <v>0</v>
      </c>
      <c r="C2316" s="37" t="s">
        <v>499</v>
      </c>
      <c r="D2316" s="37" t="s">
        <v>500</v>
      </c>
      <c r="E2316" s="37" t="s">
        <v>18</v>
      </c>
      <c r="F2316" s="38">
        <v>43464</v>
      </c>
      <c r="G2316" s="38">
        <v>43548</v>
      </c>
      <c r="H2316" s="39">
        <v>0.76736111111111116</v>
      </c>
      <c r="I2316" s="37" t="s">
        <v>14</v>
      </c>
      <c r="J2316" s="37" t="s">
        <v>1124</v>
      </c>
      <c r="K2316" s="37" t="s">
        <v>38</v>
      </c>
      <c r="L2316" s="4"/>
      <c r="M2316" s="4" t="s">
        <v>17</v>
      </c>
    </row>
    <row r="2317" spans="1:13" x14ac:dyDescent="0.25">
      <c r="A2317" s="37" t="s">
        <v>1436</v>
      </c>
      <c r="B2317" s="37" t="s">
        <v>0</v>
      </c>
      <c r="C2317" s="37" t="s">
        <v>972</v>
      </c>
      <c r="D2317" s="37" t="s">
        <v>973</v>
      </c>
      <c r="E2317" s="37" t="s">
        <v>22</v>
      </c>
      <c r="F2317" s="38">
        <v>43512</v>
      </c>
      <c r="G2317" s="38">
        <v>43554</v>
      </c>
      <c r="H2317" s="39">
        <v>0.41319444444444442</v>
      </c>
      <c r="I2317" s="37" t="s">
        <v>14</v>
      </c>
      <c r="J2317" s="37" t="s">
        <v>1864</v>
      </c>
      <c r="K2317" s="37" t="s">
        <v>221</v>
      </c>
      <c r="L2317" s="4"/>
      <c r="M2317" s="4" t="s">
        <v>17</v>
      </c>
    </row>
    <row r="2318" spans="1:13" x14ac:dyDescent="0.25">
      <c r="A2318" s="37" t="s">
        <v>1436</v>
      </c>
      <c r="B2318" s="37" t="s">
        <v>0</v>
      </c>
      <c r="C2318" s="37" t="s">
        <v>70</v>
      </c>
      <c r="D2318" s="37" t="s">
        <v>71</v>
      </c>
      <c r="E2318" s="37" t="s">
        <v>13</v>
      </c>
      <c r="F2318" s="38">
        <v>43405</v>
      </c>
      <c r="G2318" s="38">
        <v>43552</v>
      </c>
      <c r="H2318" s="39">
        <v>0.61805555555555558</v>
      </c>
      <c r="I2318" s="37" t="s">
        <v>207</v>
      </c>
      <c r="J2318" s="37" t="s">
        <v>1127</v>
      </c>
      <c r="K2318" s="37" t="s">
        <v>38</v>
      </c>
      <c r="L2318" s="4"/>
      <c r="M2318" s="4" t="s">
        <v>17</v>
      </c>
    </row>
    <row r="2319" spans="1:13" x14ac:dyDescent="0.25">
      <c r="A2319" s="37" t="s">
        <v>1436</v>
      </c>
      <c r="B2319" s="37" t="s">
        <v>0</v>
      </c>
      <c r="C2319" s="37" t="s">
        <v>70</v>
      </c>
      <c r="D2319" s="37" t="s">
        <v>71</v>
      </c>
      <c r="E2319" s="37" t="s">
        <v>18</v>
      </c>
      <c r="F2319" s="38">
        <v>43464</v>
      </c>
      <c r="G2319" s="38">
        <v>43548</v>
      </c>
      <c r="H2319" s="39">
        <v>0.77430555555555547</v>
      </c>
      <c r="I2319" s="37" t="s">
        <v>207</v>
      </c>
      <c r="J2319" s="37" t="s">
        <v>1126</v>
      </c>
      <c r="K2319" s="37" t="s">
        <v>38</v>
      </c>
      <c r="L2319" s="4"/>
      <c r="M2319" s="4" t="s">
        <v>17</v>
      </c>
    </row>
    <row r="2320" spans="1:13" x14ac:dyDescent="0.25">
      <c r="A2320" s="37" t="s">
        <v>1436</v>
      </c>
      <c r="B2320" s="37" t="s">
        <v>0</v>
      </c>
      <c r="C2320" s="37" t="s">
        <v>86</v>
      </c>
      <c r="D2320" s="37" t="s">
        <v>87</v>
      </c>
      <c r="E2320" s="37" t="s">
        <v>13</v>
      </c>
      <c r="F2320" s="38">
        <v>43405</v>
      </c>
      <c r="G2320" s="38">
        <v>43552</v>
      </c>
      <c r="H2320" s="39">
        <v>0.65277777777777779</v>
      </c>
      <c r="I2320" s="37" t="s">
        <v>14</v>
      </c>
      <c r="J2320" s="37" t="s">
        <v>1128</v>
      </c>
      <c r="K2320" s="37" t="s">
        <v>38</v>
      </c>
      <c r="L2320" s="4"/>
      <c r="M2320" s="4" t="s">
        <v>17</v>
      </c>
    </row>
    <row r="2321" spans="1:13" x14ac:dyDescent="0.25">
      <c r="A2321" s="37" t="s">
        <v>1436</v>
      </c>
      <c r="B2321" s="37" t="s">
        <v>0</v>
      </c>
      <c r="C2321" s="37" t="s">
        <v>86</v>
      </c>
      <c r="D2321" s="37" t="s">
        <v>87</v>
      </c>
      <c r="E2321" s="37" t="s">
        <v>18</v>
      </c>
      <c r="F2321" s="38">
        <v>43408</v>
      </c>
      <c r="G2321" s="38">
        <v>43548</v>
      </c>
      <c r="H2321" s="39">
        <v>0.83333333333333337</v>
      </c>
      <c r="I2321" s="37" t="s">
        <v>14</v>
      </c>
      <c r="J2321" s="37" t="s">
        <v>1129</v>
      </c>
      <c r="K2321" s="37" t="s">
        <v>38</v>
      </c>
      <c r="L2321" s="4"/>
      <c r="M2321" s="4" t="s">
        <v>17</v>
      </c>
    </row>
    <row r="2322" spans="1:13" x14ac:dyDescent="0.25">
      <c r="A2322" s="37" t="s">
        <v>1436</v>
      </c>
      <c r="B2322" s="37" t="s">
        <v>0</v>
      </c>
      <c r="C2322" s="37" t="s">
        <v>512</v>
      </c>
      <c r="D2322" s="37" t="s">
        <v>513</v>
      </c>
      <c r="E2322" s="37" t="s">
        <v>48</v>
      </c>
      <c r="F2322" s="38">
        <v>43406</v>
      </c>
      <c r="G2322" s="38">
        <v>43553</v>
      </c>
      <c r="H2322" s="39">
        <v>0.58680555555555558</v>
      </c>
      <c r="I2322" s="37" t="s">
        <v>14</v>
      </c>
      <c r="J2322" s="37" t="s">
        <v>1290</v>
      </c>
      <c r="K2322" s="37" t="s">
        <v>515</v>
      </c>
      <c r="L2322" s="4"/>
      <c r="M2322" s="4" t="s">
        <v>17</v>
      </c>
    </row>
    <row r="2323" spans="1:13" x14ac:dyDescent="0.25">
      <c r="A2323" s="37" t="s">
        <v>1436</v>
      </c>
      <c r="B2323" s="37" t="s">
        <v>0</v>
      </c>
      <c r="C2323" s="37" t="s">
        <v>512</v>
      </c>
      <c r="D2323" s="37" t="s">
        <v>513</v>
      </c>
      <c r="E2323" s="37" t="s">
        <v>48</v>
      </c>
      <c r="F2323" s="38">
        <v>43406</v>
      </c>
      <c r="G2323" s="38">
        <v>43553</v>
      </c>
      <c r="H2323" s="39">
        <v>0.60416666666666663</v>
      </c>
      <c r="I2323" s="37" t="s">
        <v>39</v>
      </c>
      <c r="J2323" s="37" t="s">
        <v>1130</v>
      </c>
      <c r="K2323" s="37" t="s">
        <v>515</v>
      </c>
      <c r="L2323" s="4"/>
      <c r="M2323" s="4" t="s">
        <v>17</v>
      </c>
    </row>
    <row r="2324" spans="1:13" x14ac:dyDescent="0.25">
      <c r="A2324" s="37" t="s">
        <v>1436</v>
      </c>
      <c r="B2324" s="37" t="s">
        <v>0</v>
      </c>
      <c r="C2324" s="37" t="s">
        <v>1291</v>
      </c>
      <c r="D2324" s="37" t="s">
        <v>1125</v>
      </c>
      <c r="E2324" s="37" t="s">
        <v>22</v>
      </c>
      <c r="F2324" s="38">
        <v>43505</v>
      </c>
      <c r="G2324" s="38">
        <v>43554</v>
      </c>
      <c r="H2324" s="39">
        <v>0.40972222222222227</v>
      </c>
      <c r="I2324" s="37" t="s">
        <v>14</v>
      </c>
      <c r="J2324" s="37" t="s">
        <v>1865</v>
      </c>
      <c r="K2324" s="37" t="s">
        <v>221</v>
      </c>
      <c r="L2324" s="4"/>
      <c r="M2324" s="4" t="s">
        <v>17</v>
      </c>
    </row>
    <row r="2325" spans="1:13" x14ac:dyDescent="0.25">
      <c r="A2325" s="37" t="s">
        <v>1436</v>
      </c>
      <c r="B2325" s="37" t="s">
        <v>0</v>
      </c>
      <c r="C2325" s="37" t="s">
        <v>1131</v>
      </c>
      <c r="D2325" s="37" t="s">
        <v>1132</v>
      </c>
      <c r="E2325" s="37" t="s">
        <v>18</v>
      </c>
      <c r="F2325" s="38">
        <v>43464</v>
      </c>
      <c r="G2325" s="38">
        <v>43548</v>
      </c>
      <c r="H2325" s="39">
        <v>0.82291666666666663</v>
      </c>
      <c r="I2325" s="37" t="s">
        <v>14</v>
      </c>
      <c r="J2325" s="37" t="s">
        <v>1134</v>
      </c>
      <c r="K2325" s="37" t="s">
        <v>38</v>
      </c>
      <c r="L2325" s="37"/>
      <c r="M2325" s="4" t="s">
        <v>17</v>
      </c>
    </row>
    <row r="2326" spans="1:13" x14ac:dyDescent="0.25">
      <c r="A2326" s="37" t="s">
        <v>1436</v>
      </c>
      <c r="B2326" s="37" t="s">
        <v>0</v>
      </c>
      <c r="C2326" s="37" t="s">
        <v>1131</v>
      </c>
      <c r="D2326" s="37" t="s">
        <v>1132</v>
      </c>
      <c r="E2326" s="37" t="s">
        <v>13</v>
      </c>
      <c r="F2326" s="38">
        <v>43405</v>
      </c>
      <c r="G2326" s="38">
        <v>43552</v>
      </c>
      <c r="H2326" s="39">
        <v>0.82986111111111116</v>
      </c>
      <c r="I2326" s="37" t="s">
        <v>14</v>
      </c>
      <c r="J2326" s="37" t="s">
        <v>1133</v>
      </c>
      <c r="K2326" s="37" t="s">
        <v>38</v>
      </c>
      <c r="L2326" s="37"/>
      <c r="M2326" s="4" t="s">
        <v>17</v>
      </c>
    </row>
    <row r="2327" spans="1:13" x14ac:dyDescent="0.25">
      <c r="A2327" s="37" t="s">
        <v>1436</v>
      </c>
      <c r="B2327" s="37" t="s">
        <v>0</v>
      </c>
      <c r="C2327" s="37" t="s">
        <v>96</v>
      </c>
      <c r="D2327" s="37" t="s">
        <v>97</v>
      </c>
      <c r="E2327" s="37" t="s">
        <v>18</v>
      </c>
      <c r="F2327" s="38">
        <v>43464</v>
      </c>
      <c r="G2327" s="38">
        <v>43548</v>
      </c>
      <c r="H2327" s="39">
        <v>0.82986111111111116</v>
      </c>
      <c r="I2327" s="37" t="s">
        <v>14</v>
      </c>
      <c r="J2327" s="37" t="s">
        <v>1866</v>
      </c>
      <c r="K2327" s="37" t="s">
        <v>93</v>
      </c>
      <c r="L2327" s="37"/>
      <c r="M2327" s="4" t="s">
        <v>17</v>
      </c>
    </row>
    <row r="2328" spans="1:13" x14ac:dyDescent="0.25">
      <c r="A2328" s="37" t="s">
        <v>1436</v>
      </c>
      <c r="B2328" s="37" t="s">
        <v>0</v>
      </c>
      <c r="C2328" s="37" t="s">
        <v>107</v>
      </c>
      <c r="D2328" s="37" t="s">
        <v>108</v>
      </c>
      <c r="E2328" s="37" t="s">
        <v>13</v>
      </c>
      <c r="F2328" s="38">
        <v>43468</v>
      </c>
      <c r="G2328" s="38">
        <v>43552</v>
      </c>
      <c r="H2328" s="39">
        <v>0.63888888888888895</v>
      </c>
      <c r="I2328" s="37" t="s">
        <v>14</v>
      </c>
      <c r="J2328" s="37" t="s">
        <v>1135</v>
      </c>
      <c r="K2328" s="37" t="s">
        <v>38</v>
      </c>
      <c r="L2328" s="37"/>
      <c r="M2328" s="4" t="s">
        <v>17</v>
      </c>
    </row>
    <row r="2329" spans="1:13" x14ac:dyDescent="0.25">
      <c r="A2329" s="37" t="s">
        <v>1436</v>
      </c>
      <c r="B2329" s="37" t="s">
        <v>0</v>
      </c>
      <c r="C2329" s="37" t="s">
        <v>115</v>
      </c>
      <c r="D2329" s="37" t="s">
        <v>116</v>
      </c>
      <c r="E2329" s="37" t="s">
        <v>13</v>
      </c>
      <c r="F2329" s="38">
        <v>43405</v>
      </c>
      <c r="G2329" s="38">
        <v>43552</v>
      </c>
      <c r="H2329" s="39">
        <v>0.71180555555555547</v>
      </c>
      <c r="I2329" s="37" t="s">
        <v>14</v>
      </c>
      <c r="J2329" s="37" t="s">
        <v>1136</v>
      </c>
      <c r="K2329" s="37" t="s">
        <v>38</v>
      </c>
      <c r="L2329" s="37"/>
      <c r="M2329" s="4" t="s">
        <v>17</v>
      </c>
    </row>
    <row r="2330" spans="1:13" x14ac:dyDescent="0.25">
      <c r="A2330" s="37" t="s">
        <v>1436</v>
      </c>
      <c r="B2330" s="37" t="s">
        <v>0</v>
      </c>
      <c r="C2330" s="37" t="s">
        <v>542</v>
      </c>
      <c r="D2330" s="37" t="s">
        <v>543</v>
      </c>
      <c r="E2330" s="37" t="s">
        <v>48</v>
      </c>
      <c r="F2330" s="38">
        <v>43441</v>
      </c>
      <c r="G2330" s="38">
        <v>43553</v>
      </c>
      <c r="H2330" s="39">
        <v>0.52430555555555558</v>
      </c>
      <c r="I2330" s="37" t="s">
        <v>39</v>
      </c>
      <c r="J2330" s="37" t="s">
        <v>1720</v>
      </c>
      <c r="K2330" s="37" t="s">
        <v>544</v>
      </c>
      <c r="L2330" s="37" t="s">
        <v>513</v>
      </c>
      <c r="M2330" s="4" t="s">
        <v>17</v>
      </c>
    </row>
    <row r="2331" spans="1:13" x14ac:dyDescent="0.25">
      <c r="A2331" s="37" t="s">
        <v>1436</v>
      </c>
      <c r="B2331" s="37" t="s">
        <v>0</v>
      </c>
      <c r="C2331" s="37" t="s">
        <v>542</v>
      </c>
      <c r="D2331" s="37" t="s">
        <v>543</v>
      </c>
      <c r="E2331" s="37" t="s">
        <v>48</v>
      </c>
      <c r="F2331" s="38">
        <v>43406</v>
      </c>
      <c r="G2331" s="38">
        <v>43553</v>
      </c>
      <c r="H2331" s="39">
        <v>0.59722222222222221</v>
      </c>
      <c r="I2331" s="37" t="s">
        <v>698</v>
      </c>
      <c r="J2331" s="37" t="s">
        <v>1721</v>
      </c>
      <c r="K2331" s="37" t="s">
        <v>544</v>
      </c>
      <c r="L2331" s="37"/>
      <c r="M2331" s="4" t="s">
        <v>17</v>
      </c>
    </row>
    <row r="2332" spans="1:13" x14ac:dyDescent="0.25">
      <c r="A2332" s="37" t="s">
        <v>1436</v>
      </c>
      <c r="B2332" s="37" t="s">
        <v>0</v>
      </c>
      <c r="C2332" s="37" t="s">
        <v>542</v>
      </c>
      <c r="D2332" s="37" t="s">
        <v>543</v>
      </c>
      <c r="E2332" s="37" t="s">
        <v>59</v>
      </c>
      <c r="F2332" s="38">
        <v>43409</v>
      </c>
      <c r="G2332" s="38">
        <v>43549</v>
      </c>
      <c r="H2332" s="39">
        <v>0.63541666666666663</v>
      </c>
      <c r="I2332" s="37" t="s">
        <v>698</v>
      </c>
      <c r="J2332" s="37" t="s">
        <v>1722</v>
      </c>
      <c r="K2332" s="37" t="s">
        <v>544</v>
      </c>
      <c r="L2332" s="37"/>
      <c r="M2332" s="4" t="s">
        <v>17</v>
      </c>
    </row>
    <row r="2333" spans="1:13" x14ac:dyDescent="0.25">
      <c r="A2333" s="37" t="s">
        <v>1436</v>
      </c>
      <c r="B2333" s="37" t="s">
        <v>0</v>
      </c>
      <c r="C2333" s="37" t="s">
        <v>1137</v>
      </c>
      <c r="D2333" s="37" t="s">
        <v>1138</v>
      </c>
      <c r="E2333" s="37" t="s">
        <v>13</v>
      </c>
      <c r="F2333" s="38">
        <v>43405</v>
      </c>
      <c r="G2333" s="38">
        <v>43552</v>
      </c>
      <c r="H2333" s="39">
        <v>0.49305555555555558</v>
      </c>
      <c r="I2333" s="37" t="s">
        <v>14</v>
      </c>
      <c r="J2333" s="37" t="s">
        <v>1140</v>
      </c>
      <c r="K2333" s="37" t="s">
        <v>38</v>
      </c>
      <c r="L2333" s="37"/>
      <c r="M2333" s="4" t="s">
        <v>17</v>
      </c>
    </row>
    <row r="2334" spans="1:13" x14ac:dyDescent="0.25">
      <c r="A2334" s="37" t="s">
        <v>1436</v>
      </c>
      <c r="B2334" s="37" t="s">
        <v>0</v>
      </c>
      <c r="C2334" s="37" t="s">
        <v>1137</v>
      </c>
      <c r="D2334" s="37" t="s">
        <v>1138</v>
      </c>
      <c r="E2334" s="37" t="s">
        <v>18</v>
      </c>
      <c r="F2334" s="38">
        <v>43464</v>
      </c>
      <c r="G2334" s="38">
        <v>43541</v>
      </c>
      <c r="H2334" s="39">
        <v>0.61805555555555558</v>
      </c>
      <c r="I2334" s="37" t="s">
        <v>14</v>
      </c>
      <c r="J2334" s="37" t="s">
        <v>1139</v>
      </c>
      <c r="K2334" s="37" t="s">
        <v>38</v>
      </c>
      <c r="L2334" s="37"/>
      <c r="M2334" s="4" t="s">
        <v>17</v>
      </c>
    </row>
    <row r="2335" spans="1:13" x14ac:dyDescent="0.25">
      <c r="A2335" s="37" t="s">
        <v>1436</v>
      </c>
      <c r="B2335" s="37" t="s">
        <v>0</v>
      </c>
      <c r="C2335" s="37" t="s">
        <v>828</v>
      </c>
      <c r="D2335" s="37" t="s">
        <v>829</v>
      </c>
      <c r="E2335" s="37" t="s">
        <v>48</v>
      </c>
      <c r="F2335" s="38">
        <v>43406</v>
      </c>
      <c r="G2335" s="38">
        <v>43553</v>
      </c>
      <c r="H2335" s="39">
        <v>0.625</v>
      </c>
      <c r="I2335" s="37" t="s">
        <v>474</v>
      </c>
      <c r="J2335" s="37" t="s">
        <v>1723</v>
      </c>
      <c r="K2335" s="37" t="s">
        <v>544</v>
      </c>
      <c r="L2335" s="37"/>
      <c r="M2335" s="4" t="s">
        <v>17</v>
      </c>
    </row>
    <row r="2336" spans="1:13" x14ac:dyDescent="0.25">
      <c r="A2336" s="37" t="s">
        <v>1436</v>
      </c>
      <c r="B2336" s="37" t="s">
        <v>0</v>
      </c>
      <c r="C2336" s="37" t="s">
        <v>593</v>
      </c>
      <c r="D2336" s="37" t="s">
        <v>594</v>
      </c>
      <c r="E2336" s="37" t="s">
        <v>48</v>
      </c>
      <c r="F2336" s="38">
        <v>43406</v>
      </c>
      <c r="G2336" s="38">
        <v>43553</v>
      </c>
      <c r="H2336" s="39">
        <v>0.59027777777777779</v>
      </c>
      <c r="I2336" s="37" t="s">
        <v>698</v>
      </c>
      <c r="J2336" s="37" t="s">
        <v>1292</v>
      </c>
      <c r="K2336" s="37" t="s">
        <v>595</v>
      </c>
      <c r="L2336" s="37"/>
      <c r="M2336" s="4" t="s">
        <v>17</v>
      </c>
    </row>
    <row r="2337" spans="1:13" x14ac:dyDescent="0.25">
      <c r="A2337" s="37" t="s">
        <v>1436</v>
      </c>
      <c r="B2337" s="37" t="s">
        <v>0</v>
      </c>
      <c r="C2337" s="37" t="s">
        <v>198</v>
      </c>
      <c r="D2337" s="37" t="s">
        <v>199</v>
      </c>
      <c r="E2337" s="37" t="s">
        <v>18</v>
      </c>
      <c r="F2337" s="38">
        <v>43464</v>
      </c>
      <c r="G2337" s="38">
        <v>43541</v>
      </c>
      <c r="H2337" s="39">
        <v>0.57291666666666663</v>
      </c>
      <c r="I2337" s="37" t="s">
        <v>14</v>
      </c>
      <c r="J2337" s="37" t="s">
        <v>1142</v>
      </c>
      <c r="K2337" s="37" t="s">
        <v>38</v>
      </c>
      <c r="L2337" s="37"/>
      <c r="M2337" s="4" t="s">
        <v>17</v>
      </c>
    </row>
    <row r="2338" spans="1:13" x14ac:dyDescent="0.25">
      <c r="A2338" s="37" t="s">
        <v>1436</v>
      </c>
      <c r="B2338" s="37" t="s">
        <v>0</v>
      </c>
      <c r="C2338" s="37" t="s">
        <v>202</v>
      </c>
      <c r="D2338" s="37" t="s">
        <v>203</v>
      </c>
      <c r="E2338" s="37" t="s">
        <v>13</v>
      </c>
      <c r="F2338" s="38">
        <v>43405</v>
      </c>
      <c r="G2338" s="38">
        <v>43552</v>
      </c>
      <c r="H2338" s="39">
        <v>0.60763888888888895</v>
      </c>
      <c r="I2338" s="37" t="s">
        <v>14</v>
      </c>
      <c r="J2338" s="37" t="s">
        <v>1293</v>
      </c>
      <c r="K2338" s="37" t="s">
        <v>38</v>
      </c>
      <c r="L2338" s="37"/>
      <c r="M2338" s="4" t="s">
        <v>17</v>
      </c>
    </row>
    <row r="2339" spans="1:13" x14ac:dyDescent="0.25">
      <c r="A2339" s="37" t="s">
        <v>1436</v>
      </c>
      <c r="B2339" s="37" t="s">
        <v>0</v>
      </c>
      <c r="C2339" s="37" t="s">
        <v>208</v>
      </c>
      <c r="D2339" s="37" t="s">
        <v>209</v>
      </c>
      <c r="E2339" s="37" t="s">
        <v>19</v>
      </c>
      <c r="F2339" s="38">
        <v>43508</v>
      </c>
      <c r="G2339" s="38">
        <v>43543</v>
      </c>
      <c r="H2339" s="39">
        <v>0.60763888888888895</v>
      </c>
      <c r="I2339" s="37" t="s">
        <v>207</v>
      </c>
      <c r="J2339" s="37" t="s">
        <v>1146</v>
      </c>
      <c r="K2339" s="37" t="s">
        <v>38</v>
      </c>
      <c r="L2339" s="37"/>
      <c r="M2339" s="4" t="s">
        <v>17</v>
      </c>
    </row>
    <row r="2340" spans="1:13" x14ac:dyDescent="0.25">
      <c r="A2340" s="37" t="s">
        <v>1436</v>
      </c>
      <c r="B2340" s="37" t="s">
        <v>0</v>
      </c>
      <c r="C2340" s="37" t="s">
        <v>208</v>
      </c>
      <c r="D2340" s="37" t="s">
        <v>209</v>
      </c>
      <c r="E2340" s="37" t="s">
        <v>13</v>
      </c>
      <c r="F2340" s="38">
        <v>43405</v>
      </c>
      <c r="G2340" s="38">
        <v>43552</v>
      </c>
      <c r="H2340" s="39">
        <v>0.61458333333333337</v>
      </c>
      <c r="I2340" s="37" t="s">
        <v>207</v>
      </c>
      <c r="J2340" s="37" t="s">
        <v>1143</v>
      </c>
      <c r="K2340" s="37" t="s">
        <v>38</v>
      </c>
      <c r="L2340" s="37"/>
      <c r="M2340" s="4" t="s">
        <v>17</v>
      </c>
    </row>
    <row r="2341" spans="1:13" x14ac:dyDescent="0.25">
      <c r="A2341" s="37" t="s">
        <v>1436</v>
      </c>
      <c r="B2341" s="37" t="s">
        <v>0</v>
      </c>
      <c r="C2341" s="37" t="s">
        <v>208</v>
      </c>
      <c r="D2341" s="37" t="s">
        <v>209</v>
      </c>
      <c r="E2341" s="37" t="s">
        <v>59</v>
      </c>
      <c r="F2341" s="38">
        <v>43409</v>
      </c>
      <c r="G2341" s="38">
        <v>43549</v>
      </c>
      <c r="H2341" s="39">
        <v>0.625</v>
      </c>
      <c r="I2341" s="37" t="s">
        <v>14</v>
      </c>
      <c r="J2341" s="37" t="s">
        <v>1144</v>
      </c>
      <c r="K2341" s="37" t="s">
        <v>38</v>
      </c>
      <c r="L2341" s="37"/>
      <c r="M2341" s="4" t="s">
        <v>17</v>
      </c>
    </row>
    <row r="2342" spans="1:13" x14ac:dyDescent="0.25">
      <c r="A2342" s="37" t="s">
        <v>1436</v>
      </c>
      <c r="B2342" s="37" t="s">
        <v>0</v>
      </c>
      <c r="C2342" s="37" t="s">
        <v>208</v>
      </c>
      <c r="D2342" s="37" t="s">
        <v>209</v>
      </c>
      <c r="E2342" s="37" t="s">
        <v>18</v>
      </c>
      <c r="F2342" s="38">
        <v>43457</v>
      </c>
      <c r="G2342" s="38">
        <v>43548</v>
      </c>
      <c r="H2342" s="39">
        <v>0.875</v>
      </c>
      <c r="I2342" s="37" t="s">
        <v>207</v>
      </c>
      <c r="J2342" s="37" t="s">
        <v>1145</v>
      </c>
      <c r="K2342" s="37" t="s">
        <v>38</v>
      </c>
      <c r="L2342" s="37"/>
      <c r="M2342" s="4" t="s">
        <v>17</v>
      </c>
    </row>
    <row r="2343" spans="1:13" x14ac:dyDescent="0.25">
      <c r="A2343" s="37" t="s">
        <v>1436</v>
      </c>
      <c r="B2343" s="37" t="s">
        <v>0</v>
      </c>
      <c r="C2343" s="37" t="s">
        <v>1294</v>
      </c>
      <c r="D2343" s="37" t="s">
        <v>1295</v>
      </c>
      <c r="E2343" s="37" t="s">
        <v>48</v>
      </c>
      <c r="F2343" s="38">
        <v>43420</v>
      </c>
      <c r="G2343" s="38">
        <v>43553</v>
      </c>
      <c r="H2343" s="39">
        <v>0.57291666666666663</v>
      </c>
      <c r="I2343" s="37" t="s">
        <v>14</v>
      </c>
      <c r="J2343" s="37" t="s">
        <v>1724</v>
      </c>
      <c r="K2343" s="37" t="s">
        <v>544</v>
      </c>
      <c r="L2343" s="37"/>
      <c r="M2343" s="4" t="s">
        <v>17</v>
      </c>
    </row>
    <row r="2344" spans="1:13" x14ac:dyDescent="0.25">
      <c r="A2344" s="37" t="s">
        <v>1436</v>
      </c>
      <c r="B2344" s="37" t="s">
        <v>0</v>
      </c>
      <c r="C2344" s="37" t="s">
        <v>233</v>
      </c>
      <c r="D2344" s="37" t="s">
        <v>234</v>
      </c>
      <c r="E2344" s="37" t="s">
        <v>13</v>
      </c>
      <c r="F2344" s="38">
        <v>43468</v>
      </c>
      <c r="G2344" s="38">
        <v>43552</v>
      </c>
      <c r="H2344" s="39">
        <v>0.54861111111111105</v>
      </c>
      <c r="I2344" s="37" t="s">
        <v>14</v>
      </c>
      <c r="J2344" s="37" t="s">
        <v>1147</v>
      </c>
      <c r="K2344" s="37" t="s">
        <v>38</v>
      </c>
      <c r="L2344" s="37"/>
      <c r="M2344" s="4" t="s">
        <v>17</v>
      </c>
    </row>
    <row r="2345" spans="1:13" x14ac:dyDescent="0.25">
      <c r="A2345" s="37" t="s">
        <v>1436</v>
      </c>
      <c r="B2345" s="37" t="s">
        <v>0</v>
      </c>
      <c r="C2345" s="37" t="s">
        <v>233</v>
      </c>
      <c r="D2345" s="37" t="s">
        <v>234</v>
      </c>
      <c r="E2345" s="37" t="s">
        <v>19</v>
      </c>
      <c r="F2345" s="38">
        <v>43410</v>
      </c>
      <c r="G2345" s="38">
        <v>43550</v>
      </c>
      <c r="H2345" s="39">
        <v>0.66666666666666663</v>
      </c>
      <c r="I2345" s="37" t="s">
        <v>207</v>
      </c>
      <c r="J2345" s="37" t="s">
        <v>1150</v>
      </c>
      <c r="K2345" s="37" t="s">
        <v>38</v>
      </c>
      <c r="L2345" s="37"/>
      <c r="M2345" s="4" t="s">
        <v>17</v>
      </c>
    </row>
    <row r="2346" spans="1:13" x14ac:dyDescent="0.25">
      <c r="A2346" s="37" t="s">
        <v>1436</v>
      </c>
      <c r="B2346" s="37" t="s">
        <v>0</v>
      </c>
      <c r="C2346" s="37" t="s">
        <v>233</v>
      </c>
      <c r="D2346" s="37" t="s">
        <v>234</v>
      </c>
      <c r="E2346" s="37" t="s">
        <v>59</v>
      </c>
      <c r="F2346" s="38">
        <v>43451</v>
      </c>
      <c r="G2346" s="38">
        <v>43549</v>
      </c>
      <c r="H2346" s="39">
        <v>0.6875</v>
      </c>
      <c r="I2346" s="37" t="s">
        <v>14</v>
      </c>
      <c r="J2346" s="37" t="s">
        <v>1149</v>
      </c>
      <c r="K2346" s="37" t="s">
        <v>38</v>
      </c>
      <c r="L2346" s="37"/>
      <c r="M2346" s="4" t="s">
        <v>17</v>
      </c>
    </row>
    <row r="2347" spans="1:13" x14ac:dyDescent="0.25">
      <c r="A2347" s="37" t="s">
        <v>1436</v>
      </c>
      <c r="B2347" s="37" t="s">
        <v>0</v>
      </c>
      <c r="C2347" s="37" t="s">
        <v>233</v>
      </c>
      <c r="D2347" s="37" t="s">
        <v>234</v>
      </c>
      <c r="E2347" s="37" t="s">
        <v>18</v>
      </c>
      <c r="F2347" s="38">
        <v>43464</v>
      </c>
      <c r="G2347" s="38">
        <v>43548</v>
      </c>
      <c r="H2347" s="39">
        <v>0.80208333333333337</v>
      </c>
      <c r="I2347" s="37" t="s">
        <v>14</v>
      </c>
      <c r="J2347" s="37" t="s">
        <v>1148</v>
      </c>
      <c r="K2347" s="37" t="s">
        <v>38</v>
      </c>
      <c r="L2347" s="37"/>
      <c r="M2347" s="4" t="s">
        <v>17</v>
      </c>
    </row>
    <row r="2348" spans="1:13" x14ac:dyDescent="0.25">
      <c r="A2348" s="37" t="s">
        <v>1436</v>
      </c>
      <c r="B2348" s="37" t="s">
        <v>0</v>
      </c>
      <c r="C2348" s="37" t="s">
        <v>249</v>
      </c>
      <c r="D2348" s="37" t="s">
        <v>250</v>
      </c>
      <c r="E2348" s="37" t="s">
        <v>22</v>
      </c>
      <c r="F2348" s="38">
        <v>43505</v>
      </c>
      <c r="G2348" s="38">
        <v>43554</v>
      </c>
      <c r="H2348" s="39">
        <v>0.36805555555555558</v>
      </c>
      <c r="I2348" s="37" t="s">
        <v>14</v>
      </c>
      <c r="J2348" s="37" t="s">
        <v>1833</v>
      </c>
      <c r="K2348" s="37" t="s">
        <v>221</v>
      </c>
      <c r="L2348" s="37"/>
      <c r="M2348" s="4" t="s">
        <v>17</v>
      </c>
    </row>
    <row r="2349" spans="1:13" x14ac:dyDescent="0.25">
      <c r="A2349" s="37" t="s">
        <v>1436</v>
      </c>
      <c r="B2349" s="37" t="s">
        <v>0</v>
      </c>
      <c r="C2349" s="37" t="s">
        <v>252</v>
      </c>
      <c r="D2349" s="37" t="s">
        <v>253</v>
      </c>
      <c r="E2349" s="37" t="s">
        <v>13</v>
      </c>
      <c r="F2349" s="38">
        <v>43405</v>
      </c>
      <c r="G2349" s="38">
        <v>43552</v>
      </c>
      <c r="H2349" s="39">
        <v>0.71527777777777779</v>
      </c>
      <c r="I2349" s="37" t="s">
        <v>14</v>
      </c>
      <c r="J2349" s="37" t="s">
        <v>1151</v>
      </c>
      <c r="K2349" s="37" t="s">
        <v>38</v>
      </c>
      <c r="L2349" s="37"/>
      <c r="M2349" s="4" t="s">
        <v>17</v>
      </c>
    </row>
    <row r="2350" spans="1:13" x14ac:dyDescent="0.25">
      <c r="A2350" s="37" t="s">
        <v>1436</v>
      </c>
      <c r="B2350" s="37" t="s">
        <v>0</v>
      </c>
      <c r="C2350" s="37" t="s">
        <v>701</v>
      </c>
      <c r="D2350" s="37" t="s">
        <v>702</v>
      </c>
      <c r="E2350" s="37" t="s">
        <v>48</v>
      </c>
      <c r="F2350" s="38">
        <v>43469</v>
      </c>
      <c r="G2350" s="38">
        <v>43546</v>
      </c>
      <c r="H2350" s="39">
        <v>0.52777777777777779</v>
      </c>
      <c r="I2350" s="37" t="s">
        <v>1910</v>
      </c>
      <c r="J2350" s="37" t="s">
        <v>1296</v>
      </c>
      <c r="K2350" s="37" t="s">
        <v>488</v>
      </c>
      <c r="L2350" s="37" t="s">
        <v>785</v>
      </c>
      <c r="M2350" s="4" t="s">
        <v>17</v>
      </c>
    </row>
    <row r="2351" spans="1:13" x14ac:dyDescent="0.25">
      <c r="A2351" s="37" t="s">
        <v>1436</v>
      </c>
      <c r="B2351" s="37" t="s">
        <v>0</v>
      </c>
      <c r="C2351" s="37" t="s">
        <v>701</v>
      </c>
      <c r="D2351" s="37" t="s">
        <v>702</v>
      </c>
      <c r="E2351" s="37" t="s">
        <v>48</v>
      </c>
      <c r="F2351" s="38">
        <v>43406</v>
      </c>
      <c r="G2351" s="38">
        <v>43553</v>
      </c>
      <c r="H2351" s="39">
        <v>0.61111111111111105</v>
      </c>
      <c r="I2351" s="37" t="s">
        <v>698</v>
      </c>
      <c r="J2351" s="37" t="s">
        <v>1725</v>
      </c>
      <c r="K2351" s="37" t="s">
        <v>488</v>
      </c>
      <c r="L2351" s="37"/>
      <c r="M2351" s="4" t="s">
        <v>17</v>
      </c>
    </row>
    <row r="2352" spans="1:13" x14ac:dyDescent="0.25">
      <c r="A2352" s="37" t="s">
        <v>1436</v>
      </c>
      <c r="B2352" s="37" t="s">
        <v>0</v>
      </c>
      <c r="C2352" s="37" t="s">
        <v>1430</v>
      </c>
      <c r="D2352" s="37" t="s">
        <v>1431</v>
      </c>
      <c r="E2352" s="37" t="s">
        <v>22</v>
      </c>
      <c r="F2352" s="38">
        <v>43512</v>
      </c>
      <c r="G2352" s="38">
        <v>43512</v>
      </c>
      <c r="H2352" s="39">
        <v>0.63888888888888895</v>
      </c>
      <c r="I2352" s="37">
        <v>320</v>
      </c>
      <c r="J2352" s="37" t="s">
        <v>1867</v>
      </c>
      <c r="K2352" s="37" t="s">
        <v>1433</v>
      </c>
      <c r="L2352" s="37"/>
      <c r="M2352" s="4" t="s">
        <v>17</v>
      </c>
    </row>
    <row r="2353" spans="1:13" x14ac:dyDescent="0.25">
      <c r="A2353" s="40" t="s">
        <v>1436</v>
      </c>
      <c r="B2353" s="40" t="s">
        <v>0</v>
      </c>
      <c r="C2353" s="40" t="s">
        <v>1162</v>
      </c>
      <c r="D2353" s="40" t="s">
        <v>1163</v>
      </c>
      <c r="E2353" s="40" t="s">
        <v>22</v>
      </c>
      <c r="F2353" s="41">
        <v>43463</v>
      </c>
      <c r="G2353" s="41">
        <v>43547</v>
      </c>
      <c r="H2353" s="42">
        <v>0.55208333333333337</v>
      </c>
      <c r="I2353" s="40">
        <v>320</v>
      </c>
      <c r="J2353" s="40" t="s">
        <v>1868</v>
      </c>
      <c r="K2353" s="40" t="s">
        <v>515</v>
      </c>
      <c r="L2353" s="4"/>
      <c r="M2353" s="4" t="s">
        <v>80</v>
      </c>
    </row>
    <row r="2354" spans="1:13" x14ac:dyDescent="0.25">
      <c r="A2354" s="40" t="s">
        <v>1436</v>
      </c>
      <c r="B2354" s="40" t="s">
        <v>0</v>
      </c>
      <c r="C2354" s="40" t="s">
        <v>11</v>
      </c>
      <c r="D2354" s="40" t="s">
        <v>12</v>
      </c>
      <c r="E2354" s="40" t="s">
        <v>59</v>
      </c>
      <c r="F2354" s="41">
        <v>43514</v>
      </c>
      <c r="G2354" s="41">
        <v>43549</v>
      </c>
      <c r="H2354" s="42">
        <v>0.60416666666666663</v>
      </c>
      <c r="I2354" s="40" t="s">
        <v>14</v>
      </c>
      <c r="J2354" s="40" t="s">
        <v>1727</v>
      </c>
      <c r="K2354" s="40" t="s">
        <v>16</v>
      </c>
      <c r="L2354" s="4"/>
      <c r="M2354" s="4" t="s">
        <v>80</v>
      </c>
    </row>
    <row r="2355" spans="1:13" x14ac:dyDescent="0.25">
      <c r="A2355" s="40" t="s">
        <v>1436</v>
      </c>
      <c r="B2355" s="40" t="s">
        <v>0</v>
      </c>
      <c r="C2355" s="40" t="s">
        <v>11</v>
      </c>
      <c r="D2355" s="40" t="s">
        <v>12</v>
      </c>
      <c r="E2355" s="40" t="s">
        <v>48</v>
      </c>
      <c r="F2355" s="41">
        <v>43476</v>
      </c>
      <c r="G2355" s="41">
        <v>43532</v>
      </c>
      <c r="H2355" s="42">
        <v>0.61805555555555558</v>
      </c>
      <c r="I2355" s="40" t="s">
        <v>14</v>
      </c>
      <c r="J2355" s="40" t="s">
        <v>1726</v>
      </c>
      <c r="K2355" s="40" t="s">
        <v>16</v>
      </c>
      <c r="L2355" s="4"/>
      <c r="M2355" s="4" t="s">
        <v>80</v>
      </c>
    </row>
    <row r="2356" spans="1:13" x14ac:dyDescent="0.25">
      <c r="A2356" s="40" t="s">
        <v>1436</v>
      </c>
      <c r="B2356" s="40" t="s">
        <v>0</v>
      </c>
      <c r="C2356" s="40" t="s">
        <v>11</v>
      </c>
      <c r="D2356" s="40" t="s">
        <v>12</v>
      </c>
      <c r="E2356" s="40" t="s">
        <v>59</v>
      </c>
      <c r="F2356" s="41">
        <v>43493</v>
      </c>
      <c r="G2356" s="41">
        <v>43507</v>
      </c>
      <c r="H2356" s="42">
        <v>0.61805555555555558</v>
      </c>
      <c r="I2356" s="40" t="s">
        <v>14</v>
      </c>
      <c r="J2356" s="40" t="s">
        <v>1727</v>
      </c>
      <c r="K2356" s="40" t="s">
        <v>16</v>
      </c>
      <c r="L2356" s="4"/>
      <c r="M2356" s="4" t="s">
        <v>80</v>
      </c>
    </row>
    <row r="2357" spans="1:13" x14ac:dyDescent="0.25">
      <c r="A2357" s="40" t="s">
        <v>1436</v>
      </c>
      <c r="B2357" s="40" t="s">
        <v>0</v>
      </c>
      <c r="C2357" s="40" t="s">
        <v>784</v>
      </c>
      <c r="D2357" s="40" t="s">
        <v>785</v>
      </c>
      <c r="E2357" s="40" t="s">
        <v>18</v>
      </c>
      <c r="F2357" s="41">
        <v>43429</v>
      </c>
      <c r="G2357" s="41">
        <v>43548</v>
      </c>
      <c r="H2357" s="42">
        <v>0.55208333333333337</v>
      </c>
      <c r="I2357" s="40">
        <v>320</v>
      </c>
      <c r="J2357" s="40" t="s">
        <v>1297</v>
      </c>
      <c r="K2357" s="40" t="s">
        <v>515</v>
      </c>
      <c r="L2357" s="4"/>
      <c r="M2357" s="4" t="s">
        <v>80</v>
      </c>
    </row>
    <row r="2358" spans="1:13" x14ac:dyDescent="0.25">
      <c r="A2358" s="40" t="s">
        <v>1436</v>
      </c>
      <c r="B2358" s="40" t="s">
        <v>0</v>
      </c>
      <c r="C2358" s="40" t="s">
        <v>784</v>
      </c>
      <c r="D2358" s="40" t="s">
        <v>785</v>
      </c>
      <c r="E2358" s="40" t="s">
        <v>59</v>
      </c>
      <c r="F2358" s="41">
        <v>43444</v>
      </c>
      <c r="G2358" s="41">
        <v>43549</v>
      </c>
      <c r="H2358" s="42">
        <v>0.64583333333333337</v>
      </c>
      <c r="I2358" s="40" t="s">
        <v>14</v>
      </c>
      <c r="J2358" s="40" t="s">
        <v>1869</v>
      </c>
      <c r="K2358" s="40" t="s">
        <v>515</v>
      </c>
      <c r="L2358" s="4"/>
      <c r="M2358" s="4" t="s">
        <v>80</v>
      </c>
    </row>
    <row r="2359" spans="1:13" x14ac:dyDescent="0.25">
      <c r="A2359" s="40" t="s">
        <v>1436</v>
      </c>
      <c r="B2359" s="40" t="s">
        <v>0</v>
      </c>
      <c r="C2359" s="40" t="s">
        <v>56</v>
      </c>
      <c r="D2359" s="40" t="s">
        <v>57</v>
      </c>
      <c r="E2359" s="40" t="s">
        <v>20</v>
      </c>
      <c r="F2359" s="41">
        <v>43467</v>
      </c>
      <c r="G2359" s="41">
        <v>43551</v>
      </c>
      <c r="H2359" s="42">
        <v>0.59722222222222221</v>
      </c>
      <c r="I2359" s="40" t="s">
        <v>207</v>
      </c>
      <c r="J2359" s="40" t="s">
        <v>1152</v>
      </c>
      <c r="K2359" s="40" t="s">
        <v>38</v>
      </c>
      <c r="L2359" s="4"/>
      <c r="M2359" s="4" t="s">
        <v>80</v>
      </c>
    </row>
    <row r="2360" spans="1:13" x14ac:dyDescent="0.25">
      <c r="A2360" s="40" t="s">
        <v>1436</v>
      </c>
      <c r="B2360" s="40" t="s">
        <v>0</v>
      </c>
      <c r="C2360" s="40" t="s">
        <v>56</v>
      </c>
      <c r="D2360" s="40" t="s">
        <v>57</v>
      </c>
      <c r="E2360" s="40" t="s">
        <v>22</v>
      </c>
      <c r="F2360" s="41">
        <v>43449</v>
      </c>
      <c r="G2360" s="41">
        <v>43554</v>
      </c>
      <c r="H2360" s="42">
        <v>0.77083333333333337</v>
      </c>
      <c r="I2360" s="40" t="s">
        <v>14</v>
      </c>
      <c r="J2360" s="40" t="s">
        <v>1153</v>
      </c>
      <c r="K2360" s="40" t="s">
        <v>38</v>
      </c>
      <c r="L2360" s="4"/>
      <c r="M2360" s="4" t="s">
        <v>80</v>
      </c>
    </row>
    <row r="2361" spans="1:13" x14ac:dyDescent="0.25">
      <c r="A2361" s="40" t="s">
        <v>1436</v>
      </c>
      <c r="B2361" s="40" t="s">
        <v>0</v>
      </c>
      <c r="C2361" s="40" t="s">
        <v>70</v>
      </c>
      <c r="D2361" s="40" t="s">
        <v>71</v>
      </c>
      <c r="E2361" s="40" t="s">
        <v>22</v>
      </c>
      <c r="F2361" s="41">
        <v>43407</v>
      </c>
      <c r="G2361" s="41">
        <v>43554</v>
      </c>
      <c r="H2361" s="42">
        <v>0.85416666666666663</v>
      </c>
      <c r="I2361" s="40" t="s">
        <v>207</v>
      </c>
      <c r="J2361" s="40" t="s">
        <v>1728</v>
      </c>
      <c r="K2361" s="40" t="s">
        <v>38</v>
      </c>
      <c r="L2361" s="4"/>
      <c r="M2361" s="4" t="s">
        <v>80</v>
      </c>
    </row>
    <row r="2362" spans="1:13" x14ac:dyDescent="0.25">
      <c r="A2362" s="40" t="s">
        <v>1436</v>
      </c>
      <c r="B2362" s="40" t="s">
        <v>0</v>
      </c>
      <c r="C2362" s="40" t="s">
        <v>1232</v>
      </c>
      <c r="D2362" s="40" t="s">
        <v>128</v>
      </c>
      <c r="E2362" s="40" t="s">
        <v>59</v>
      </c>
      <c r="F2362" s="41">
        <v>43507</v>
      </c>
      <c r="G2362" s="41">
        <v>43549</v>
      </c>
      <c r="H2362" s="42">
        <v>0.5625</v>
      </c>
      <c r="I2362" s="40" t="s">
        <v>14</v>
      </c>
      <c r="J2362" s="40" t="s">
        <v>1729</v>
      </c>
      <c r="K2362" s="40" t="s">
        <v>129</v>
      </c>
      <c r="L2362" s="4"/>
      <c r="M2362" s="4" t="s">
        <v>80</v>
      </c>
    </row>
    <row r="2363" spans="1:13" x14ac:dyDescent="0.25">
      <c r="A2363" s="40" t="s">
        <v>1436</v>
      </c>
      <c r="B2363" s="40" t="s">
        <v>0</v>
      </c>
      <c r="C2363" s="40" t="s">
        <v>512</v>
      </c>
      <c r="D2363" s="40" t="s">
        <v>513</v>
      </c>
      <c r="E2363" s="40" t="s">
        <v>18</v>
      </c>
      <c r="F2363" s="41">
        <v>43408</v>
      </c>
      <c r="G2363" s="41">
        <v>43548</v>
      </c>
      <c r="H2363" s="42">
        <v>0.50694444444444442</v>
      </c>
      <c r="I2363" s="40" t="s">
        <v>352</v>
      </c>
      <c r="J2363" s="40" t="s">
        <v>1730</v>
      </c>
      <c r="K2363" s="40" t="s">
        <v>515</v>
      </c>
      <c r="L2363" s="4"/>
      <c r="M2363" s="4" t="s">
        <v>80</v>
      </c>
    </row>
    <row r="2364" spans="1:13" x14ac:dyDescent="0.25">
      <c r="A2364" s="40" t="s">
        <v>1436</v>
      </c>
      <c r="B2364" s="40" t="s">
        <v>0</v>
      </c>
      <c r="C2364" s="40" t="s">
        <v>512</v>
      </c>
      <c r="D2364" s="40" t="s">
        <v>513</v>
      </c>
      <c r="E2364" s="40" t="s">
        <v>18</v>
      </c>
      <c r="F2364" s="41">
        <v>43506</v>
      </c>
      <c r="G2364" s="41">
        <v>43548</v>
      </c>
      <c r="H2364" s="42">
        <v>0.53472222222222221</v>
      </c>
      <c r="I2364" s="40">
        <v>319</v>
      </c>
      <c r="J2364" s="40" t="s">
        <v>1911</v>
      </c>
      <c r="K2364" s="40" t="s">
        <v>515</v>
      </c>
      <c r="L2364" s="4"/>
      <c r="M2364" s="4" t="s">
        <v>80</v>
      </c>
    </row>
    <row r="2365" spans="1:13" x14ac:dyDescent="0.25">
      <c r="A2365" s="40" t="s">
        <v>1436</v>
      </c>
      <c r="B2365" s="40" t="s">
        <v>0</v>
      </c>
      <c r="C2365" s="40" t="s">
        <v>512</v>
      </c>
      <c r="D2365" s="40" t="s">
        <v>513</v>
      </c>
      <c r="E2365" s="40" t="s">
        <v>19</v>
      </c>
      <c r="F2365" s="41">
        <v>43403</v>
      </c>
      <c r="G2365" s="41">
        <v>43550</v>
      </c>
      <c r="H2365" s="42">
        <v>0.5625</v>
      </c>
      <c r="I2365" s="40" t="s">
        <v>14</v>
      </c>
      <c r="J2365" s="40" t="s">
        <v>1298</v>
      </c>
      <c r="K2365" s="40" t="s">
        <v>515</v>
      </c>
      <c r="L2365" s="4"/>
      <c r="M2365" s="4" t="s">
        <v>80</v>
      </c>
    </row>
    <row r="2366" spans="1:13" x14ac:dyDescent="0.25">
      <c r="A2366" s="40" t="s">
        <v>1436</v>
      </c>
      <c r="B2366" s="40" t="s">
        <v>0</v>
      </c>
      <c r="C2366" s="40" t="s">
        <v>107</v>
      </c>
      <c r="D2366" s="40" t="s">
        <v>108</v>
      </c>
      <c r="E2366" s="40" t="s">
        <v>20</v>
      </c>
      <c r="F2366" s="41">
        <v>43411</v>
      </c>
      <c r="G2366" s="41">
        <v>43551</v>
      </c>
      <c r="H2366" s="42">
        <v>0.56944444444444442</v>
      </c>
      <c r="I2366" s="40" t="s">
        <v>14</v>
      </c>
      <c r="J2366" s="40" t="s">
        <v>1154</v>
      </c>
      <c r="K2366" s="40" t="s">
        <v>38</v>
      </c>
      <c r="L2366" s="4"/>
      <c r="M2366" s="4" t="s">
        <v>80</v>
      </c>
    </row>
    <row r="2367" spans="1:13" x14ac:dyDescent="0.25">
      <c r="A2367" s="40" t="s">
        <v>1436</v>
      </c>
      <c r="B2367" s="40" t="s">
        <v>0</v>
      </c>
      <c r="C2367" s="40" t="s">
        <v>542</v>
      </c>
      <c r="D2367" s="40" t="s">
        <v>543</v>
      </c>
      <c r="E2367" s="40" t="s">
        <v>19</v>
      </c>
      <c r="F2367" s="41">
        <v>43403</v>
      </c>
      <c r="G2367" s="41">
        <v>43550</v>
      </c>
      <c r="H2367" s="42">
        <v>0.55555555555555558</v>
      </c>
      <c r="I2367" s="40" t="s">
        <v>698</v>
      </c>
      <c r="J2367" s="40" t="s">
        <v>1299</v>
      </c>
      <c r="K2367" s="40" t="s">
        <v>544</v>
      </c>
      <c r="L2367" s="4"/>
      <c r="M2367" s="4" t="s">
        <v>80</v>
      </c>
    </row>
    <row r="2368" spans="1:13" x14ac:dyDescent="0.25">
      <c r="A2368" s="40" t="s">
        <v>1436</v>
      </c>
      <c r="B2368" s="40" t="s">
        <v>0</v>
      </c>
      <c r="C2368" s="40" t="s">
        <v>542</v>
      </c>
      <c r="D2368" s="40" t="s">
        <v>543</v>
      </c>
      <c r="E2368" s="40" t="s">
        <v>59</v>
      </c>
      <c r="F2368" s="41">
        <v>43402</v>
      </c>
      <c r="G2368" s="41">
        <v>43549</v>
      </c>
      <c r="H2368" s="42">
        <v>0.59375</v>
      </c>
      <c r="I2368" s="40" t="s">
        <v>39</v>
      </c>
      <c r="J2368" s="40" t="s">
        <v>1300</v>
      </c>
      <c r="K2368" s="40" t="s">
        <v>544</v>
      </c>
      <c r="L2368" s="4"/>
      <c r="M2368" s="4" t="s">
        <v>80</v>
      </c>
    </row>
    <row r="2369" spans="1:13" x14ac:dyDescent="0.25">
      <c r="A2369" s="40" t="s">
        <v>1436</v>
      </c>
      <c r="B2369" s="40" t="s">
        <v>0</v>
      </c>
      <c r="C2369" s="40" t="s">
        <v>542</v>
      </c>
      <c r="D2369" s="40" t="s">
        <v>543</v>
      </c>
      <c r="E2369" s="40" t="s">
        <v>59</v>
      </c>
      <c r="F2369" s="41">
        <v>43402</v>
      </c>
      <c r="G2369" s="41">
        <v>43549</v>
      </c>
      <c r="H2369" s="42">
        <v>0.60069444444444442</v>
      </c>
      <c r="I2369" s="40" t="s">
        <v>39</v>
      </c>
      <c r="J2369" s="40" t="s">
        <v>1302</v>
      </c>
      <c r="K2369" s="40" t="s">
        <v>544</v>
      </c>
      <c r="L2369" s="40"/>
      <c r="M2369" s="4" t="s">
        <v>80</v>
      </c>
    </row>
    <row r="2370" spans="1:13" x14ac:dyDescent="0.25">
      <c r="A2370" s="40" t="s">
        <v>1436</v>
      </c>
      <c r="B2370" s="40" t="s">
        <v>0</v>
      </c>
      <c r="C2370" s="40" t="s">
        <v>542</v>
      </c>
      <c r="D2370" s="40" t="s">
        <v>543</v>
      </c>
      <c r="E2370" s="40" t="s">
        <v>13</v>
      </c>
      <c r="F2370" s="41">
        <v>43489</v>
      </c>
      <c r="G2370" s="41">
        <v>43531</v>
      </c>
      <c r="H2370" s="42">
        <v>0.62152777777777779</v>
      </c>
      <c r="I2370" s="40" t="s">
        <v>39</v>
      </c>
      <c r="J2370" s="40" t="s">
        <v>1301</v>
      </c>
      <c r="K2370" s="40" t="s">
        <v>544</v>
      </c>
      <c r="L2370" s="40"/>
      <c r="M2370" s="4" t="s">
        <v>80</v>
      </c>
    </row>
    <row r="2371" spans="1:13" x14ac:dyDescent="0.25">
      <c r="A2371" s="40" t="s">
        <v>1436</v>
      </c>
      <c r="B2371" s="40" t="s">
        <v>0</v>
      </c>
      <c r="C2371" s="40" t="s">
        <v>828</v>
      </c>
      <c r="D2371" s="40" t="s">
        <v>829</v>
      </c>
      <c r="E2371" s="40" t="s">
        <v>59</v>
      </c>
      <c r="F2371" s="41">
        <v>43402</v>
      </c>
      <c r="G2371" s="41">
        <v>43549</v>
      </c>
      <c r="H2371" s="42">
        <v>0.67013888888888884</v>
      </c>
      <c r="I2371" s="40" t="s">
        <v>14</v>
      </c>
      <c r="J2371" s="40" t="s">
        <v>1731</v>
      </c>
      <c r="K2371" s="40" t="s">
        <v>544</v>
      </c>
      <c r="L2371" s="40"/>
      <c r="M2371" s="4" t="s">
        <v>80</v>
      </c>
    </row>
    <row r="2372" spans="1:13" x14ac:dyDescent="0.25">
      <c r="A2372" s="40" t="s">
        <v>1436</v>
      </c>
      <c r="B2372" s="40" t="s">
        <v>0</v>
      </c>
      <c r="C2372" s="40" t="s">
        <v>593</v>
      </c>
      <c r="D2372" s="40" t="s">
        <v>594</v>
      </c>
      <c r="E2372" s="40" t="s">
        <v>59</v>
      </c>
      <c r="F2372" s="41">
        <v>43402</v>
      </c>
      <c r="G2372" s="41">
        <v>43549</v>
      </c>
      <c r="H2372" s="42">
        <v>0.46875</v>
      </c>
      <c r="I2372" s="40" t="s">
        <v>39</v>
      </c>
      <c r="J2372" s="40" t="s">
        <v>1304</v>
      </c>
      <c r="K2372" s="40" t="s">
        <v>595</v>
      </c>
      <c r="L2372" s="40"/>
      <c r="M2372" s="4" t="s">
        <v>80</v>
      </c>
    </row>
    <row r="2373" spans="1:13" x14ac:dyDescent="0.25">
      <c r="A2373" s="40" t="s">
        <v>1436</v>
      </c>
      <c r="B2373" s="40" t="s">
        <v>0</v>
      </c>
      <c r="C2373" s="40" t="s">
        <v>593</v>
      </c>
      <c r="D2373" s="40" t="s">
        <v>594</v>
      </c>
      <c r="E2373" s="40" t="s">
        <v>59</v>
      </c>
      <c r="F2373" s="41">
        <v>43486</v>
      </c>
      <c r="G2373" s="41">
        <v>43549</v>
      </c>
      <c r="H2373" s="42">
        <v>0.51388888888888895</v>
      </c>
      <c r="I2373" s="40" t="s">
        <v>14</v>
      </c>
      <c r="J2373" s="40" t="s">
        <v>1303</v>
      </c>
      <c r="K2373" s="40" t="s">
        <v>595</v>
      </c>
      <c r="L2373" s="40"/>
      <c r="M2373" s="4" t="s">
        <v>80</v>
      </c>
    </row>
    <row r="2374" spans="1:13" x14ac:dyDescent="0.25">
      <c r="A2374" s="40" t="s">
        <v>1436</v>
      </c>
      <c r="B2374" s="40" t="s">
        <v>0</v>
      </c>
      <c r="C2374" s="40" t="s">
        <v>399</v>
      </c>
      <c r="D2374" s="40" t="s">
        <v>400</v>
      </c>
      <c r="E2374" s="40" t="s">
        <v>13</v>
      </c>
      <c r="F2374" s="41">
        <v>43475</v>
      </c>
      <c r="G2374" s="41">
        <v>43552</v>
      </c>
      <c r="H2374" s="42">
        <v>0.88541666666666663</v>
      </c>
      <c r="I2374" s="40">
        <v>738</v>
      </c>
      <c r="J2374" s="40" t="s">
        <v>1942</v>
      </c>
      <c r="K2374" s="40" t="s">
        <v>129</v>
      </c>
      <c r="L2374" s="40"/>
      <c r="M2374" s="4" t="s">
        <v>80</v>
      </c>
    </row>
    <row r="2375" spans="1:13" x14ac:dyDescent="0.25">
      <c r="A2375" s="40" t="s">
        <v>1436</v>
      </c>
      <c r="B2375" s="40" t="s">
        <v>0</v>
      </c>
      <c r="C2375" s="40" t="s">
        <v>399</v>
      </c>
      <c r="D2375" s="40" t="s">
        <v>400</v>
      </c>
      <c r="E2375" s="40" t="s">
        <v>59</v>
      </c>
      <c r="F2375" s="41">
        <v>43493</v>
      </c>
      <c r="G2375" s="41">
        <v>43521</v>
      </c>
      <c r="H2375" s="42">
        <v>0.94444444444444453</v>
      </c>
      <c r="I2375" s="40" t="s">
        <v>14</v>
      </c>
      <c r="J2375" s="40" t="s">
        <v>1734</v>
      </c>
      <c r="K2375" s="40" t="s">
        <v>129</v>
      </c>
      <c r="L2375" s="40"/>
      <c r="M2375" s="4" t="s">
        <v>80</v>
      </c>
    </row>
    <row r="2376" spans="1:13" x14ac:dyDescent="0.25">
      <c r="A2376" s="40" t="s">
        <v>1436</v>
      </c>
      <c r="B2376" s="40" t="s">
        <v>0</v>
      </c>
      <c r="C2376" s="40" t="s">
        <v>202</v>
      </c>
      <c r="D2376" s="40" t="s">
        <v>203</v>
      </c>
      <c r="E2376" s="40" t="s">
        <v>20</v>
      </c>
      <c r="F2376" s="41">
        <v>43411</v>
      </c>
      <c r="G2376" s="41">
        <v>43551</v>
      </c>
      <c r="H2376" s="42">
        <v>0.57638888888888895</v>
      </c>
      <c r="I2376" s="40" t="s">
        <v>14</v>
      </c>
      <c r="J2376" s="40" t="s">
        <v>1155</v>
      </c>
      <c r="K2376" s="40" t="s">
        <v>38</v>
      </c>
      <c r="L2376" s="40"/>
      <c r="M2376" s="4" t="s">
        <v>80</v>
      </c>
    </row>
    <row r="2377" spans="1:13" x14ac:dyDescent="0.25">
      <c r="A2377" s="40" t="s">
        <v>1436</v>
      </c>
      <c r="B2377" s="40" t="s">
        <v>0</v>
      </c>
      <c r="C2377" s="40" t="s">
        <v>208</v>
      </c>
      <c r="D2377" s="40" t="s">
        <v>209</v>
      </c>
      <c r="E2377" s="40" t="s">
        <v>20</v>
      </c>
      <c r="F2377" s="41">
        <v>43467</v>
      </c>
      <c r="G2377" s="41">
        <v>43551</v>
      </c>
      <c r="H2377" s="42">
        <v>0.50694444444444442</v>
      </c>
      <c r="I2377" s="40" t="s">
        <v>14</v>
      </c>
      <c r="J2377" s="40" t="s">
        <v>1156</v>
      </c>
      <c r="K2377" s="40" t="s">
        <v>38</v>
      </c>
      <c r="L2377" s="40"/>
      <c r="M2377" s="4" t="s">
        <v>80</v>
      </c>
    </row>
    <row r="2378" spans="1:13" x14ac:dyDescent="0.25">
      <c r="A2378" s="40" t="s">
        <v>1436</v>
      </c>
      <c r="B2378" s="40" t="s">
        <v>0</v>
      </c>
      <c r="C2378" s="40" t="s">
        <v>208</v>
      </c>
      <c r="D2378" s="40" t="s">
        <v>209</v>
      </c>
      <c r="E2378" s="40" t="s">
        <v>22</v>
      </c>
      <c r="F2378" s="41">
        <v>43449</v>
      </c>
      <c r="G2378" s="41">
        <v>43554</v>
      </c>
      <c r="H2378" s="42">
        <v>0.77777777777777779</v>
      </c>
      <c r="I2378" s="40" t="s">
        <v>14</v>
      </c>
      <c r="J2378" s="40" t="s">
        <v>1157</v>
      </c>
      <c r="K2378" s="40" t="s">
        <v>38</v>
      </c>
      <c r="L2378" s="40"/>
      <c r="M2378" s="4" t="s">
        <v>80</v>
      </c>
    </row>
    <row r="2379" spans="1:13" x14ac:dyDescent="0.25">
      <c r="A2379" s="40" t="s">
        <v>1436</v>
      </c>
      <c r="B2379" s="40" t="s">
        <v>0</v>
      </c>
      <c r="C2379" s="40" t="s">
        <v>1294</v>
      </c>
      <c r="D2379" s="40" t="s">
        <v>1295</v>
      </c>
      <c r="E2379" s="40" t="s">
        <v>59</v>
      </c>
      <c r="F2379" s="41">
        <v>43402</v>
      </c>
      <c r="G2379" s="41">
        <v>43549</v>
      </c>
      <c r="H2379" s="42">
        <v>0.61111111111111105</v>
      </c>
      <c r="I2379" s="40" t="s">
        <v>39</v>
      </c>
      <c r="J2379" s="40" t="s">
        <v>1735</v>
      </c>
      <c r="K2379" s="40" t="s">
        <v>544</v>
      </c>
      <c r="L2379" s="40" t="s">
        <v>829</v>
      </c>
      <c r="M2379" s="4" t="s">
        <v>80</v>
      </c>
    </row>
    <row r="2380" spans="1:13" x14ac:dyDescent="0.25">
      <c r="A2380" s="40" t="s">
        <v>1436</v>
      </c>
      <c r="B2380" s="40" t="s">
        <v>0</v>
      </c>
      <c r="C2380" s="40" t="s">
        <v>233</v>
      </c>
      <c r="D2380" s="40" t="s">
        <v>234</v>
      </c>
      <c r="E2380" s="40" t="s">
        <v>20</v>
      </c>
      <c r="F2380" s="41">
        <v>43467</v>
      </c>
      <c r="G2380" s="41">
        <v>43551</v>
      </c>
      <c r="H2380" s="42">
        <v>0.56944444444444442</v>
      </c>
      <c r="I2380" s="40" t="s">
        <v>14</v>
      </c>
      <c r="J2380" s="40" t="s">
        <v>1158</v>
      </c>
      <c r="K2380" s="40" t="s">
        <v>38</v>
      </c>
      <c r="L2380" s="40"/>
      <c r="M2380" s="4" t="s">
        <v>80</v>
      </c>
    </row>
    <row r="2381" spans="1:13" x14ac:dyDescent="0.25">
      <c r="A2381" s="40" t="s">
        <v>1436</v>
      </c>
      <c r="B2381" s="40" t="s">
        <v>0</v>
      </c>
      <c r="C2381" s="40" t="s">
        <v>233</v>
      </c>
      <c r="D2381" s="40" t="s">
        <v>234</v>
      </c>
      <c r="E2381" s="40" t="s">
        <v>22</v>
      </c>
      <c r="F2381" s="41">
        <v>43449</v>
      </c>
      <c r="G2381" s="41">
        <v>43554</v>
      </c>
      <c r="H2381" s="42">
        <v>0.84722222222222221</v>
      </c>
      <c r="I2381" s="40" t="s">
        <v>14</v>
      </c>
      <c r="J2381" s="40" t="s">
        <v>1159</v>
      </c>
      <c r="K2381" s="40" t="s">
        <v>38</v>
      </c>
      <c r="L2381" s="40"/>
      <c r="M2381" s="4" t="s">
        <v>80</v>
      </c>
    </row>
    <row r="2382" spans="1:13" x14ac:dyDescent="0.25">
      <c r="A2382" s="40" t="s">
        <v>1436</v>
      </c>
      <c r="B2382" s="40" t="s">
        <v>0</v>
      </c>
      <c r="C2382" s="40" t="s">
        <v>701</v>
      </c>
      <c r="D2382" s="40" t="s">
        <v>702</v>
      </c>
      <c r="E2382" s="40" t="s">
        <v>59</v>
      </c>
      <c r="F2382" s="41">
        <v>43479</v>
      </c>
      <c r="G2382" s="41">
        <v>43549</v>
      </c>
      <c r="H2382" s="42">
        <v>0.60069444444444442</v>
      </c>
      <c r="I2382" s="40" t="s">
        <v>39</v>
      </c>
      <c r="J2382" s="40" t="s">
        <v>1736</v>
      </c>
      <c r="K2382" s="40" t="s">
        <v>488</v>
      </c>
      <c r="L2382" s="40" t="s">
        <v>513</v>
      </c>
      <c r="M2382" s="4" t="s">
        <v>80</v>
      </c>
    </row>
    <row r="2383" spans="1:13" x14ac:dyDescent="0.25">
      <c r="A2383" s="40" t="s">
        <v>1436</v>
      </c>
      <c r="B2383" s="40" t="s">
        <v>0</v>
      </c>
      <c r="C2383" s="40" t="s">
        <v>1305</v>
      </c>
      <c r="D2383" s="40" t="s">
        <v>1306</v>
      </c>
      <c r="E2383" s="40" t="s">
        <v>59</v>
      </c>
      <c r="F2383" s="41">
        <v>43493</v>
      </c>
      <c r="G2383" s="41">
        <v>43521</v>
      </c>
      <c r="H2383" s="42">
        <v>0.3576388888888889</v>
      </c>
      <c r="I2383" s="40" t="s">
        <v>14</v>
      </c>
      <c r="J2383" s="40" t="s">
        <v>1212</v>
      </c>
      <c r="K2383" s="40" t="s">
        <v>1307</v>
      </c>
      <c r="L2383" s="40"/>
      <c r="M2383" s="4" t="s">
        <v>80</v>
      </c>
    </row>
    <row r="2384" spans="1:13" x14ac:dyDescent="0.25">
      <c r="A2384" s="43" t="s">
        <v>1436</v>
      </c>
      <c r="B2384" s="43" t="s">
        <v>0</v>
      </c>
      <c r="C2384" s="43" t="s">
        <v>1162</v>
      </c>
      <c r="D2384" s="43" t="s">
        <v>1163</v>
      </c>
      <c r="E2384" s="43" t="s">
        <v>22</v>
      </c>
      <c r="F2384" s="44">
        <v>43512</v>
      </c>
      <c r="G2384" s="44">
        <v>43512</v>
      </c>
      <c r="H2384" s="45">
        <v>0.54166666666666663</v>
      </c>
      <c r="I2384" s="43" t="s">
        <v>39</v>
      </c>
      <c r="J2384" s="43" t="s">
        <v>1308</v>
      </c>
      <c r="K2384" s="43" t="s">
        <v>515</v>
      </c>
      <c r="L2384" s="43"/>
      <c r="M2384" s="4" t="s">
        <v>138</v>
      </c>
    </row>
    <row r="2385" spans="1:13" x14ac:dyDescent="0.25">
      <c r="A2385" s="43" t="s">
        <v>1436</v>
      </c>
      <c r="B2385" s="43" t="s">
        <v>0</v>
      </c>
      <c r="C2385" s="43" t="s">
        <v>1162</v>
      </c>
      <c r="D2385" s="43" t="s">
        <v>1163</v>
      </c>
      <c r="E2385" s="43" t="s">
        <v>48</v>
      </c>
      <c r="F2385" s="44">
        <v>43441</v>
      </c>
      <c r="G2385" s="44">
        <v>43553</v>
      </c>
      <c r="H2385" s="45">
        <v>0.55902777777777779</v>
      </c>
      <c r="I2385" s="43">
        <v>320</v>
      </c>
      <c r="J2385" s="43" t="s">
        <v>1309</v>
      </c>
      <c r="K2385" s="43" t="s">
        <v>515</v>
      </c>
      <c r="L2385" s="43"/>
      <c r="M2385" s="4" t="s">
        <v>138</v>
      </c>
    </row>
    <row r="2386" spans="1:13" x14ac:dyDescent="0.25">
      <c r="A2386" s="43" t="s">
        <v>1436</v>
      </c>
      <c r="B2386" s="43" t="s">
        <v>0</v>
      </c>
      <c r="C2386" s="43" t="s">
        <v>1162</v>
      </c>
      <c r="D2386" s="43" t="s">
        <v>1163</v>
      </c>
      <c r="E2386" s="43" t="s">
        <v>59</v>
      </c>
      <c r="F2386" s="44">
        <v>43430</v>
      </c>
      <c r="G2386" s="44">
        <v>43549</v>
      </c>
      <c r="H2386" s="45">
        <v>0.58333333333333337</v>
      </c>
      <c r="I2386" s="43" t="s">
        <v>14</v>
      </c>
      <c r="J2386" s="43" t="s">
        <v>1737</v>
      </c>
      <c r="K2386" s="43" t="s">
        <v>515</v>
      </c>
      <c r="L2386" s="43"/>
      <c r="M2386" s="4" t="s">
        <v>138</v>
      </c>
    </row>
    <row r="2387" spans="1:13" x14ac:dyDescent="0.25">
      <c r="A2387" s="43" t="s">
        <v>1436</v>
      </c>
      <c r="B2387" s="43" t="s">
        <v>0</v>
      </c>
      <c r="C2387" s="43" t="s">
        <v>1311</v>
      </c>
      <c r="D2387" s="43" t="s">
        <v>1312</v>
      </c>
      <c r="E2387" s="43" t="s">
        <v>22</v>
      </c>
      <c r="F2387" s="44">
        <v>43407</v>
      </c>
      <c r="G2387" s="44">
        <v>43554</v>
      </c>
      <c r="H2387" s="45">
        <v>0.59027777777777779</v>
      </c>
      <c r="I2387" s="43" t="s">
        <v>14</v>
      </c>
      <c r="J2387" s="43" t="s">
        <v>1313</v>
      </c>
      <c r="K2387" s="43" t="s">
        <v>488</v>
      </c>
      <c r="L2387" s="43"/>
      <c r="M2387" s="4" t="s">
        <v>138</v>
      </c>
    </row>
    <row r="2388" spans="1:13" x14ac:dyDescent="0.25">
      <c r="A2388" s="43" t="s">
        <v>1436</v>
      </c>
      <c r="B2388" s="43" t="s">
        <v>0</v>
      </c>
      <c r="C2388" s="43" t="s">
        <v>1311</v>
      </c>
      <c r="D2388" s="43" t="s">
        <v>1312</v>
      </c>
      <c r="E2388" s="43" t="s">
        <v>22</v>
      </c>
      <c r="F2388" s="44">
        <v>43407</v>
      </c>
      <c r="G2388" s="44">
        <v>43554</v>
      </c>
      <c r="H2388" s="45">
        <v>0.67361111111111116</v>
      </c>
      <c r="I2388" s="43" t="s">
        <v>14</v>
      </c>
      <c r="J2388" s="43" t="s">
        <v>1314</v>
      </c>
      <c r="K2388" s="43" t="s">
        <v>488</v>
      </c>
      <c r="L2388" s="43"/>
      <c r="M2388" s="4" t="s">
        <v>138</v>
      </c>
    </row>
    <row r="2389" spans="1:13" x14ac:dyDescent="0.25">
      <c r="A2389" s="43" t="s">
        <v>1436</v>
      </c>
      <c r="B2389" s="43" t="s">
        <v>0</v>
      </c>
      <c r="C2389" s="43" t="s">
        <v>11</v>
      </c>
      <c r="D2389" s="43" t="s">
        <v>12</v>
      </c>
      <c r="E2389" s="43" t="s">
        <v>18</v>
      </c>
      <c r="F2389" s="44">
        <v>43408</v>
      </c>
      <c r="G2389" s="44">
        <v>43548</v>
      </c>
      <c r="H2389" s="45">
        <v>0.50694444444444442</v>
      </c>
      <c r="I2389" s="43" t="s">
        <v>14</v>
      </c>
      <c r="J2389" s="43" t="s">
        <v>1738</v>
      </c>
      <c r="K2389" s="43" t="s">
        <v>16</v>
      </c>
      <c r="L2389" s="43"/>
      <c r="M2389" s="4" t="s">
        <v>138</v>
      </c>
    </row>
    <row r="2390" spans="1:13" x14ac:dyDescent="0.25">
      <c r="A2390" s="43" t="s">
        <v>1436</v>
      </c>
      <c r="B2390" s="43" t="s">
        <v>0</v>
      </c>
      <c r="C2390" s="43" t="s">
        <v>11</v>
      </c>
      <c r="D2390" s="43" t="s">
        <v>12</v>
      </c>
      <c r="E2390" s="43" t="s">
        <v>48</v>
      </c>
      <c r="F2390" s="44">
        <v>43476</v>
      </c>
      <c r="G2390" s="44">
        <v>43553</v>
      </c>
      <c r="H2390" s="45">
        <v>0.54861111111111105</v>
      </c>
      <c r="I2390" s="43" t="s">
        <v>14</v>
      </c>
      <c r="J2390" s="43" t="s">
        <v>1726</v>
      </c>
      <c r="K2390" s="43" t="s">
        <v>16</v>
      </c>
      <c r="L2390" s="43" t="s">
        <v>80</v>
      </c>
      <c r="M2390" s="4" t="s">
        <v>138</v>
      </c>
    </row>
    <row r="2391" spans="1:13" x14ac:dyDescent="0.25">
      <c r="A2391" s="43" t="s">
        <v>1436</v>
      </c>
      <c r="B2391" s="43" t="s">
        <v>0</v>
      </c>
      <c r="C2391" s="43" t="s">
        <v>1315</v>
      </c>
      <c r="D2391" s="43" t="s">
        <v>1316</v>
      </c>
      <c r="E2391" s="43" t="s">
        <v>20</v>
      </c>
      <c r="F2391" s="44">
        <v>43404</v>
      </c>
      <c r="G2391" s="44">
        <v>43523</v>
      </c>
      <c r="H2391" s="45">
        <v>0.61111111111111105</v>
      </c>
      <c r="I2391" s="43" t="s">
        <v>81</v>
      </c>
      <c r="J2391" s="43" t="s">
        <v>1317</v>
      </c>
      <c r="K2391" s="43" t="s">
        <v>544</v>
      </c>
      <c r="L2391" s="43"/>
      <c r="M2391" s="4" t="s">
        <v>138</v>
      </c>
    </row>
    <row r="2392" spans="1:13" x14ac:dyDescent="0.25">
      <c r="A2392" s="43" t="s">
        <v>1436</v>
      </c>
      <c r="B2392" s="43" t="s">
        <v>0</v>
      </c>
      <c r="C2392" s="43" t="s">
        <v>486</v>
      </c>
      <c r="D2392" s="43" t="s">
        <v>487</v>
      </c>
      <c r="E2392" s="43" t="s">
        <v>48</v>
      </c>
      <c r="F2392" s="44">
        <v>43511</v>
      </c>
      <c r="G2392" s="44">
        <v>43511</v>
      </c>
      <c r="H2392" s="45">
        <v>0.56597222222222221</v>
      </c>
      <c r="I2392" s="43" t="s">
        <v>39</v>
      </c>
      <c r="J2392" s="43" t="s">
        <v>1319</v>
      </c>
      <c r="K2392" s="43" t="s">
        <v>488</v>
      </c>
      <c r="L2392" s="43"/>
      <c r="M2392" s="4" t="s">
        <v>138</v>
      </c>
    </row>
    <row r="2393" spans="1:13" x14ac:dyDescent="0.25">
      <c r="A2393" s="43" t="s">
        <v>1436</v>
      </c>
      <c r="B2393" s="43" t="s">
        <v>0</v>
      </c>
      <c r="C2393" s="43" t="s">
        <v>486</v>
      </c>
      <c r="D2393" s="43" t="s">
        <v>487</v>
      </c>
      <c r="E2393" s="43" t="s">
        <v>22</v>
      </c>
      <c r="F2393" s="44">
        <v>43463</v>
      </c>
      <c r="G2393" s="44">
        <v>43526</v>
      </c>
      <c r="H2393" s="45">
        <v>0.60069444444444442</v>
      </c>
      <c r="I2393" s="43" t="s">
        <v>39</v>
      </c>
      <c r="J2393" s="43" t="s">
        <v>1318</v>
      </c>
      <c r="K2393" s="43" t="s">
        <v>488</v>
      </c>
      <c r="L2393" s="43"/>
      <c r="M2393" s="4" t="s">
        <v>138</v>
      </c>
    </row>
    <row r="2394" spans="1:13" x14ac:dyDescent="0.25">
      <c r="A2394" s="43" t="s">
        <v>1436</v>
      </c>
      <c r="B2394" s="43" t="s">
        <v>0</v>
      </c>
      <c r="C2394" s="43" t="s">
        <v>486</v>
      </c>
      <c r="D2394" s="43" t="s">
        <v>487</v>
      </c>
      <c r="E2394" s="43" t="s">
        <v>20</v>
      </c>
      <c r="F2394" s="44">
        <v>43404</v>
      </c>
      <c r="G2394" s="44">
        <v>43551</v>
      </c>
      <c r="H2394" s="45">
        <v>0.66666666666666663</v>
      </c>
      <c r="I2394" s="43" t="s">
        <v>14</v>
      </c>
      <c r="J2394" s="43" t="s">
        <v>1321</v>
      </c>
      <c r="K2394" s="43" t="s">
        <v>488</v>
      </c>
      <c r="L2394" s="43"/>
      <c r="M2394" s="4" t="s">
        <v>138</v>
      </c>
    </row>
    <row r="2395" spans="1:13" x14ac:dyDescent="0.25">
      <c r="A2395" s="43" t="s">
        <v>1436</v>
      </c>
      <c r="B2395" s="43" t="s">
        <v>0</v>
      </c>
      <c r="C2395" s="43" t="s">
        <v>486</v>
      </c>
      <c r="D2395" s="43" t="s">
        <v>487</v>
      </c>
      <c r="E2395" s="43" t="s">
        <v>22</v>
      </c>
      <c r="F2395" s="44">
        <v>43407</v>
      </c>
      <c r="G2395" s="44">
        <v>43554</v>
      </c>
      <c r="H2395" s="45">
        <v>0.67013888888888884</v>
      </c>
      <c r="I2395" s="43">
        <v>738</v>
      </c>
      <c r="J2395" s="43" t="s">
        <v>1320</v>
      </c>
      <c r="K2395" s="43" t="s">
        <v>488</v>
      </c>
      <c r="L2395" s="43"/>
      <c r="M2395" s="4" t="s">
        <v>138</v>
      </c>
    </row>
    <row r="2396" spans="1:13" x14ac:dyDescent="0.25">
      <c r="A2396" s="43" t="s">
        <v>1436</v>
      </c>
      <c r="B2396" s="43" t="s">
        <v>0</v>
      </c>
      <c r="C2396" s="43" t="s">
        <v>486</v>
      </c>
      <c r="D2396" s="43" t="s">
        <v>487</v>
      </c>
      <c r="E2396" s="43" t="s">
        <v>22</v>
      </c>
      <c r="F2396" s="44">
        <v>43407</v>
      </c>
      <c r="G2396" s="44">
        <v>43554</v>
      </c>
      <c r="H2396" s="45">
        <v>0.73611111111111116</v>
      </c>
      <c r="I2396" s="43" t="s">
        <v>14</v>
      </c>
      <c r="J2396" s="43" t="s">
        <v>1321</v>
      </c>
      <c r="K2396" s="43" t="s">
        <v>488</v>
      </c>
      <c r="L2396" s="43"/>
      <c r="M2396" s="4" t="s">
        <v>138</v>
      </c>
    </row>
    <row r="2397" spans="1:13" x14ac:dyDescent="0.25">
      <c r="A2397" s="43" t="s">
        <v>1436</v>
      </c>
      <c r="B2397" s="43" t="s">
        <v>0</v>
      </c>
      <c r="C2397" s="43" t="s">
        <v>42</v>
      </c>
      <c r="D2397" s="43" t="s">
        <v>43</v>
      </c>
      <c r="E2397" s="43" t="s">
        <v>22</v>
      </c>
      <c r="F2397" s="44">
        <v>43512</v>
      </c>
      <c r="G2397" s="44">
        <v>43512</v>
      </c>
      <c r="H2397" s="45">
        <v>0.4826388888888889</v>
      </c>
      <c r="I2397" s="43">
        <v>321</v>
      </c>
      <c r="J2397" s="43" t="s">
        <v>1943</v>
      </c>
      <c r="K2397" s="43" t="s">
        <v>45</v>
      </c>
      <c r="L2397" s="43"/>
      <c r="M2397" s="4" t="s">
        <v>138</v>
      </c>
    </row>
    <row r="2398" spans="1:13" x14ac:dyDescent="0.25">
      <c r="A2398" s="43" t="s">
        <v>1436</v>
      </c>
      <c r="B2398" s="43" t="s">
        <v>0</v>
      </c>
      <c r="C2398" s="43" t="s">
        <v>46</v>
      </c>
      <c r="D2398" s="43" t="s">
        <v>47</v>
      </c>
      <c r="E2398" s="43" t="s">
        <v>48</v>
      </c>
      <c r="F2398" s="44">
        <v>43511</v>
      </c>
      <c r="G2398" s="44">
        <v>43546</v>
      </c>
      <c r="H2398" s="45">
        <v>0.59722222222222221</v>
      </c>
      <c r="I2398" s="43">
        <v>320</v>
      </c>
      <c r="J2398" s="43" t="s">
        <v>1944</v>
      </c>
      <c r="K2398" s="43" t="s">
        <v>45</v>
      </c>
      <c r="L2398" s="43"/>
      <c r="M2398" s="4" t="s">
        <v>138</v>
      </c>
    </row>
    <row r="2399" spans="1:13" x14ac:dyDescent="0.25">
      <c r="A2399" s="43" t="s">
        <v>1436</v>
      </c>
      <c r="B2399" s="43" t="s">
        <v>0</v>
      </c>
      <c r="C2399" s="43" t="s">
        <v>784</v>
      </c>
      <c r="D2399" s="43" t="s">
        <v>785</v>
      </c>
      <c r="E2399" s="43" t="s">
        <v>13</v>
      </c>
      <c r="F2399" s="44">
        <v>43510</v>
      </c>
      <c r="G2399" s="44">
        <v>43510</v>
      </c>
      <c r="H2399" s="45">
        <v>0.52083333333333337</v>
      </c>
      <c r="I2399" s="43" t="s">
        <v>39</v>
      </c>
      <c r="J2399" s="43" t="s">
        <v>1323</v>
      </c>
      <c r="K2399" s="43" t="s">
        <v>515</v>
      </c>
      <c r="L2399" s="43"/>
      <c r="M2399" s="4" t="s">
        <v>138</v>
      </c>
    </row>
    <row r="2400" spans="1:13" x14ac:dyDescent="0.25">
      <c r="A2400" s="43" t="s">
        <v>1436</v>
      </c>
      <c r="B2400" s="43" t="s">
        <v>0</v>
      </c>
      <c r="C2400" s="43" t="s">
        <v>784</v>
      </c>
      <c r="D2400" s="43" t="s">
        <v>785</v>
      </c>
      <c r="E2400" s="43" t="s">
        <v>22</v>
      </c>
      <c r="F2400" s="44">
        <v>43512</v>
      </c>
      <c r="G2400" s="44">
        <v>43512</v>
      </c>
      <c r="H2400" s="45">
        <v>0.53472222222222221</v>
      </c>
      <c r="I2400" s="43" t="s">
        <v>39</v>
      </c>
      <c r="J2400" s="43" t="s">
        <v>1322</v>
      </c>
      <c r="K2400" s="43" t="s">
        <v>515</v>
      </c>
      <c r="L2400" s="4"/>
      <c r="M2400" s="4" t="s">
        <v>138</v>
      </c>
    </row>
    <row r="2401" spans="1:13" x14ac:dyDescent="0.25">
      <c r="A2401" s="43" t="s">
        <v>1436</v>
      </c>
      <c r="B2401" s="43" t="s">
        <v>0</v>
      </c>
      <c r="C2401" s="43" t="s">
        <v>784</v>
      </c>
      <c r="D2401" s="43" t="s">
        <v>785</v>
      </c>
      <c r="E2401" s="43" t="s">
        <v>20</v>
      </c>
      <c r="F2401" s="44">
        <v>43502</v>
      </c>
      <c r="G2401" s="44">
        <v>43537</v>
      </c>
      <c r="H2401" s="45">
        <v>0.54861111111111105</v>
      </c>
      <c r="I2401" s="43" t="s">
        <v>39</v>
      </c>
      <c r="J2401" s="43" t="s">
        <v>1166</v>
      </c>
      <c r="K2401" s="43" t="s">
        <v>515</v>
      </c>
      <c r="L2401" s="4"/>
      <c r="M2401" s="4" t="s">
        <v>138</v>
      </c>
    </row>
    <row r="2402" spans="1:13" x14ac:dyDescent="0.25">
      <c r="A2402" s="43" t="s">
        <v>1436</v>
      </c>
      <c r="B2402" s="43" t="s">
        <v>0</v>
      </c>
      <c r="C2402" s="43" t="s">
        <v>784</v>
      </c>
      <c r="D2402" s="43" t="s">
        <v>785</v>
      </c>
      <c r="E2402" s="43" t="s">
        <v>13</v>
      </c>
      <c r="F2402" s="44">
        <v>43405</v>
      </c>
      <c r="G2402" s="44">
        <v>43552</v>
      </c>
      <c r="H2402" s="45">
        <v>0.57291666666666663</v>
      </c>
      <c r="I2402" s="43" t="s">
        <v>81</v>
      </c>
      <c r="J2402" s="43" t="s">
        <v>1324</v>
      </c>
      <c r="K2402" s="43" t="s">
        <v>515</v>
      </c>
      <c r="L2402" s="4"/>
      <c r="M2402" s="4" t="s">
        <v>138</v>
      </c>
    </row>
    <row r="2403" spans="1:13" x14ac:dyDescent="0.25">
      <c r="A2403" s="43" t="s">
        <v>1436</v>
      </c>
      <c r="B2403" s="43" t="s">
        <v>0</v>
      </c>
      <c r="C2403" s="43" t="s">
        <v>784</v>
      </c>
      <c r="D2403" s="43" t="s">
        <v>785</v>
      </c>
      <c r="E2403" s="43" t="s">
        <v>18</v>
      </c>
      <c r="F2403" s="44">
        <v>43422</v>
      </c>
      <c r="G2403" s="44">
        <v>43548</v>
      </c>
      <c r="H2403" s="45">
        <v>0.57291666666666663</v>
      </c>
      <c r="I2403" s="43" t="s">
        <v>81</v>
      </c>
      <c r="J2403" s="43" t="s">
        <v>1325</v>
      </c>
      <c r="K2403" s="43" t="s">
        <v>515</v>
      </c>
      <c r="L2403" s="4"/>
      <c r="M2403" s="4" t="s">
        <v>138</v>
      </c>
    </row>
    <row r="2404" spans="1:13" x14ac:dyDescent="0.25">
      <c r="A2404" s="43" t="s">
        <v>1436</v>
      </c>
      <c r="B2404" s="43" t="s">
        <v>0</v>
      </c>
      <c r="C2404" s="43" t="s">
        <v>784</v>
      </c>
      <c r="D2404" s="43" t="s">
        <v>785</v>
      </c>
      <c r="E2404" s="43" t="s">
        <v>22</v>
      </c>
      <c r="F2404" s="44">
        <v>43407</v>
      </c>
      <c r="G2404" s="44">
        <v>43554</v>
      </c>
      <c r="H2404" s="45">
        <v>0.625</v>
      </c>
      <c r="I2404" s="43">
        <v>321</v>
      </c>
      <c r="J2404" s="43" t="s">
        <v>1326</v>
      </c>
      <c r="K2404" s="43" t="s">
        <v>515</v>
      </c>
      <c r="L2404" s="4"/>
      <c r="M2404" s="4" t="s">
        <v>138</v>
      </c>
    </row>
    <row r="2405" spans="1:13" x14ac:dyDescent="0.25">
      <c r="A2405" s="43" t="s">
        <v>1436</v>
      </c>
      <c r="B2405" s="43" t="s">
        <v>0</v>
      </c>
      <c r="C2405" s="43" t="s">
        <v>784</v>
      </c>
      <c r="D2405" s="43" t="s">
        <v>785</v>
      </c>
      <c r="E2405" s="43" t="s">
        <v>22</v>
      </c>
      <c r="F2405" s="44">
        <v>43456</v>
      </c>
      <c r="G2405" s="44">
        <v>43554</v>
      </c>
      <c r="H2405" s="45">
        <v>0.78472222222222221</v>
      </c>
      <c r="I2405" s="43" t="s">
        <v>14</v>
      </c>
      <c r="J2405" s="43" t="s">
        <v>1871</v>
      </c>
      <c r="K2405" s="43" t="s">
        <v>515</v>
      </c>
      <c r="L2405" s="4"/>
      <c r="M2405" s="4" t="s">
        <v>138</v>
      </c>
    </row>
    <row r="2406" spans="1:13" x14ac:dyDescent="0.25">
      <c r="A2406" s="43" t="s">
        <v>1436</v>
      </c>
      <c r="B2406" s="43" t="s">
        <v>0</v>
      </c>
      <c r="C2406" s="43" t="s">
        <v>56</v>
      </c>
      <c r="D2406" s="43" t="s">
        <v>57</v>
      </c>
      <c r="E2406" s="43" t="s">
        <v>59</v>
      </c>
      <c r="F2406" s="44">
        <v>43409</v>
      </c>
      <c r="G2406" s="44">
        <v>43549</v>
      </c>
      <c r="H2406" s="45">
        <v>0.66319444444444442</v>
      </c>
      <c r="I2406" s="43" t="s">
        <v>207</v>
      </c>
      <c r="J2406" s="43" t="s">
        <v>1168</v>
      </c>
      <c r="K2406" s="43" t="s">
        <v>38</v>
      </c>
      <c r="L2406" s="4"/>
      <c r="M2406" s="4" t="s">
        <v>138</v>
      </c>
    </row>
    <row r="2407" spans="1:13" x14ac:dyDescent="0.25">
      <c r="A2407" s="43" t="s">
        <v>1436</v>
      </c>
      <c r="B2407" s="43" t="s">
        <v>0</v>
      </c>
      <c r="C2407" s="43" t="s">
        <v>56</v>
      </c>
      <c r="D2407" s="43" t="s">
        <v>57</v>
      </c>
      <c r="E2407" s="43" t="s">
        <v>22</v>
      </c>
      <c r="F2407" s="44">
        <v>43463</v>
      </c>
      <c r="G2407" s="44">
        <v>43554</v>
      </c>
      <c r="H2407" s="45">
        <v>0.80555555555555547</v>
      </c>
      <c r="I2407" s="43" t="s">
        <v>14</v>
      </c>
      <c r="J2407" s="43" t="s">
        <v>1167</v>
      </c>
      <c r="K2407" s="43" t="s">
        <v>38</v>
      </c>
      <c r="L2407" s="4"/>
      <c r="M2407" s="4" t="s">
        <v>138</v>
      </c>
    </row>
    <row r="2408" spans="1:13" x14ac:dyDescent="0.25">
      <c r="A2408" s="43" t="s">
        <v>1436</v>
      </c>
      <c r="B2408" s="43" t="s">
        <v>0</v>
      </c>
      <c r="C2408" s="43" t="s">
        <v>1244</v>
      </c>
      <c r="D2408" s="43" t="s">
        <v>1245</v>
      </c>
      <c r="E2408" s="43" t="s">
        <v>20</v>
      </c>
      <c r="F2408" s="44">
        <v>43509</v>
      </c>
      <c r="G2408" s="44">
        <v>43516</v>
      </c>
      <c r="H2408" s="45">
        <v>0.28819444444444448</v>
      </c>
      <c r="I2408" s="43" t="s">
        <v>39</v>
      </c>
      <c r="J2408" s="43" t="s">
        <v>1327</v>
      </c>
      <c r="K2408" s="43" t="s">
        <v>488</v>
      </c>
      <c r="L2408" s="4"/>
      <c r="M2408" s="4" t="s">
        <v>138</v>
      </c>
    </row>
    <row r="2409" spans="1:13" x14ac:dyDescent="0.25">
      <c r="A2409" s="43" t="s">
        <v>1436</v>
      </c>
      <c r="B2409" s="43" t="s">
        <v>0</v>
      </c>
      <c r="C2409" s="43" t="s">
        <v>1328</v>
      </c>
      <c r="D2409" s="43" t="s">
        <v>1329</v>
      </c>
      <c r="E2409" s="43" t="s">
        <v>48</v>
      </c>
      <c r="F2409" s="44">
        <v>43406</v>
      </c>
      <c r="G2409" s="44">
        <v>43553</v>
      </c>
      <c r="H2409" s="45">
        <v>0.33333333333333331</v>
      </c>
      <c r="I2409" s="43" t="s">
        <v>14</v>
      </c>
      <c r="J2409" s="43" t="s">
        <v>1330</v>
      </c>
      <c r="K2409" s="43" t="s">
        <v>544</v>
      </c>
      <c r="L2409" s="4"/>
      <c r="M2409" s="4" t="s">
        <v>138</v>
      </c>
    </row>
    <row r="2410" spans="1:13" x14ac:dyDescent="0.25">
      <c r="A2410" s="43" t="s">
        <v>1436</v>
      </c>
      <c r="B2410" s="43" t="s">
        <v>0</v>
      </c>
      <c r="C2410" s="43" t="s">
        <v>499</v>
      </c>
      <c r="D2410" s="43" t="s">
        <v>500</v>
      </c>
      <c r="E2410" s="43" t="s">
        <v>59</v>
      </c>
      <c r="F2410" s="44">
        <v>43409</v>
      </c>
      <c r="G2410" s="44">
        <v>43549</v>
      </c>
      <c r="H2410" s="45">
        <v>0.56597222222222221</v>
      </c>
      <c r="I2410" s="43" t="s">
        <v>14</v>
      </c>
      <c r="J2410" s="43" t="s">
        <v>1169</v>
      </c>
      <c r="K2410" s="43" t="s">
        <v>38</v>
      </c>
      <c r="L2410" s="4"/>
      <c r="M2410" s="4" t="s">
        <v>138</v>
      </c>
    </row>
    <row r="2411" spans="1:13" x14ac:dyDescent="0.25">
      <c r="A2411" s="43" t="s">
        <v>1436</v>
      </c>
      <c r="B2411" s="43" t="s">
        <v>0</v>
      </c>
      <c r="C2411" s="43" t="s">
        <v>70</v>
      </c>
      <c r="D2411" s="43" t="s">
        <v>71</v>
      </c>
      <c r="E2411" s="43" t="s">
        <v>59</v>
      </c>
      <c r="F2411" s="44">
        <v>43402</v>
      </c>
      <c r="G2411" s="44">
        <v>43549</v>
      </c>
      <c r="H2411" s="45">
        <v>0.65972222222222221</v>
      </c>
      <c r="I2411" s="43" t="s">
        <v>207</v>
      </c>
      <c r="J2411" s="43" t="s">
        <v>1170</v>
      </c>
      <c r="K2411" s="43" t="s">
        <v>38</v>
      </c>
      <c r="L2411" s="4"/>
      <c r="M2411" s="4" t="s">
        <v>138</v>
      </c>
    </row>
    <row r="2412" spans="1:13" x14ac:dyDescent="0.25">
      <c r="A2412" s="43" t="s">
        <v>1436</v>
      </c>
      <c r="B2412" s="43" t="s">
        <v>0</v>
      </c>
      <c r="C2412" s="43" t="s">
        <v>86</v>
      </c>
      <c r="D2412" s="43" t="s">
        <v>87</v>
      </c>
      <c r="E2412" s="43" t="s">
        <v>22</v>
      </c>
      <c r="F2412" s="44">
        <v>43407</v>
      </c>
      <c r="G2412" s="44">
        <v>43554</v>
      </c>
      <c r="H2412" s="45">
        <v>0.79166666666666663</v>
      </c>
      <c r="I2412" s="43" t="s">
        <v>14</v>
      </c>
      <c r="J2412" s="43" t="s">
        <v>1171</v>
      </c>
      <c r="K2412" s="43" t="s">
        <v>38</v>
      </c>
      <c r="L2412" s="4"/>
      <c r="M2412" s="4" t="s">
        <v>138</v>
      </c>
    </row>
    <row r="2413" spans="1:13" x14ac:dyDescent="0.25">
      <c r="A2413" s="43" t="s">
        <v>1436</v>
      </c>
      <c r="B2413" s="43" t="s">
        <v>0</v>
      </c>
      <c r="C2413" s="43" t="s">
        <v>88</v>
      </c>
      <c r="D2413" s="43" t="s">
        <v>89</v>
      </c>
      <c r="E2413" s="43" t="s">
        <v>22</v>
      </c>
      <c r="F2413" s="44">
        <v>43463</v>
      </c>
      <c r="G2413" s="44">
        <v>43554</v>
      </c>
      <c r="H2413" s="45">
        <v>0.82638888888888884</v>
      </c>
      <c r="I2413" s="43">
        <v>319</v>
      </c>
      <c r="J2413" s="43" t="s">
        <v>1872</v>
      </c>
      <c r="K2413" s="43" t="s">
        <v>45</v>
      </c>
      <c r="L2413" s="4"/>
      <c r="M2413" s="4" t="s">
        <v>138</v>
      </c>
    </row>
    <row r="2414" spans="1:13" x14ac:dyDescent="0.25">
      <c r="A2414" s="43" t="s">
        <v>1436</v>
      </c>
      <c r="B2414" s="43" t="s">
        <v>0</v>
      </c>
      <c r="C2414" s="43" t="s">
        <v>88</v>
      </c>
      <c r="D2414" s="43" t="s">
        <v>89</v>
      </c>
      <c r="E2414" s="43" t="s">
        <v>48</v>
      </c>
      <c r="F2414" s="44">
        <v>43511</v>
      </c>
      <c r="G2414" s="44">
        <v>43546</v>
      </c>
      <c r="H2414" s="45">
        <v>0.84027777777777779</v>
      </c>
      <c r="I2414" s="43" t="s">
        <v>14</v>
      </c>
      <c r="J2414" s="43" t="s">
        <v>1945</v>
      </c>
      <c r="K2414" s="43" t="s">
        <v>45</v>
      </c>
      <c r="L2414" s="4"/>
      <c r="M2414" s="4" t="s">
        <v>138</v>
      </c>
    </row>
    <row r="2415" spans="1:13" x14ac:dyDescent="0.25">
      <c r="A2415" s="43" t="s">
        <v>1436</v>
      </c>
      <c r="B2415" s="43" t="s">
        <v>0</v>
      </c>
      <c r="C2415" s="43" t="s">
        <v>512</v>
      </c>
      <c r="D2415" s="43" t="s">
        <v>513</v>
      </c>
      <c r="E2415" s="43" t="s">
        <v>20</v>
      </c>
      <c r="F2415" s="44">
        <v>43404</v>
      </c>
      <c r="G2415" s="44">
        <v>43551</v>
      </c>
      <c r="H2415" s="45">
        <v>0.54861111111111105</v>
      </c>
      <c r="I2415" s="43" t="s">
        <v>39</v>
      </c>
      <c r="J2415" s="43" t="s">
        <v>1335</v>
      </c>
      <c r="K2415" s="43" t="s">
        <v>515</v>
      </c>
      <c r="L2415" s="4"/>
      <c r="M2415" s="4" t="s">
        <v>138</v>
      </c>
    </row>
    <row r="2416" spans="1:13" x14ac:dyDescent="0.25">
      <c r="A2416" s="43" t="s">
        <v>1436</v>
      </c>
      <c r="B2416" s="43" t="s">
        <v>0</v>
      </c>
      <c r="C2416" s="43" t="s">
        <v>512</v>
      </c>
      <c r="D2416" s="43" t="s">
        <v>513</v>
      </c>
      <c r="E2416" s="43" t="s">
        <v>48</v>
      </c>
      <c r="F2416" s="44">
        <v>43511</v>
      </c>
      <c r="G2416" s="44">
        <v>43511</v>
      </c>
      <c r="H2416" s="45">
        <v>0.56597222222222221</v>
      </c>
      <c r="I2416" s="43" t="s">
        <v>39</v>
      </c>
      <c r="J2416" s="43" t="s">
        <v>1331</v>
      </c>
      <c r="K2416" s="43" t="s">
        <v>515</v>
      </c>
      <c r="L2416" s="4"/>
      <c r="M2416" s="4" t="s">
        <v>138</v>
      </c>
    </row>
    <row r="2417" spans="1:13" x14ac:dyDescent="0.25">
      <c r="A2417" s="43" t="s">
        <v>1436</v>
      </c>
      <c r="B2417" s="43" t="s">
        <v>0</v>
      </c>
      <c r="C2417" s="43" t="s">
        <v>512</v>
      </c>
      <c r="D2417" s="43" t="s">
        <v>513</v>
      </c>
      <c r="E2417" s="43" t="s">
        <v>18</v>
      </c>
      <c r="F2417" s="44">
        <v>43401</v>
      </c>
      <c r="G2417" s="44">
        <v>43548</v>
      </c>
      <c r="H2417" s="45">
        <v>0.56944444444444442</v>
      </c>
      <c r="I2417" s="43" t="s">
        <v>14</v>
      </c>
      <c r="J2417" s="43" t="s">
        <v>1334</v>
      </c>
      <c r="K2417" s="43" t="s">
        <v>515</v>
      </c>
      <c r="L2417" s="4"/>
      <c r="M2417" s="4" t="s">
        <v>138</v>
      </c>
    </row>
    <row r="2418" spans="1:13" x14ac:dyDescent="0.25">
      <c r="A2418" s="43" t="s">
        <v>1436</v>
      </c>
      <c r="B2418" s="43" t="s">
        <v>0</v>
      </c>
      <c r="C2418" s="43" t="s">
        <v>512</v>
      </c>
      <c r="D2418" s="43" t="s">
        <v>513</v>
      </c>
      <c r="E2418" s="43" t="s">
        <v>22</v>
      </c>
      <c r="F2418" s="44">
        <v>43407</v>
      </c>
      <c r="G2418" s="44">
        <v>43554</v>
      </c>
      <c r="H2418" s="45">
        <v>0.57986111111111105</v>
      </c>
      <c r="I2418" s="43" t="s">
        <v>39</v>
      </c>
      <c r="J2418" s="43" t="s">
        <v>1332</v>
      </c>
      <c r="K2418" s="43" t="s">
        <v>515</v>
      </c>
      <c r="L2418" s="4"/>
      <c r="M2418" s="4" t="s">
        <v>138</v>
      </c>
    </row>
    <row r="2419" spans="1:13" x14ac:dyDescent="0.25">
      <c r="A2419" s="43" t="s">
        <v>1436</v>
      </c>
      <c r="B2419" s="43" t="s">
        <v>0</v>
      </c>
      <c r="C2419" s="43" t="s">
        <v>512</v>
      </c>
      <c r="D2419" s="43" t="s">
        <v>513</v>
      </c>
      <c r="E2419" s="43" t="s">
        <v>59</v>
      </c>
      <c r="F2419" s="44">
        <v>43416</v>
      </c>
      <c r="G2419" s="44">
        <v>43549</v>
      </c>
      <c r="H2419" s="45">
        <v>0.57986111111111105</v>
      </c>
      <c r="I2419" s="43" t="s">
        <v>39</v>
      </c>
      <c r="J2419" s="43" t="s">
        <v>1333</v>
      </c>
      <c r="K2419" s="43" t="s">
        <v>515</v>
      </c>
      <c r="L2419" s="4"/>
      <c r="M2419" s="4" t="s">
        <v>138</v>
      </c>
    </row>
    <row r="2420" spans="1:13" x14ac:dyDescent="0.25">
      <c r="A2420" s="43" t="s">
        <v>1436</v>
      </c>
      <c r="B2420" s="43" t="s">
        <v>0</v>
      </c>
      <c r="C2420" s="43" t="s">
        <v>512</v>
      </c>
      <c r="D2420" s="43" t="s">
        <v>513</v>
      </c>
      <c r="E2420" s="43" t="s">
        <v>20</v>
      </c>
      <c r="F2420" s="44">
        <v>43425</v>
      </c>
      <c r="G2420" s="44">
        <v>43551</v>
      </c>
      <c r="H2420" s="45">
        <v>0.63888888888888895</v>
      </c>
      <c r="I2420" s="43" t="s">
        <v>14</v>
      </c>
      <c r="J2420" s="43" t="s">
        <v>1739</v>
      </c>
      <c r="K2420" s="43" t="s">
        <v>515</v>
      </c>
      <c r="L2420" s="4"/>
      <c r="M2420" s="4" t="s">
        <v>138</v>
      </c>
    </row>
    <row r="2421" spans="1:13" x14ac:dyDescent="0.25">
      <c r="A2421" s="43" t="s">
        <v>1436</v>
      </c>
      <c r="B2421" s="43" t="s">
        <v>0</v>
      </c>
      <c r="C2421" s="43" t="s">
        <v>512</v>
      </c>
      <c r="D2421" s="43" t="s">
        <v>513</v>
      </c>
      <c r="E2421" s="43" t="s">
        <v>22</v>
      </c>
      <c r="F2421" s="44">
        <v>43407</v>
      </c>
      <c r="G2421" s="44">
        <v>43554</v>
      </c>
      <c r="H2421" s="45">
        <v>0.72222222222222221</v>
      </c>
      <c r="I2421" s="43">
        <v>321</v>
      </c>
      <c r="J2421" s="43" t="s">
        <v>1336</v>
      </c>
      <c r="K2421" s="43" t="s">
        <v>515</v>
      </c>
      <c r="L2421" s="4"/>
      <c r="M2421" s="4" t="s">
        <v>138</v>
      </c>
    </row>
    <row r="2422" spans="1:13" x14ac:dyDescent="0.25">
      <c r="A2422" s="43" t="s">
        <v>1436</v>
      </c>
      <c r="B2422" s="43" t="s">
        <v>0</v>
      </c>
      <c r="C2422" s="43" t="s">
        <v>512</v>
      </c>
      <c r="D2422" s="43" t="s">
        <v>513</v>
      </c>
      <c r="E2422" s="43" t="s">
        <v>59</v>
      </c>
      <c r="F2422" s="44">
        <v>43423</v>
      </c>
      <c r="G2422" s="44">
        <v>43549</v>
      </c>
      <c r="H2422" s="45">
        <v>0.82291666666666663</v>
      </c>
      <c r="I2422" s="43" t="s">
        <v>14</v>
      </c>
      <c r="J2422" s="43" t="s">
        <v>1740</v>
      </c>
      <c r="K2422" s="43" t="s">
        <v>515</v>
      </c>
      <c r="L2422" s="4"/>
      <c r="M2422" s="4" t="s">
        <v>138</v>
      </c>
    </row>
    <row r="2423" spans="1:13" x14ac:dyDescent="0.25">
      <c r="A2423" s="43" t="s">
        <v>1436</v>
      </c>
      <c r="B2423" s="43" t="s">
        <v>0</v>
      </c>
      <c r="C2423" s="43" t="s">
        <v>512</v>
      </c>
      <c r="D2423" s="43" t="s">
        <v>513</v>
      </c>
      <c r="E2423" s="43" t="s">
        <v>19</v>
      </c>
      <c r="F2423" s="44">
        <v>43424</v>
      </c>
      <c r="G2423" s="44">
        <v>43550</v>
      </c>
      <c r="H2423" s="45">
        <v>0.84722222222222221</v>
      </c>
      <c r="I2423" s="43" t="s">
        <v>14</v>
      </c>
      <c r="J2423" s="43" t="s">
        <v>1741</v>
      </c>
      <c r="K2423" s="43" t="s">
        <v>515</v>
      </c>
      <c r="L2423" s="4"/>
      <c r="M2423" s="4" t="s">
        <v>138</v>
      </c>
    </row>
    <row r="2424" spans="1:13" x14ac:dyDescent="0.25">
      <c r="A2424" s="43" t="s">
        <v>1436</v>
      </c>
      <c r="B2424" s="43" t="s">
        <v>0</v>
      </c>
      <c r="C2424" s="43" t="s">
        <v>1131</v>
      </c>
      <c r="D2424" s="43" t="s">
        <v>1132</v>
      </c>
      <c r="E2424" s="43" t="s">
        <v>22</v>
      </c>
      <c r="F2424" s="44">
        <v>43407</v>
      </c>
      <c r="G2424" s="44">
        <v>43554</v>
      </c>
      <c r="H2424" s="45">
        <v>0.89236111111111116</v>
      </c>
      <c r="I2424" s="43" t="s">
        <v>14</v>
      </c>
      <c r="J2424" s="43" t="s">
        <v>1172</v>
      </c>
      <c r="K2424" s="43" t="s">
        <v>38</v>
      </c>
      <c r="L2424" s="4"/>
      <c r="M2424" s="4" t="s">
        <v>138</v>
      </c>
    </row>
    <row r="2425" spans="1:13" x14ac:dyDescent="0.25">
      <c r="A2425" s="43" t="s">
        <v>1436</v>
      </c>
      <c r="B2425" s="43" t="s">
        <v>0</v>
      </c>
      <c r="C2425" s="43" t="s">
        <v>96</v>
      </c>
      <c r="D2425" s="43" t="s">
        <v>97</v>
      </c>
      <c r="E2425" s="43" t="s">
        <v>13</v>
      </c>
      <c r="F2425" s="44">
        <v>43461</v>
      </c>
      <c r="G2425" s="44">
        <v>43552</v>
      </c>
      <c r="H2425" s="45">
        <v>0.64930555555555558</v>
      </c>
      <c r="I2425" s="43" t="s">
        <v>14</v>
      </c>
      <c r="J2425" s="43" t="s">
        <v>1873</v>
      </c>
      <c r="K2425" s="43" t="s">
        <v>93</v>
      </c>
      <c r="L2425" s="4"/>
      <c r="M2425" s="4" t="s">
        <v>138</v>
      </c>
    </row>
    <row r="2426" spans="1:13" x14ac:dyDescent="0.25">
      <c r="A2426" s="43" t="s">
        <v>1436</v>
      </c>
      <c r="B2426" s="43" t="s">
        <v>0</v>
      </c>
      <c r="C2426" s="43" t="s">
        <v>102</v>
      </c>
      <c r="D2426" s="43" t="s">
        <v>103</v>
      </c>
      <c r="E2426" s="43" t="s">
        <v>48</v>
      </c>
      <c r="F2426" s="44">
        <v>43511</v>
      </c>
      <c r="G2426" s="44">
        <v>43546</v>
      </c>
      <c r="H2426" s="45">
        <v>0.35416666666666669</v>
      </c>
      <c r="I2426" s="43" t="s">
        <v>14</v>
      </c>
      <c r="J2426" s="43" t="s">
        <v>1946</v>
      </c>
      <c r="K2426" s="43" t="s">
        <v>45</v>
      </c>
      <c r="L2426" s="4"/>
      <c r="M2426" s="4" t="s">
        <v>138</v>
      </c>
    </row>
    <row r="2427" spans="1:13" x14ac:dyDescent="0.25">
      <c r="A2427" s="43" t="s">
        <v>1436</v>
      </c>
      <c r="B2427" s="43" t="s">
        <v>0</v>
      </c>
      <c r="C2427" s="43" t="s">
        <v>102</v>
      </c>
      <c r="D2427" s="43" t="s">
        <v>103</v>
      </c>
      <c r="E2427" s="43" t="s">
        <v>22</v>
      </c>
      <c r="F2427" s="44">
        <v>43470</v>
      </c>
      <c r="G2427" s="44">
        <v>43554</v>
      </c>
      <c r="H2427" s="45">
        <v>0.43402777777777773</v>
      </c>
      <c r="I2427" s="43" t="s">
        <v>352</v>
      </c>
      <c r="J2427" s="43" t="s">
        <v>1742</v>
      </c>
      <c r="K2427" s="43" t="s">
        <v>45</v>
      </c>
      <c r="L2427" s="4"/>
      <c r="M2427" s="4" t="s">
        <v>138</v>
      </c>
    </row>
    <row r="2428" spans="1:13" x14ac:dyDescent="0.25">
      <c r="A2428" s="43" t="s">
        <v>1436</v>
      </c>
      <c r="B2428" s="43" t="s">
        <v>0</v>
      </c>
      <c r="C2428" s="43" t="s">
        <v>102</v>
      </c>
      <c r="D2428" s="43" t="s">
        <v>103</v>
      </c>
      <c r="E2428" s="43" t="s">
        <v>22</v>
      </c>
      <c r="F2428" s="44">
        <v>43512</v>
      </c>
      <c r="G2428" s="44">
        <v>43547</v>
      </c>
      <c r="H2428" s="45">
        <v>0.50347222222222221</v>
      </c>
      <c r="I2428" s="43" t="s">
        <v>352</v>
      </c>
      <c r="J2428" s="43" t="s">
        <v>1874</v>
      </c>
      <c r="K2428" s="43" t="s">
        <v>45</v>
      </c>
      <c r="L2428" s="4"/>
      <c r="M2428" s="4" t="s">
        <v>138</v>
      </c>
    </row>
    <row r="2429" spans="1:13" x14ac:dyDescent="0.25">
      <c r="A2429" s="43" t="s">
        <v>1436</v>
      </c>
      <c r="B2429" s="43" t="s">
        <v>0</v>
      </c>
      <c r="C2429" s="43" t="s">
        <v>102</v>
      </c>
      <c r="D2429" s="43" t="s">
        <v>103</v>
      </c>
      <c r="E2429" s="43" t="s">
        <v>18</v>
      </c>
      <c r="F2429" s="44">
        <v>43408</v>
      </c>
      <c r="G2429" s="44">
        <v>43548</v>
      </c>
      <c r="H2429" s="45">
        <v>0.51736111111111105</v>
      </c>
      <c r="I2429" s="43" t="s">
        <v>352</v>
      </c>
      <c r="J2429" s="43" t="s">
        <v>1742</v>
      </c>
      <c r="K2429" s="43" t="s">
        <v>45</v>
      </c>
      <c r="L2429" s="4"/>
      <c r="M2429" s="4" t="s">
        <v>138</v>
      </c>
    </row>
    <row r="2430" spans="1:13" x14ac:dyDescent="0.25">
      <c r="A2430" s="43" t="s">
        <v>1436</v>
      </c>
      <c r="B2430" s="43" t="s">
        <v>0</v>
      </c>
      <c r="C2430" s="43" t="s">
        <v>102</v>
      </c>
      <c r="D2430" s="43" t="s">
        <v>103</v>
      </c>
      <c r="E2430" s="43" t="s">
        <v>18</v>
      </c>
      <c r="F2430" s="44">
        <v>43408</v>
      </c>
      <c r="G2430" s="44">
        <v>43548</v>
      </c>
      <c r="H2430" s="45">
        <v>0.5625</v>
      </c>
      <c r="I2430" s="43" t="s">
        <v>14</v>
      </c>
      <c r="J2430" s="43" t="s">
        <v>1743</v>
      </c>
      <c r="K2430" s="43" t="s">
        <v>45</v>
      </c>
      <c r="L2430" s="4"/>
      <c r="M2430" s="4" t="s">
        <v>138</v>
      </c>
    </row>
    <row r="2431" spans="1:13" x14ac:dyDescent="0.25">
      <c r="A2431" s="43" t="s">
        <v>1436</v>
      </c>
      <c r="B2431" s="43" t="s">
        <v>0</v>
      </c>
      <c r="C2431" s="43" t="s">
        <v>107</v>
      </c>
      <c r="D2431" s="43" t="s">
        <v>108</v>
      </c>
      <c r="E2431" s="43" t="s">
        <v>59</v>
      </c>
      <c r="F2431" s="44">
        <v>43514</v>
      </c>
      <c r="G2431" s="44">
        <v>43514</v>
      </c>
      <c r="H2431" s="45">
        <v>0.18402777777777779</v>
      </c>
      <c r="I2431" s="43" t="s">
        <v>39</v>
      </c>
      <c r="J2431" s="43" t="s">
        <v>1947</v>
      </c>
      <c r="K2431" s="43" t="s">
        <v>38</v>
      </c>
      <c r="L2431" s="4"/>
      <c r="M2431" s="4" t="s">
        <v>138</v>
      </c>
    </row>
    <row r="2432" spans="1:13" x14ac:dyDescent="0.25">
      <c r="A2432" s="43" t="s">
        <v>1436</v>
      </c>
      <c r="B2432" s="43" t="s">
        <v>0</v>
      </c>
      <c r="C2432" s="43" t="s">
        <v>107</v>
      </c>
      <c r="D2432" s="43" t="s">
        <v>108</v>
      </c>
      <c r="E2432" s="43" t="s">
        <v>59</v>
      </c>
      <c r="F2432" s="44">
        <v>43465</v>
      </c>
      <c r="G2432" s="44">
        <v>43549</v>
      </c>
      <c r="H2432" s="45">
        <v>0.5625</v>
      </c>
      <c r="I2432" s="43" t="s">
        <v>14</v>
      </c>
      <c r="J2432" s="43" t="s">
        <v>1337</v>
      </c>
      <c r="K2432" s="43" t="s">
        <v>38</v>
      </c>
      <c r="L2432" s="4"/>
      <c r="M2432" s="4" t="s">
        <v>138</v>
      </c>
    </row>
    <row r="2433" spans="1:13" x14ac:dyDescent="0.25">
      <c r="A2433" s="43" t="s">
        <v>1436</v>
      </c>
      <c r="B2433" s="43" t="s">
        <v>0</v>
      </c>
      <c r="C2433" s="43" t="s">
        <v>115</v>
      </c>
      <c r="D2433" s="43" t="s">
        <v>116</v>
      </c>
      <c r="E2433" s="43" t="s">
        <v>59</v>
      </c>
      <c r="F2433" s="44">
        <v>43493</v>
      </c>
      <c r="G2433" s="44">
        <v>43549</v>
      </c>
      <c r="H2433" s="45">
        <v>0.6875</v>
      </c>
      <c r="I2433" s="43" t="s">
        <v>14</v>
      </c>
      <c r="J2433" s="43" t="s">
        <v>1912</v>
      </c>
      <c r="K2433" s="43" t="s">
        <v>38</v>
      </c>
      <c r="L2433" s="4"/>
      <c r="M2433" s="4" t="s">
        <v>138</v>
      </c>
    </row>
    <row r="2434" spans="1:13" x14ac:dyDescent="0.25">
      <c r="A2434" s="43" t="s">
        <v>1436</v>
      </c>
      <c r="B2434" s="43" t="s">
        <v>0</v>
      </c>
      <c r="C2434" s="43" t="s">
        <v>542</v>
      </c>
      <c r="D2434" s="43" t="s">
        <v>543</v>
      </c>
      <c r="E2434" s="43" t="s">
        <v>22</v>
      </c>
      <c r="F2434" s="44">
        <v>43407</v>
      </c>
      <c r="G2434" s="44">
        <v>43554</v>
      </c>
      <c r="H2434" s="45">
        <v>0.52777777777777779</v>
      </c>
      <c r="I2434" s="43" t="s">
        <v>474</v>
      </c>
      <c r="J2434" s="43" t="s">
        <v>1744</v>
      </c>
      <c r="K2434" s="43" t="s">
        <v>544</v>
      </c>
      <c r="L2434" s="4"/>
      <c r="M2434" s="4" t="s">
        <v>138</v>
      </c>
    </row>
    <row r="2435" spans="1:13" x14ac:dyDescent="0.25">
      <c r="A2435" s="43" t="s">
        <v>1436</v>
      </c>
      <c r="B2435" s="43" t="s">
        <v>0</v>
      </c>
      <c r="C2435" s="43" t="s">
        <v>542</v>
      </c>
      <c r="D2435" s="43" t="s">
        <v>543</v>
      </c>
      <c r="E2435" s="43" t="s">
        <v>22</v>
      </c>
      <c r="F2435" s="44">
        <v>43407</v>
      </c>
      <c r="G2435" s="44">
        <v>43554</v>
      </c>
      <c r="H2435" s="45">
        <v>0.5625</v>
      </c>
      <c r="I2435" s="43" t="s">
        <v>698</v>
      </c>
      <c r="J2435" s="43" t="s">
        <v>1746</v>
      </c>
      <c r="K2435" s="43" t="s">
        <v>544</v>
      </c>
      <c r="L2435" s="4"/>
      <c r="M2435" s="4" t="s">
        <v>138</v>
      </c>
    </row>
    <row r="2436" spans="1:13" x14ac:dyDescent="0.25">
      <c r="A2436" s="43" t="s">
        <v>1436</v>
      </c>
      <c r="B2436" s="43" t="s">
        <v>0</v>
      </c>
      <c r="C2436" s="43" t="s">
        <v>542</v>
      </c>
      <c r="D2436" s="43" t="s">
        <v>543</v>
      </c>
      <c r="E2436" s="43" t="s">
        <v>22</v>
      </c>
      <c r="F2436" s="44">
        <v>43477</v>
      </c>
      <c r="G2436" s="44">
        <v>43554</v>
      </c>
      <c r="H2436" s="45">
        <v>0.57638888888888895</v>
      </c>
      <c r="I2436" s="43">
        <v>333</v>
      </c>
      <c r="J2436" s="43" t="s">
        <v>1747</v>
      </c>
      <c r="K2436" s="43" t="s">
        <v>544</v>
      </c>
      <c r="L2436" s="4"/>
      <c r="M2436" s="4" t="s">
        <v>138</v>
      </c>
    </row>
    <row r="2437" spans="1:13" x14ac:dyDescent="0.25">
      <c r="A2437" s="43" t="s">
        <v>1436</v>
      </c>
      <c r="B2437" s="43" t="s">
        <v>0</v>
      </c>
      <c r="C2437" s="43" t="s">
        <v>542</v>
      </c>
      <c r="D2437" s="43" t="s">
        <v>543</v>
      </c>
      <c r="E2437" s="43" t="s">
        <v>48</v>
      </c>
      <c r="F2437" s="44">
        <v>43511</v>
      </c>
      <c r="G2437" s="44">
        <v>43553</v>
      </c>
      <c r="H2437" s="45">
        <v>0.58333333333333337</v>
      </c>
      <c r="I2437" s="43">
        <v>333</v>
      </c>
      <c r="J2437" s="43" t="s">
        <v>1340</v>
      </c>
      <c r="K2437" s="43" t="s">
        <v>544</v>
      </c>
      <c r="L2437" s="4"/>
      <c r="M2437" s="4" t="s">
        <v>138</v>
      </c>
    </row>
    <row r="2438" spans="1:13" x14ac:dyDescent="0.25">
      <c r="A2438" s="43" t="s">
        <v>1436</v>
      </c>
      <c r="B2438" s="43" t="s">
        <v>0</v>
      </c>
      <c r="C2438" s="43" t="s">
        <v>542</v>
      </c>
      <c r="D2438" s="43" t="s">
        <v>543</v>
      </c>
      <c r="E2438" s="43" t="s">
        <v>18</v>
      </c>
      <c r="F2438" s="44">
        <v>43408</v>
      </c>
      <c r="G2438" s="44">
        <v>43548</v>
      </c>
      <c r="H2438" s="45">
        <v>0.61111111111111105</v>
      </c>
      <c r="I2438" s="43" t="s">
        <v>698</v>
      </c>
      <c r="J2438" s="43" t="s">
        <v>1748</v>
      </c>
      <c r="K2438" s="43" t="s">
        <v>544</v>
      </c>
      <c r="L2438" s="4"/>
      <c r="M2438" s="4" t="s">
        <v>138</v>
      </c>
    </row>
    <row r="2439" spans="1:13" x14ac:dyDescent="0.25">
      <c r="A2439" s="43" t="s">
        <v>1436</v>
      </c>
      <c r="B2439" s="43" t="s">
        <v>0</v>
      </c>
      <c r="C2439" s="43" t="s">
        <v>542</v>
      </c>
      <c r="D2439" s="43" t="s">
        <v>543</v>
      </c>
      <c r="E2439" s="43" t="s">
        <v>22</v>
      </c>
      <c r="F2439" s="44">
        <v>43421</v>
      </c>
      <c r="G2439" s="44">
        <v>43554</v>
      </c>
      <c r="H2439" s="45">
        <v>0.61805555555555558</v>
      </c>
      <c r="I2439" s="43" t="s">
        <v>39</v>
      </c>
      <c r="J2439" s="43" t="s">
        <v>1338</v>
      </c>
      <c r="K2439" s="43" t="s">
        <v>544</v>
      </c>
      <c r="L2439" s="4"/>
      <c r="M2439" s="4" t="s">
        <v>138</v>
      </c>
    </row>
    <row r="2440" spans="1:13" x14ac:dyDescent="0.25">
      <c r="A2440" s="43" t="s">
        <v>1436</v>
      </c>
      <c r="B2440" s="43" t="s">
        <v>0</v>
      </c>
      <c r="C2440" s="43" t="s">
        <v>542</v>
      </c>
      <c r="D2440" s="43" t="s">
        <v>543</v>
      </c>
      <c r="E2440" s="43" t="s">
        <v>20</v>
      </c>
      <c r="F2440" s="44">
        <v>43481</v>
      </c>
      <c r="G2440" s="44">
        <v>43551</v>
      </c>
      <c r="H2440" s="45">
        <v>0.62152777777777779</v>
      </c>
      <c r="I2440" s="43">
        <v>333</v>
      </c>
      <c r="J2440" s="43" t="s">
        <v>1173</v>
      </c>
      <c r="K2440" s="43" t="s">
        <v>544</v>
      </c>
      <c r="L2440" s="4"/>
      <c r="M2440" s="4" t="s">
        <v>138</v>
      </c>
    </row>
    <row r="2441" spans="1:13" x14ac:dyDescent="0.25">
      <c r="A2441" s="43" t="s">
        <v>1436</v>
      </c>
      <c r="B2441" s="43" t="s">
        <v>0</v>
      </c>
      <c r="C2441" s="43" t="s">
        <v>542</v>
      </c>
      <c r="D2441" s="43" t="s">
        <v>543</v>
      </c>
      <c r="E2441" s="43" t="s">
        <v>20</v>
      </c>
      <c r="F2441" s="44">
        <v>43488</v>
      </c>
      <c r="G2441" s="44">
        <v>43530</v>
      </c>
      <c r="H2441" s="45">
        <v>0.63194444444444442</v>
      </c>
      <c r="I2441" s="43" t="s">
        <v>39</v>
      </c>
      <c r="J2441" s="43" t="s">
        <v>1342</v>
      </c>
      <c r="K2441" s="43" t="s">
        <v>544</v>
      </c>
      <c r="L2441" s="4"/>
      <c r="M2441" s="4" t="s">
        <v>138</v>
      </c>
    </row>
    <row r="2442" spans="1:13" x14ac:dyDescent="0.25">
      <c r="A2442" s="43" t="s">
        <v>1436</v>
      </c>
      <c r="B2442" s="43" t="s">
        <v>0</v>
      </c>
      <c r="C2442" s="43" t="s">
        <v>1137</v>
      </c>
      <c r="D2442" s="43" t="s">
        <v>1138</v>
      </c>
      <c r="E2442" s="43" t="s">
        <v>59</v>
      </c>
      <c r="F2442" s="44">
        <v>43409</v>
      </c>
      <c r="G2442" s="44">
        <v>43549</v>
      </c>
      <c r="H2442" s="45">
        <v>0.61805555555555558</v>
      </c>
      <c r="I2442" s="43" t="s">
        <v>14</v>
      </c>
      <c r="J2442" s="43" t="s">
        <v>1174</v>
      </c>
      <c r="K2442" s="43" t="s">
        <v>38</v>
      </c>
      <c r="L2442" s="4"/>
      <c r="M2442" s="4" t="s">
        <v>138</v>
      </c>
    </row>
    <row r="2443" spans="1:13" x14ac:dyDescent="0.25">
      <c r="A2443" s="43" t="s">
        <v>1436</v>
      </c>
      <c r="B2443" s="43" t="s">
        <v>0</v>
      </c>
      <c r="C2443" s="43" t="s">
        <v>123</v>
      </c>
      <c r="D2443" s="43" t="s">
        <v>124</v>
      </c>
      <c r="E2443" s="43" t="s">
        <v>18</v>
      </c>
      <c r="F2443" s="44">
        <v>43408</v>
      </c>
      <c r="G2443" s="44">
        <v>43548</v>
      </c>
      <c r="H2443" s="45">
        <v>0.52777777777777779</v>
      </c>
      <c r="I2443" s="43" t="s">
        <v>14</v>
      </c>
      <c r="J2443" s="43" t="s">
        <v>1749</v>
      </c>
      <c r="K2443" s="43" t="s">
        <v>45</v>
      </c>
      <c r="L2443" s="4"/>
      <c r="M2443" s="4" t="s">
        <v>138</v>
      </c>
    </row>
    <row r="2444" spans="1:13" x14ac:dyDescent="0.25">
      <c r="A2444" s="43" t="s">
        <v>1436</v>
      </c>
      <c r="B2444" s="43" t="s">
        <v>0</v>
      </c>
      <c r="C2444" s="43" t="s">
        <v>828</v>
      </c>
      <c r="D2444" s="43" t="s">
        <v>829</v>
      </c>
      <c r="E2444" s="43" t="s">
        <v>22</v>
      </c>
      <c r="F2444" s="44">
        <v>43470</v>
      </c>
      <c r="G2444" s="44">
        <v>43554</v>
      </c>
      <c r="H2444" s="45">
        <v>0.53125</v>
      </c>
      <c r="I2444" s="43" t="s">
        <v>474</v>
      </c>
      <c r="J2444" s="43" t="s">
        <v>1750</v>
      </c>
      <c r="K2444" s="43" t="s">
        <v>544</v>
      </c>
      <c r="L2444" s="4"/>
      <c r="M2444" s="4" t="s">
        <v>138</v>
      </c>
    </row>
    <row r="2445" spans="1:13" x14ac:dyDescent="0.25">
      <c r="A2445" s="43" t="s">
        <v>1436</v>
      </c>
      <c r="B2445" s="43" t="s">
        <v>0</v>
      </c>
      <c r="C2445" s="43" t="s">
        <v>828</v>
      </c>
      <c r="D2445" s="43" t="s">
        <v>829</v>
      </c>
      <c r="E2445" s="43" t="s">
        <v>22</v>
      </c>
      <c r="F2445" s="44">
        <v>43449</v>
      </c>
      <c r="G2445" s="44">
        <v>43554</v>
      </c>
      <c r="H2445" s="45">
        <v>0.56944444444444442</v>
      </c>
      <c r="I2445" s="43">
        <v>333</v>
      </c>
      <c r="J2445" s="43" t="s">
        <v>1751</v>
      </c>
      <c r="K2445" s="43" t="s">
        <v>544</v>
      </c>
      <c r="L2445" s="4"/>
      <c r="M2445" s="4" t="s">
        <v>138</v>
      </c>
    </row>
    <row r="2446" spans="1:13" x14ac:dyDescent="0.25">
      <c r="A2446" s="43" t="s">
        <v>1436</v>
      </c>
      <c r="B2446" s="43" t="s">
        <v>0</v>
      </c>
      <c r="C2446" s="43" t="s">
        <v>828</v>
      </c>
      <c r="D2446" s="43" t="s">
        <v>829</v>
      </c>
      <c r="E2446" s="43" t="s">
        <v>20</v>
      </c>
      <c r="F2446" s="44">
        <v>43509</v>
      </c>
      <c r="G2446" s="44">
        <v>43551</v>
      </c>
      <c r="H2446" s="45">
        <v>0.57291666666666663</v>
      </c>
      <c r="I2446" s="43" t="s">
        <v>39</v>
      </c>
      <c r="J2446" s="43" t="s">
        <v>1343</v>
      </c>
      <c r="K2446" s="43" t="s">
        <v>544</v>
      </c>
      <c r="L2446" s="4"/>
      <c r="M2446" s="4" t="s">
        <v>138</v>
      </c>
    </row>
    <row r="2447" spans="1:13" x14ac:dyDescent="0.25">
      <c r="A2447" s="43" t="s">
        <v>1436</v>
      </c>
      <c r="B2447" s="43" t="s">
        <v>0</v>
      </c>
      <c r="C2447" s="43" t="s">
        <v>828</v>
      </c>
      <c r="D2447" s="43" t="s">
        <v>829</v>
      </c>
      <c r="E2447" s="43" t="s">
        <v>48</v>
      </c>
      <c r="F2447" s="44">
        <v>43511</v>
      </c>
      <c r="G2447" s="44">
        <v>43511</v>
      </c>
      <c r="H2447" s="45">
        <v>0.57291666666666663</v>
      </c>
      <c r="I2447" s="43" t="s">
        <v>39</v>
      </c>
      <c r="J2447" s="43" t="s">
        <v>1752</v>
      </c>
      <c r="K2447" s="43" t="s">
        <v>544</v>
      </c>
      <c r="L2447" s="4"/>
      <c r="M2447" s="4" t="s">
        <v>138</v>
      </c>
    </row>
    <row r="2448" spans="1:13" x14ac:dyDescent="0.25">
      <c r="A2448" s="43" t="s">
        <v>1436</v>
      </c>
      <c r="B2448" s="43" t="s">
        <v>0</v>
      </c>
      <c r="C2448" s="43" t="s">
        <v>828</v>
      </c>
      <c r="D2448" s="43" t="s">
        <v>829</v>
      </c>
      <c r="E2448" s="43" t="s">
        <v>20</v>
      </c>
      <c r="F2448" s="44">
        <v>43404</v>
      </c>
      <c r="G2448" s="44">
        <v>43551</v>
      </c>
      <c r="H2448" s="45">
        <v>0.60416666666666663</v>
      </c>
      <c r="I2448" s="43" t="s">
        <v>474</v>
      </c>
      <c r="J2448" s="43" t="s">
        <v>1175</v>
      </c>
      <c r="K2448" s="43" t="s">
        <v>544</v>
      </c>
      <c r="L2448" s="4"/>
      <c r="M2448" s="4" t="s">
        <v>138</v>
      </c>
    </row>
    <row r="2449" spans="1:13" x14ac:dyDescent="0.25">
      <c r="A2449" s="43" t="s">
        <v>1436</v>
      </c>
      <c r="B2449" s="43" t="s">
        <v>0</v>
      </c>
      <c r="C2449" s="43" t="s">
        <v>828</v>
      </c>
      <c r="D2449" s="43" t="s">
        <v>829</v>
      </c>
      <c r="E2449" s="43" t="s">
        <v>22</v>
      </c>
      <c r="F2449" s="44">
        <v>43435</v>
      </c>
      <c r="G2449" s="44">
        <v>43554</v>
      </c>
      <c r="H2449" s="45">
        <v>0.77777777777777779</v>
      </c>
      <c r="I2449" s="43" t="s">
        <v>14</v>
      </c>
      <c r="J2449" s="43" t="s">
        <v>1753</v>
      </c>
      <c r="K2449" s="43" t="s">
        <v>544</v>
      </c>
      <c r="L2449" s="4"/>
      <c r="M2449" s="4" t="s">
        <v>138</v>
      </c>
    </row>
    <row r="2450" spans="1:13" x14ac:dyDescent="0.25">
      <c r="A2450" s="43" t="s">
        <v>1436</v>
      </c>
      <c r="B2450" s="43" t="s">
        <v>0</v>
      </c>
      <c r="C2450" s="43" t="s">
        <v>1754</v>
      </c>
      <c r="D2450" s="43" t="s">
        <v>1755</v>
      </c>
      <c r="E2450" s="43" t="s">
        <v>20</v>
      </c>
      <c r="F2450" s="44">
        <v>43404</v>
      </c>
      <c r="G2450" s="44">
        <v>43551</v>
      </c>
      <c r="H2450" s="45">
        <v>0.55902777777777779</v>
      </c>
      <c r="I2450" s="43" t="s">
        <v>81</v>
      </c>
      <c r="J2450" s="43" t="s">
        <v>1339</v>
      </c>
      <c r="K2450" s="43" t="s">
        <v>544</v>
      </c>
      <c r="L2450" s="4"/>
      <c r="M2450" s="4" t="s">
        <v>138</v>
      </c>
    </row>
    <row r="2451" spans="1:13" x14ac:dyDescent="0.25">
      <c r="A2451" s="43" t="s">
        <v>1436</v>
      </c>
      <c r="B2451" s="43" t="s">
        <v>0</v>
      </c>
      <c r="C2451" s="43" t="s">
        <v>177</v>
      </c>
      <c r="D2451" s="43" t="s">
        <v>178</v>
      </c>
      <c r="E2451" s="43" t="s">
        <v>18</v>
      </c>
      <c r="F2451" s="44">
        <v>43408</v>
      </c>
      <c r="G2451" s="44">
        <v>43548</v>
      </c>
      <c r="H2451" s="45">
        <v>0.5</v>
      </c>
      <c r="I2451" s="43" t="s">
        <v>352</v>
      </c>
      <c r="J2451" s="43" t="s">
        <v>1756</v>
      </c>
      <c r="K2451" s="43" t="s">
        <v>45</v>
      </c>
      <c r="L2451" s="4"/>
      <c r="M2451" s="4" t="s">
        <v>138</v>
      </c>
    </row>
    <row r="2452" spans="1:13" x14ac:dyDescent="0.25">
      <c r="A2452" s="43" t="s">
        <v>1436</v>
      </c>
      <c r="B2452" s="43" t="s">
        <v>0</v>
      </c>
      <c r="C2452" s="43" t="s">
        <v>177</v>
      </c>
      <c r="D2452" s="43" t="s">
        <v>178</v>
      </c>
      <c r="E2452" s="43" t="s">
        <v>22</v>
      </c>
      <c r="F2452" s="44">
        <v>43463</v>
      </c>
      <c r="G2452" s="44">
        <v>43554</v>
      </c>
      <c r="H2452" s="45">
        <v>0.65625</v>
      </c>
      <c r="I2452" s="43" t="s">
        <v>352</v>
      </c>
      <c r="J2452" s="43" t="s">
        <v>1756</v>
      </c>
      <c r="K2452" s="43" t="s">
        <v>45</v>
      </c>
      <c r="L2452" s="4"/>
      <c r="M2452" s="4" t="s">
        <v>138</v>
      </c>
    </row>
    <row r="2453" spans="1:13" x14ac:dyDescent="0.25">
      <c r="A2453" s="43" t="s">
        <v>1436</v>
      </c>
      <c r="B2453" s="43" t="s">
        <v>0</v>
      </c>
      <c r="C2453" s="43" t="s">
        <v>1253</v>
      </c>
      <c r="D2453" s="43" t="s">
        <v>1254</v>
      </c>
      <c r="E2453" s="43" t="s">
        <v>13</v>
      </c>
      <c r="F2453" s="44">
        <v>43503</v>
      </c>
      <c r="G2453" s="44">
        <v>43552</v>
      </c>
      <c r="H2453" s="45">
        <v>0.29166666666666669</v>
      </c>
      <c r="I2453" s="43" t="s">
        <v>39</v>
      </c>
      <c r="J2453" s="43" t="s">
        <v>1757</v>
      </c>
      <c r="K2453" s="43" t="s">
        <v>488</v>
      </c>
      <c r="L2453" s="4"/>
      <c r="M2453" s="4" t="s">
        <v>138</v>
      </c>
    </row>
    <row r="2454" spans="1:13" x14ac:dyDescent="0.25">
      <c r="A2454" s="43" t="s">
        <v>1436</v>
      </c>
      <c r="B2454" s="43" t="s">
        <v>0</v>
      </c>
      <c r="C2454" s="43" t="s">
        <v>1344</v>
      </c>
      <c r="D2454" s="43" t="s">
        <v>1345</v>
      </c>
      <c r="E2454" s="43" t="s">
        <v>22</v>
      </c>
      <c r="F2454" s="44">
        <v>43407</v>
      </c>
      <c r="G2454" s="44">
        <v>43554</v>
      </c>
      <c r="H2454" s="45">
        <v>0.64583333333333337</v>
      </c>
      <c r="I2454" s="43" t="s">
        <v>14</v>
      </c>
      <c r="J2454" s="43" t="s">
        <v>1346</v>
      </c>
      <c r="K2454" s="43" t="s">
        <v>488</v>
      </c>
      <c r="L2454" s="4"/>
      <c r="M2454" s="4" t="s">
        <v>138</v>
      </c>
    </row>
    <row r="2455" spans="1:13" x14ac:dyDescent="0.25">
      <c r="A2455" s="43" t="s">
        <v>1436</v>
      </c>
      <c r="B2455" s="43" t="s">
        <v>0</v>
      </c>
      <c r="C2455" s="43" t="s">
        <v>593</v>
      </c>
      <c r="D2455" s="43" t="s">
        <v>594</v>
      </c>
      <c r="E2455" s="43" t="s">
        <v>59</v>
      </c>
      <c r="F2455" s="44">
        <v>43402</v>
      </c>
      <c r="G2455" s="44">
        <v>43535</v>
      </c>
      <c r="H2455" s="45">
        <v>0.28125</v>
      </c>
      <c r="I2455" s="43" t="s">
        <v>39</v>
      </c>
      <c r="J2455" s="43" t="s">
        <v>1347</v>
      </c>
      <c r="K2455" s="43" t="s">
        <v>595</v>
      </c>
      <c r="L2455" s="4"/>
      <c r="M2455" s="4" t="s">
        <v>138</v>
      </c>
    </row>
    <row r="2456" spans="1:13" x14ac:dyDescent="0.25">
      <c r="A2456" s="43" t="s">
        <v>1436</v>
      </c>
      <c r="B2456" s="43" t="s">
        <v>0</v>
      </c>
      <c r="C2456" s="43" t="s">
        <v>593</v>
      </c>
      <c r="D2456" s="43" t="s">
        <v>594</v>
      </c>
      <c r="E2456" s="43" t="s">
        <v>22</v>
      </c>
      <c r="F2456" s="44">
        <v>43414</v>
      </c>
      <c r="G2456" s="44">
        <v>43554</v>
      </c>
      <c r="H2456" s="45">
        <v>0.53819444444444442</v>
      </c>
      <c r="I2456" s="43" t="s">
        <v>698</v>
      </c>
      <c r="J2456" s="43" t="s">
        <v>1745</v>
      </c>
      <c r="K2456" s="43" t="s">
        <v>595</v>
      </c>
      <c r="L2456" s="4"/>
      <c r="M2456" s="4" t="s">
        <v>138</v>
      </c>
    </row>
    <row r="2457" spans="1:13" x14ac:dyDescent="0.25">
      <c r="A2457" s="43" t="s">
        <v>1436</v>
      </c>
      <c r="B2457" s="43" t="s">
        <v>0</v>
      </c>
      <c r="C2457" s="43" t="s">
        <v>593</v>
      </c>
      <c r="D2457" s="43" t="s">
        <v>594</v>
      </c>
      <c r="E2457" s="43" t="s">
        <v>48</v>
      </c>
      <c r="F2457" s="44">
        <v>43406</v>
      </c>
      <c r="G2457" s="44">
        <v>43553</v>
      </c>
      <c r="H2457" s="45">
        <v>0.55208333333333337</v>
      </c>
      <c r="I2457" s="43" t="s">
        <v>39</v>
      </c>
      <c r="J2457" s="43" t="s">
        <v>1348</v>
      </c>
      <c r="K2457" s="43" t="s">
        <v>595</v>
      </c>
      <c r="L2457" s="4"/>
      <c r="M2457" s="4" t="s">
        <v>138</v>
      </c>
    </row>
    <row r="2458" spans="1:13" x14ac:dyDescent="0.25">
      <c r="A2458" s="43" t="s">
        <v>1436</v>
      </c>
      <c r="B2458" s="43" t="s">
        <v>0</v>
      </c>
      <c r="C2458" s="43" t="s">
        <v>593</v>
      </c>
      <c r="D2458" s="43" t="s">
        <v>594</v>
      </c>
      <c r="E2458" s="43" t="s">
        <v>13</v>
      </c>
      <c r="F2458" s="44">
        <v>43405</v>
      </c>
      <c r="G2458" s="44">
        <v>43552</v>
      </c>
      <c r="H2458" s="45">
        <v>0.55555555555555558</v>
      </c>
      <c r="I2458" s="43" t="s">
        <v>698</v>
      </c>
      <c r="J2458" s="43" t="s">
        <v>1349</v>
      </c>
      <c r="K2458" s="43" t="s">
        <v>595</v>
      </c>
      <c r="L2458" s="4"/>
      <c r="M2458" s="4" t="s">
        <v>138</v>
      </c>
    </row>
    <row r="2459" spans="1:13" x14ac:dyDescent="0.25">
      <c r="A2459" s="43" t="s">
        <v>1436</v>
      </c>
      <c r="B2459" s="43" t="s">
        <v>0</v>
      </c>
      <c r="C2459" s="43" t="s">
        <v>593</v>
      </c>
      <c r="D2459" s="43" t="s">
        <v>594</v>
      </c>
      <c r="E2459" s="43" t="s">
        <v>18</v>
      </c>
      <c r="F2459" s="44">
        <v>43485</v>
      </c>
      <c r="G2459" s="44">
        <v>43548</v>
      </c>
      <c r="H2459" s="45">
        <v>0.55902777777777779</v>
      </c>
      <c r="I2459" s="43" t="s">
        <v>14</v>
      </c>
      <c r="J2459" s="43" t="s">
        <v>1350</v>
      </c>
      <c r="K2459" s="43" t="s">
        <v>595</v>
      </c>
      <c r="L2459" s="4"/>
      <c r="M2459" s="4" t="s">
        <v>138</v>
      </c>
    </row>
    <row r="2460" spans="1:13" x14ac:dyDescent="0.25">
      <c r="A2460" s="43" t="s">
        <v>1436</v>
      </c>
      <c r="B2460" s="43" t="s">
        <v>0</v>
      </c>
      <c r="C2460" s="43" t="s">
        <v>593</v>
      </c>
      <c r="D2460" s="43" t="s">
        <v>594</v>
      </c>
      <c r="E2460" s="43" t="s">
        <v>20</v>
      </c>
      <c r="F2460" s="44">
        <v>43453</v>
      </c>
      <c r="G2460" s="44">
        <v>43551</v>
      </c>
      <c r="H2460" s="45">
        <v>0.5625</v>
      </c>
      <c r="I2460" s="43" t="s">
        <v>39</v>
      </c>
      <c r="J2460" s="43" t="s">
        <v>1351</v>
      </c>
      <c r="K2460" s="43" t="s">
        <v>595</v>
      </c>
      <c r="L2460" s="4"/>
      <c r="M2460" s="4" t="s">
        <v>138</v>
      </c>
    </row>
    <row r="2461" spans="1:13" x14ac:dyDescent="0.25">
      <c r="A2461" s="43" t="s">
        <v>1436</v>
      </c>
      <c r="B2461" s="43" t="s">
        <v>0</v>
      </c>
      <c r="C2461" s="43" t="s">
        <v>593</v>
      </c>
      <c r="D2461" s="43" t="s">
        <v>594</v>
      </c>
      <c r="E2461" s="43" t="s">
        <v>22</v>
      </c>
      <c r="F2461" s="44">
        <v>43463</v>
      </c>
      <c r="G2461" s="44">
        <v>43526</v>
      </c>
      <c r="H2461" s="45">
        <v>0.59375</v>
      </c>
      <c r="I2461" s="43" t="s">
        <v>39</v>
      </c>
      <c r="J2461" s="43" t="s">
        <v>1875</v>
      </c>
      <c r="K2461" s="43" t="s">
        <v>595</v>
      </c>
      <c r="L2461" s="4"/>
      <c r="M2461" s="4" t="s">
        <v>138</v>
      </c>
    </row>
    <row r="2462" spans="1:13" x14ac:dyDescent="0.25">
      <c r="A2462" s="43" t="s">
        <v>1436</v>
      </c>
      <c r="B2462" s="43" t="s">
        <v>0</v>
      </c>
      <c r="C2462" s="43" t="s">
        <v>593</v>
      </c>
      <c r="D2462" s="43" t="s">
        <v>594</v>
      </c>
      <c r="E2462" s="43" t="s">
        <v>20</v>
      </c>
      <c r="F2462" s="44">
        <v>43404</v>
      </c>
      <c r="G2462" s="44">
        <v>43551</v>
      </c>
      <c r="H2462" s="45">
        <v>0.64930555555555558</v>
      </c>
      <c r="I2462" s="43" t="s">
        <v>698</v>
      </c>
      <c r="J2462" s="43" t="s">
        <v>1352</v>
      </c>
      <c r="K2462" s="43" t="s">
        <v>595</v>
      </c>
      <c r="L2462" s="4"/>
      <c r="M2462" s="4" t="s">
        <v>138</v>
      </c>
    </row>
    <row r="2463" spans="1:13" x14ac:dyDescent="0.25">
      <c r="A2463" s="43" t="s">
        <v>1436</v>
      </c>
      <c r="B2463" s="43" t="s">
        <v>0</v>
      </c>
      <c r="C2463" s="43" t="s">
        <v>1758</v>
      </c>
      <c r="D2463" s="43" t="s">
        <v>1759</v>
      </c>
      <c r="E2463" s="43" t="s">
        <v>48</v>
      </c>
      <c r="F2463" s="44">
        <v>43406</v>
      </c>
      <c r="G2463" s="44">
        <v>43553</v>
      </c>
      <c r="H2463" s="45">
        <v>0.61111111111111105</v>
      </c>
      <c r="I2463" s="43" t="s">
        <v>81</v>
      </c>
      <c r="J2463" s="43" t="s">
        <v>1760</v>
      </c>
      <c r="K2463" s="43" t="s">
        <v>544</v>
      </c>
      <c r="L2463" s="4"/>
      <c r="M2463" s="4" t="s">
        <v>138</v>
      </c>
    </row>
    <row r="2464" spans="1:13" x14ac:dyDescent="0.25">
      <c r="A2464" s="43" t="s">
        <v>1436</v>
      </c>
      <c r="B2464" s="43" t="s">
        <v>0</v>
      </c>
      <c r="C2464" s="43" t="s">
        <v>1758</v>
      </c>
      <c r="D2464" s="43" t="s">
        <v>1759</v>
      </c>
      <c r="E2464" s="43" t="s">
        <v>13</v>
      </c>
      <c r="F2464" s="44">
        <v>43482</v>
      </c>
      <c r="G2464" s="44">
        <v>43552</v>
      </c>
      <c r="H2464" s="45">
        <v>0.61111111111111105</v>
      </c>
      <c r="I2464" s="43" t="s">
        <v>81</v>
      </c>
      <c r="J2464" s="43" t="s">
        <v>1341</v>
      </c>
      <c r="K2464" s="43" t="s">
        <v>544</v>
      </c>
      <c r="L2464" s="4"/>
      <c r="M2464" s="4" t="s">
        <v>138</v>
      </c>
    </row>
    <row r="2465" spans="1:13" x14ac:dyDescent="0.25">
      <c r="A2465" s="43" t="s">
        <v>1436</v>
      </c>
      <c r="B2465" s="43" t="s">
        <v>0</v>
      </c>
      <c r="C2465" s="43" t="s">
        <v>1353</v>
      </c>
      <c r="D2465" s="43" t="s">
        <v>1354</v>
      </c>
      <c r="E2465" s="43" t="s">
        <v>22</v>
      </c>
      <c r="F2465" s="44">
        <v>43407</v>
      </c>
      <c r="G2465" s="44">
        <v>43554</v>
      </c>
      <c r="H2465" s="45">
        <v>0.56944444444444442</v>
      </c>
      <c r="I2465" s="43" t="s">
        <v>352</v>
      </c>
      <c r="J2465" s="43" t="s">
        <v>1355</v>
      </c>
      <c r="K2465" s="43" t="s">
        <v>544</v>
      </c>
      <c r="L2465" s="4"/>
      <c r="M2465" s="4" t="s">
        <v>138</v>
      </c>
    </row>
    <row r="2466" spans="1:13" x14ac:dyDescent="0.25">
      <c r="A2466" s="43" t="s">
        <v>1436</v>
      </c>
      <c r="B2466" s="43" t="s">
        <v>0</v>
      </c>
      <c r="C2466" s="43" t="s">
        <v>1353</v>
      </c>
      <c r="D2466" s="43" t="s">
        <v>1354</v>
      </c>
      <c r="E2466" s="43" t="s">
        <v>18</v>
      </c>
      <c r="F2466" s="44">
        <v>43401</v>
      </c>
      <c r="G2466" s="44">
        <v>43548</v>
      </c>
      <c r="H2466" s="45">
        <v>0.58333333333333337</v>
      </c>
      <c r="I2466" s="43" t="s">
        <v>81</v>
      </c>
      <c r="J2466" s="43" t="s">
        <v>1761</v>
      </c>
      <c r="K2466" s="43" t="s">
        <v>544</v>
      </c>
      <c r="L2466" s="4"/>
      <c r="M2466" s="4" t="s">
        <v>138</v>
      </c>
    </row>
    <row r="2467" spans="1:13" x14ac:dyDescent="0.25">
      <c r="A2467" s="43" t="s">
        <v>1436</v>
      </c>
      <c r="B2467" s="43" t="s">
        <v>0</v>
      </c>
      <c r="C2467" s="43" t="s">
        <v>1258</v>
      </c>
      <c r="D2467" s="43" t="s">
        <v>1259</v>
      </c>
      <c r="E2467" s="43" t="s">
        <v>20</v>
      </c>
      <c r="F2467" s="44">
        <v>43509</v>
      </c>
      <c r="G2467" s="44">
        <v>43516</v>
      </c>
      <c r="H2467" s="45">
        <v>0.32291666666666669</v>
      </c>
      <c r="I2467" s="43" t="s">
        <v>39</v>
      </c>
      <c r="J2467" s="43" t="s">
        <v>1356</v>
      </c>
      <c r="K2467" s="43" t="s">
        <v>544</v>
      </c>
      <c r="L2467" s="4"/>
      <c r="M2467" s="4" t="s">
        <v>138</v>
      </c>
    </row>
    <row r="2468" spans="1:13" x14ac:dyDescent="0.25">
      <c r="A2468" s="43" t="s">
        <v>1436</v>
      </c>
      <c r="B2468" s="43" t="s">
        <v>0</v>
      </c>
      <c r="C2468" s="43" t="s">
        <v>1732</v>
      </c>
      <c r="D2468" s="43" t="s">
        <v>1733</v>
      </c>
      <c r="E2468" s="43" t="s">
        <v>22</v>
      </c>
      <c r="F2468" s="44">
        <v>43498</v>
      </c>
      <c r="G2468" s="44">
        <v>43512</v>
      </c>
      <c r="H2468" s="45">
        <v>0.55208333333333337</v>
      </c>
      <c r="I2468" s="43">
        <v>320</v>
      </c>
      <c r="J2468" s="43" t="s">
        <v>1762</v>
      </c>
      <c r="K2468" s="43" t="s">
        <v>45</v>
      </c>
      <c r="L2468" s="4"/>
      <c r="M2468" s="4" t="s">
        <v>138</v>
      </c>
    </row>
    <row r="2469" spans="1:13" x14ac:dyDescent="0.25">
      <c r="A2469" s="43" t="s">
        <v>1436</v>
      </c>
      <c r="B2469" s="43" t="s">
        <v>0</v>
      </c>
      <c r="C2469" s="43" t="s">
        <v>1030</v>
      </c>
      <c r="D2469" s="43" t="s">
        <v>1031</v>
      </c>
      <c r="E2469" s="43" t="s">
        <v>19</v>
      </c>
      <c r="F2469" s="44">
        <v>43508</v>
      </c>
      <c r="G2469" s="44">
        <v>43550</v>
      </c>
      <c r="H2469" s="45">
        <v>0.35416666666666669</v>
      </c>
      <c r="I2469" s="43" t="s">
        <v>698</v>
      </c>
      <c r="J2469" s="43" t="s">
        <v>1913</v>
      </c>
      <c r="K2469" s="43" t="s">
        <v>1032</v>
      </c>
      <c r="L2469" s="4"/>
      <c r="M2469" s="4" t="s">
        <v>138</v>
      </c>
    </row>
    <row r="2470" spans="1:13" x14ac:dyDescent="0.25">
      <c r="A2470" s="43" t="s">
        <v>1436</v>
      </c>
      <c r="B2470" s="43" t="s">
        <v>0</v>
      </c>
      <c r="C2470" s="43" t="s">
        <v>1030</v>
      </c>
      <c r="D2470" s="43" t="s">
        <v>1031</v>
      </c>
      <c r="E2470" s="43" t="s">
        <v>20</v>
      </c>
      <c r="F2470" s="44">
        <v>43488</v>
      </c>
      <c r="G2470" s="44">
        <v>43551</v>
      </c>
      <c r="H2470" s="45">
        <v>0.64930555555555558</v>
      </c>
      <c r="I2470" s="43" t="s">
        <v>207</v>
      </c>
      <c r="J2470" s="43" t="s">
        <v>1876</v>
      </c>
      <c r="K2470" s="43" t="s">
        <v>1032</v>
      </c>
      <c r="L2470" s="4"/>
      <c r="M2470" s="4" t="s">
        <v>138</v>
      </c>
    </row>
    <row r="2471" spans="1:13" x14ac:dyDescent="0.25">
      <c r="A2471" s="43" t="s">
        <v>1436</v>
      </c>
      <c r="B2471" s="43" t="s">
        <v>0</v>
      </c>
      <c r="C2471" s="43" t="s">
        <v>1357</v>
      </c>
      <c r="D2471" s="43" t="s">
        <v>1358</v>
      </c>
      <c r="E2471" s="43" t="s">
        <v>22</v>
      </c>
      <c r="F2471" s="44">
        <v>43407</v>
      </c>
      <c r="G2471" s="44">
        <v>43554</v>
      </c>
      <c r="H2471" s="45">
        <v>0.53472222222222221</v>
      </c>
      <c r="I2471" s="43" t="s">
        <v>81</v>
      </c>
      <c r="J2471" s="43" t="s">
        <v>1359</v>
      </c>
      <c r="K2471" s="43" t="s">
        <v>488</v>
      </c>
      <c r="L2471" s="4"/>
      <c r="M2471" s="4" t="s">
        <v>138</v>
      </c>
    </row>
    <row r="2472" spans="1:13" x14ac:dyDescent="0.25">
      <c r="A2472" s="43" t="s">
        <v>1436</v>
      </c>
      <c r="B2472" s="43" t="s">
        <v>0</v>
      </c>
      <c r="C2472" s="43" t="s">
        <v>1357</v>
      </c>
      <c r="D2472" s="43" t="s">
        <v>1358</v>
      </c>
      <c r="E2472" s="43" t="s">
        <v>18</v>
      </c>
      <c r="F2472" s="44">
        <v>43401</v>
      </c>
      <c r="G2472" s="44">
        <v>43548</v>
      </c>
      <c r="H2472" s="45">
        <v>0.54166666666666663</v>
      </c>
      <c r="I2472" s="43" t="s">
        <v>81</v>
      </c>
      <c r="J2472" s="43" t="s">
        <v>1360</v>
      </c>
      <c r="K2472" s="43" t="s">
        <v>488</v>
      </c>
      <c r="L2472" s="4"/>
      <c r="M2472" s="4" t="s">
        <v>138</v>
      </c>
    </row>
    <row r="2473" spans="1:13" x14ac:dyDescent="0.25">
      <c r="A2473" s="43" t="s">
        <v>1436</v>
      </c>
      <c r="B2473" s="43" t="s">
        <v>0</v>
      </c>
      <c r="C2473" s="43" t="s">
        <v>1357</v>
      </c>
      <c r="D2473" s="43" t="s">
        <v>1358</v>
      </c>
      <c r="E2473" s="43" t="s">
        <v>22</v>
      </c>
      <c r="F2473" s="44">
        <v>43407</v>
      </c>
      <c r="G2473" s="44">
        <v>43554</v>
      </c>
      <c r="H2473" s="45">
        <v>0.67013888888888884</v>
      </c>
      <c r="I2473" s="43" t="s">
        <v>81</v>
      </c>
      <c r="J2473" s="43" t="s">
        <v>1763</v>
      </c>
      <c r="K2473" s="43" t="s">
        <v>488</v>
      </c>
      <c r="L2473" s="4"/>
      <c r="M2473" s="4" t="s">
        <v>138</v>
      </c>
    </row>
    <row r="2474" spans="1:13" x14ac:dyDescent="0.25">
      <c r="A2474" s="43" t="s">
        <v>1436</v>
      </c>
      <c r="B2474" s="43" t="s">
        <v>0</v>
      </c>
      <c r="C2474" s="43" t="s">
        <v>1361</v>
      </c>
      <c r="D2474" s="43" t="s">
        <v>1362</v>
      </c>
      <c r="E2474" s="43" t="s">
        <v>20</v>
      </c>
      <c r="F2474" s="44">
        <v>43481</v>
      </c>
      <c r="G2474" s="44">
        <v>43551</v>
      </c>
      <c r="H2474" s="45">
        <v>0.3125</v>
      </c>
      <c r="I2474" s="43" t="s">
        <v>39</v>
      </c>
      <c r="J2474" s="43" t="s">
        <v>1363</v>
      </c>
      <c r="K2474" s="43" t="s">
        <v>595</v>
      </c>
      <c r="L2474" s="4"/>
      <c r="M2474" s="4" t="s">
        <v>138</v>
      </c>
    </row>
    <row r="2475" spans="1:13" x14ac:dyDescent="0.25">
      <c r="A2475" s="43" t="s">
        <v>1436</v>
      </c>
      <c r="B2475" s="43" t="s">
        <v>0</v>
      </c>
      <c r="C2475" s="43" t="s">
        <v>198</v>
      </c>
      <c r="D2475" s="43" t="s">
        <v>199</v>
      </c>
      <c r="E2475" s="43" t="s">
        <v>59</v>
      </c>
      <c r="F2475" s="44">
        <v>43514</v>
      </c>
      <c r="G2475" s="44">
        <v>43549</v>
      </c>
      <c r="H2475" s="45">
        <v>0.68055555555555547</v>
      </c>
      <c r="I2475" s="43" t="s">
        <v>14</v>
      </c>
      <c r="J2475" s="43" t="s">
        <v>1176</v>
      </c>
      <c r="K2475" s="43" t="s">
        <v>38</v>
      </c>
      <c r="L2475" s="4"/>
      <c r="M2475" s="4" t="s">
        <v>138</v>
      </c>
    </row>
    <row r="2476" spans="1:13" x14ac:dyDescent="0.25">
      <c r="A2476" s="43" t="s">
        <v>1436</v>
      </c>
      <c r="B2476" s="43" t="s">
        <v>0</v>
      </c>
      <c r="C2476" s="43" t="s">
        <v>202</v>
      </c>
      <c r="D2476" s="43" t="s">
        <v>203</v>
      </c>
      <c r="E2476" s="43" t="s">
        <v>59</v>
      </c>
      <c r="F2476" s="44">
        <v>43409</v>
      </c>
      <c r="G2476" s="44">
        <v>43549</v>
      </c>
      <c r="H2476" s="45">
        <v>0.6875</v>
      </c>
      <c r="I2476" s="43" t="s">
        <v>14</v>
      </c>
      <c r="J2476" s="43" t="s">
        <v>1177</v>
      </c>
      <c r="K2476" s="43" t="s">
        <v>38</v>
      </c>
      <c r="L2476" s="4"/>
      <c r="M2476" s="4" t="s">
        <v>138</v>
      </c>
    </row>
    <row r="2477" spans="1:13" x14ac:dyDescent="0.25">
      <c r="A2477" s="43" t="s">
        <v>1436</v>
      </c>
      <c r="B2477" s="43" t="s">
        <v>0</v>
      </c>
      <c r="C2477" s="43" t="s">
        <v>208</v>
      </c>
      <c r="D2477" s="43" t="s">
        <v>209</v>
      </c>
      <c r="E2477" s="43" t="s">
        <v>13</v>
      </c>
      <c r="F2477" s="44">
        <v>43419</v>
      </c>
      <c r="G2477" s="44">
        <v>43552</v>
      </c>
      <c r="H2477" s="45">
        <v>0.64236111111111105</v>
      </c>
      <c r="I2477" s="43" t="s">
        <v>14</v>
      </c>
      <c r="J2477" s="43" t="s">
        <v>1181</v>
      </c>
      <c r="K2477" s="43" t="s">
        <v>38</v>
      </c>
      <c r="L2477" s="4"/>
      <c r="M2477" s="4" t="s">
        <v>138</v>
      </c>
    </row>
    <row r="2478" spans="1:13" x14ac:dyDescent="0.25">
      <c r="A2478" s="43" t="s">
        <v>1436</v>
      </c>
      <c r="B2478" s="43" t="s">
        <v>0</v>
      </c>
      <c r="C2478" s="43" t="s">
        <v>208</v>
      </c>
      <c r="D2478" s="43" t="s">
        <v>209</v>
      </c>
      <c r="E2478" s="43" t="s">
        <v>59</v>
      </c>
      <c r="F2478" s="44">
        <v>43409</v>
      </c>
      <c r="G2478" s="44">
        <v>43549</v>
      </c>
      <c r="H2478" s="45">
        <v>0.64583333333333337</v>
      </c>
      <c r="I2478" s="43" t="s">
        <v>14</v>
      </c>
      <c r="J2478" s="43" t="s">
        <v>1180</v>
      </c>
      <c r="K2478" s="43" t="s">
        <v>38</v>
      </c>
      <c r="L2478" s="4"/>
      <c r="M2478" s="4" t="s">
        <v>138</v>
      </c>
    </row>
    <row r="2479" spans="1:13" x14ac:dyDescent="0.25">
      <c r="A2479" s="43" t="s">
        <v>1436</v>
      </c>
      <c r="B2479" s="43" t="s">
        <v>0</v>
      </c>
      <c r="C2479" s="43" t="s">
        <v>208</v>
      </c>
      <c r="D2479" s="43" t="s">
        <v>209</v>
      </c>
      <c r="E2479" s="43" t="s">
        <v>48</v>
      </c>
      <c r="F2479" s="44">
        <v>43511</v>
      </c>
      <c r="G2479" s="44">
        <v>43511</v>
      </c>
      <c r="H2479" s="45">
        <v>0.64583333333333337</v>
      </c>
      <c r="I2479" s="43" t="s">
        <v>14</v>
      </c>
      <c r="J2479" s="43" t="s">
        <v>1179</v>
      </c>
      <c r="K2479" s="43" t="s">
        <v>38</v>
      </c>
      <c r="L2479" s="4"/>
      <c r="M2479" s="4" t="s">
        <v>138</v>
      </c>
    </row>
    <row r="2480" spans="1:13" x14ac:dyDescent="0.25">
      <c r="A2480" s="43" t="s">
        <v>1436</v>
      </c>
      <c r="B2480" s="43" t="s">
        <v>0</v>
      </c>
      <c r="C2480" s="43" t="s">
        <v>208</v>
      </c>
      <c r="D2480" s="43" t="s">
        <v>209</v>
      </c>
      <c r="E2480" s="43" t="s">
        <v>22</v>
      </c>
      <c r="F2480" s="44">
        <v>43407</v>
      </c>
      <c r="G2480" s="44">
        <v>43554</v>
      </c>
      <c r="H2480" s="45">
        <v>0.85069444444444453</v>
      </c>
      <c r="I2480" s="43" t="s">
        <v>14</v>
      </c>
      <c r="J2480" s="43" t="s">
        <v>1178</v>
      </c>
      <c r="K2480" s="43" t="s">
        <v>38</v>
      </c>
      <c r="L2480" s="4"/>
      <c r="M2480" s="4" t="s">
        <v>138</v>
      </c>
    </row>
    <row r="2481" spans="1:13" x14ac:dyDescent="0.25">
      <c r="A2481" s="43" t="s">
        <v>1436</v>
      </c>
      <c r="B2481" s="43" t="s">
        <v>0</v>
      </c>
      <c r="C2481" s="43" t="s">
        <v>1364</v>
      </c>
      <c r="D2481" s="43" t="s">
        <v>1365</v>
      </c>
      <c r="E2481" s="43" t="s">
        <v>48</v>
      </c>
      <c r="F2481" s="44">
        <v>43406</v>
      </c>
      <c r="G2481" s="44">
        <v>43553</v>
      </c>
      <c r="H2481" s="45">
        <v>0.25</v>
      </c>
      <c r="I2481" s="43" t="s">
        <v>39</v>
      </c>
      <c r="J2481" s="43" t="s">
        <v>1366</v>
      </c>
      <c r="K2481" s="43" t="s">
        <v>544</v>
      </c>
      <c r="L2481" s="4"/>
      <c r="M2481" s="4" t="s">
        <v>138</v>
      </c>
    </row>
    <row r="2482" spans="1:13" x14ac:dyDescent="0.25">
      <c r="A2482" s="43" t="s">
        <v>1436</v>
      </c>
      <c r="B2482" s="43" t="s">
        <v>0</v>
      </c>
      <c r="C2482" s="43" t="s">
        <v>1364</v>
      </c>
      <c r="D2482" s="43" t="s">
        <v>1365</v>
      </c>
      <c r="E2482" s="43" t="s">
        <v>13</v>
      </c>
      <c r="F2482" s="44">
        <v>43482</v>
      </c>
      <c r="G2482" s="44">
        <v>43552</v>
      </c>
      <c r="H2482" s="45">
        <v>0.59027777777777779</v>
      </c>
      <c r="I2482" s="43" t="s">
        <v>14</v>
      </c>
      <c r="J2482" s="43" t="s">
        <v>1764</v>
      </c>
      <c r="K2482" s="43" t="s">
        <v>544</v>
      </c>
      <c r="L2482" s="4"/>
      <c r="M2482" s="4" t="s">
        <v>138</v>
      </c>
    </row>
    <row r="2483" spans="1:13" x14ac:dyDescent="0.25">
      <c r="A2483" s="43" t="s">
        <v>1436</v>
      </c>
      <c r="B2483" s="43" t="s">
        <v>0</v>
      </c>
      <c r="C2483" s="43" t="s">
        <v>1294</v>
      </c>
      <c r="D2483" s="43" t="s">
        <v>1295</v>
      </c>
      <c r="E2483" s="43" t="s">
        <v>22</v>
      </c>
      <c r="F2483" s="44">
        <v>43456</v>
      </c>
      <c r="G2483" s="44">
        <v>43554</v>
      </c>
      <c r="H2483" s="45">
        <v>0.51736111111111105</v>
      </c>
      <c r="I2483" s="43" t="s">
        <v>14</v>
      </c>
      <c r="J2483" s="43" t="s">
        <v>1766</v>
      </c>
      <c r="K2483" s="43" t="s">
        <v>544</v>
      </c>
      <c r="L2483" s="4"/>
      <c r="M2483" s="4" t="s">
        <v>138</v>
      </c>
    </row>
    <row r="2484" spans="1:13" x14ac:dyDescent="0.25">
      <c r="A2484" s="43" t="s">
        <v>1436</v>
      </c>
      <c r="B2484" s="43" t="s">
        <v>0</v>
      </c>
      <c r="C2484" s="43" t="s">
        <v>1294</v>
      </c>
      <c r="D2484" s="43" t="s">
        <v>1295</v>
      </c>
      <c r="E2484" s="43" t="s">
        <v>22</v>
      </c>
      <c r="F2484" s="44">
        <v>43498</v>
      </c>
      <c r="G2484" s="44">
        <v>43512</v>
      </c>
      <c r="H2484" s="45">
        <v>0.52777777777777779</v>
      </c>
      <c r="I2484" s="43" t="s">
        <v>39</v>
      </c>
      <c r="J2484" s="43" t="s">
        <v>1765</v>
      </c>
      <c r="K2484" s="43" t="s">
        <v>544</v>
      </c>
      <c r="L2484" s="4"/>
      <c r="M2484" s="4" t="s">
        <v>138</v>
      </c>
    </row>
    <row r="2485" spans="1:13" x14ac:dyDescent="0.25">
      <c r="A2485" s="43" t="s">
        <v>1436</v>
      </c>
      <c r="B2485" s="43" t="s">
        <v>0</v>
      </c>
      <c r="C2485" s="43" t="s">
        <v>1294</v>
      </c>
      <c r="D2485" s="43" t="s">
        <v>1295</v>
      </c>
      <c r="E2485" s="43" t="s">
        <v>13</v>
      </c>
      <c r="F2485" s="44">
        <v>43426</v>
      </c>
      <c r="G2485" s="44">
        <v>43552</v>
      </c>
      <c r="H2485" s="45">
        <v>0.54166666666666663</v>
      </c>
      <c r="I2485" s="43" t="s">
        <v>14</v>
      </c>
      <c r="J2485" s="43" t="s">
        <v>1767</v>
      </c>
      <c r="K2485" s="43" t="s">
        <v>544</v>
      </c>
      <c r="L2485" s="4"/>
      <c r="M2485" s="4" t="s">
        <v>138</v>
      </c>
    </row>
    <row r="2486" spans="1:13" x14ac:dyDescent="0.25">
      <c r="A2486" s="43" t="s">
        <v>1436</v>
      </c>
      <c r="B2486" s="43" t="s">
        <v>0</v>
      </c>
      <c r="C2486" s="43" t="s">
        <v>1294</v>
      </c>
      <c r="D2486" s="43" t="s">
        <v>1295</v>
      </c>
      <c r="E2486" s="43" t="s">
        <v>20</v>
      </c>
      <c r="F2486" s="44">
        <v>43509</v>
      </c>
      <c r="G2486" s="44">
        <v>43537</v>
      </c>
      <c r="H2486" s="45">
        <v>0.56944444444444442</v>
      </c>
      <c r="I2486" s="43" t="s">
        <v>39</v>
      </c>
      <c r="J2486" s="43" t="s">
        <v>1367</v>
      </c>
      <c r="K2486" s="43" t="s">
        <v>544</v>
      </c>
      <c r="L2486" s="4"/>
      <c r="M2486" s="4" t="s">
        <v>138</v>
      </c>
    </row>
    <row r="2487" spans="1:13" x14ac:dyDescent="0.25">
      <c r="A2487" s="43" t="s">
        <v>1436</v>
      </c>
      <c r="B2487" s="43" t="s">
        <v>0</v>
      </c>
      <c r="C2487" s="43" t="s">
        <v>233</v>
      </c>
      <c r="D2487" s="43" t="s">
        <v>234</v>
      </c>
      <c r="E2487" s="43" t="s">
        <v>13</v>
      </c>
      <c r="F2487" s="44">
        <v>43405</v>
      </c>
      <c r="G2487" s="44">
        <v>43552</v>
      </c>
      <c r="H2487" s="45">
        <v>0.57986111111111105</v>
      </c>
      <c r="I2487" s="43" t="s">
        <v>14</v>
      </c>
      <c r="J2487" s="43" t="s">
        <v>1183</v>
      </c>
      <c r="K2487" s="43" t="s">
        <v>38</v>
      </c>
      <c r="L2487" s="4"/>
      <c r="M2487" s="4" t="s">
        <v>138</v>
      </c>
    </row>
    <row r="2488" spans="1:13" x14ac:dyDescent="0.25">
      <c r="A2488" s="43" t="s">
        <v>1436</v>
      </c>
      <c r="B2488" s="43" t="s">
        <v>0</v>
      </c>
      <c r="C2488" s="43" t="s">
        <v>233</v>
      </c>
      <c r="D2488" s="43" t="s">
        <v>234</v>
      </c>
      <c r="E2488" s="43" t="s">
        <v>48</v>
      </c>
      <c r="F2488" s="44">
        <v>43462</v>
      </c>
      <c r="G2488" s="44">
        <v>43511</v>
      </c>
      <c r="H2488" s="45">
        <v>0.61458333333333337</v>
      </c>
      <c r="I2488" s="43" t="s">
        <v>14</v>
      </c>
      <c r="J2488" s="43" t="s">
        <v>1184</v>
      </c>
      <c r="K2488" s="43" t="s">
        <v>38</v>
      </c>
      <c r="L2488" s="4"/>
      <c r="M2488" s="4" t="s">
        <v>138</v>
      </c>
    </row>
    <row r="2489" spans="1:13" x14ac:dyDescent="0.25">
      <c r="A2489" s="43" t="s">
        <v>1436</v>
      </c>
      <c r="B2489" s="43" t="s">
        <v>0</v>
      </c>
      <c r="C2489" s="43" t="s">
        <v>233</v>
      </c>
      <c r="D2489" s="43" t="s">
        <v>234</v>
      </c>
      <c r="E2489" s="43" t="s">
        <v>59</v>
      </c>
      <c r="F2489" s="44">
        <v>43409</v>
      </c>
      <c r="G2489" s="44">
        <v>43549</v>
      </c>
      <c r="H2489" s="45">
        <v>0.67361111111111116</v>
      </c>
      <c r="I2489" s="43" t="s">
        <v>14</v>
      </c>
      <c r="J2489" s="43" t="s">
        <v>1182</v>
      </c>
      <c r="K2489" s="43" t="s">
        <v>38</v>
      </c>
      <c r="L2489" s="4"/>
      <c r="M2489" s="4" t="s">
        <v>138</v>
      </c>
    </row>
    <row r="2490" spans="1:13" x14ac:dyDescent="0.25">
      <c r="A2490" s="43" t="s">
        <v>1436</v>
      </c>
      <c r="B2490" s="43" t="s">
        <v>0</v>
      </c>
      <c r="C2490" s="43" t="s">
        <v>233</v>
      </c>
      <c r="D2490" s="43" t="s">
        <v>234</v>
      </c>
      <c r="E2490" s="43" t="s">
        <v>22</v>
      </c>
      <c r="F2490" s="44">
        <v>43456</v>
      </c>
      <c r="G2490" s="44">
        <v>43554</v>
      </c>
      <c r="H2490" s="45">
        <v>0.80902777777777779</v>
      </c>
      <c r="I2490" s="43" t="s">
        <v>207</v>
      </c>
      <c r="J2490" s="43" t="s">
        <v>1185</v>
      </c>
      <c r="K2490" s="43" t="s">
        <v>38</v>
      </c>
      <c r="L2490" s="4"/>
      <c r="M2490" s="4" t="s">
        <v>138</v>
      </c>
    </row>
    <row r="2491" spans="1:13" x14ac:dyDescent="0.25">
      <c r="A2491" s="43" t="s">
        <v>1436</v>
      </c>
      <c r="B2491" s="43" t="s">
        <v>0</v>
      </c>
      <c r="C2491" s="43" t="s">
        <v>243</v>
      </c>
      <c r="D2491" s="43" t="s">
        <v>244</v>
      </c>
      <c r="E2491" s="43" t="s">
        <v>59</v>
      </c>
      <c r="F2491" s="44">
        <v>43500</v>
      </c>
      <c r="G2491" s="44">
        <v>43549</v>
      </c>
      <c r="H2491" s="45">
        <v>0.55555555555555558</v>
      </c>
      <c r="I2491" s="43">
        <v>738</v>
      </c>
      <c r="J2491" s="43" t="s">
        <v>1870</v>
      </c>
      <c r="K2491" s="43" t="s">
        <v>66</v>
      </c>
      <c r="L2491" s="4"/>
      <c r="M2491" s="4" t="s">
        <v>138</v>
      </c>
    </row>
    <row r="2492" spans="1:13" x14ac:dyDescent="0.25">
      <c r="A2492" s="43" t="s">
        <v>1436</v>
      </c>
      <c r="B2492" s="43" t="s">
        <v>0</v>
      </c>
      <c r="C2492" s="43" t="s">
        <v>1368</v>
      </c>
      <c r="D2492" s="43" t="s">
        <v>1369</v>
      </c>
      <c r="E2492" s="43" t="s">
        <v>22</v>
      </c>
      <c r="F2492" s="44">
        <v>43407</v>
      </c>
      <c r="G2492" s="44">
        <v>43554</v>
      </c>
      <c r="H2492" s="45">
        <v>0.58333333333333337</v>
      </c>
      <c r="I2492" s="43" t="s">
        <v>14</v>
      </c>
      <c r="J2492" s="43" t="s">
        <v>1370</v>
      </c>
      <c r="K2492" s="43" t="s">
        <v>488</v>
      </c>
      <c r="L2492" s="4"/>
      <c r="M2492" s="4" t="s">
        <v>138</v>
      </c>
    </row>
    <row r="2493" spans="1:13" x14ac:dyDescent="0.25">
      <c r="A2493" s="43" t="s">
        <v>1436</v>
      </c>
      <c r="B2493" s="43" t="s">
        <v>0</v>
      </c>
      <c r="C2493" s="43" t="s">
        <v>246</v>
      </c>
      <c r="D2493" s="43" t="s">
        <v>247</v>
      </c>
      <c r="E2493" s="43" t="s">
        <v>22</v>
      </c>
      <c r="F2493" s="44">
        <v>43463</v>
      </c>
      <c r="G2493" s="44">
        <v>43554</v>
      </c>
      <c r="H2493" s="45">
        <v>0.46527777777777773</v>
      </c>
      <c r="I2493" s="43" t="s">
        <v>352</v>
      </c>
      <c r="J2493" s="43" t="s">
        <v>1877</v>
      </c>
      <c r="K2493" s="43" t="s">
        <v>45</v>
      </c>
      <c r="L2493" s="4"/>
      <c r="M2493" s="4" t="s">
        <v>138</v>
      </c>
    </row>
    <row r="2494" spans="1:13" x14ac:dyDescent="0.25">
      <c r="A2494" s="43" t="s">
        <v>1436</v>
      </c>
      <c r="B2494" s="43" t="s">
        <v>0</v>
      </c>
      <c r="C2494" s="43" t="s">
        <v>252</v>
      </c>
      <c r="D2494" s="43" t="s">
        <v>253</v>
      </c>
      <c r="E2494" s="43" t="s">
        <v>59</v>
      </c>
      <c r="F2494" s="44">
        <v>43409</v>
      </c>
      <c r="G2494" s="44">
        <v>43549</v>
      </c>
      <c r="H2494" s="45">
        <v>0.68402777777777779</v>
      </c>
      <c r="I2494" s="43" t="s">
        <v>14</v>
      </c>
      <c r="J2494" s="43" t="s">
        <v>1186</v>
      </c>
      <c r="K2494" s="43" t="s">
        <v>38</v>
      </c>
      <c r="L2494" s="4"/>
      <c r="M2494" s="4" t="s">
        <v>138</v>
      </c>
    </row>
    <row r="2495" spans="1:13" x14ac:dyDescent="0.25">
      <c r="A2495" s="43" t="s">
        <v>1436</v>
      </c>
      <c r="B2495" s="43" t="s">
        <v>0</v>
      </c>
      <c r="C2495" s="43" t="s">
        <v>1371</v>
      </c>
      <c r="D2495" s="43" t="s">
        <v>1372</v>
      </c>
      <c r="E2495" s="43" t="s">
        <v>22</v>
      </c>
      <c r="F2495" s="44">
        <v>43407</v>
      </c>
      <c r="G2495" s="44">
        <v>43554</v>
      </c>
      <c r="H2495" s="45">
        <v>0.52430555555555558</v>
      </c>
      <c r="I2495" s="43" t="s">
        <v>14</v>
      </c>
      <c r="J2495" s="43" t="s">
        <v>1768</v>
      </c>
      <c r="K2495" s="43" t="s">
        <v>544</v>
      </c>
      <c r="L2495" s="4"/>
      <c r="M2495" s="4" t="s">
        <v>138</v>
      </c>
    </row>
    <row r="2496" spans="1:13" x14ac:dyDescent="0.25">
      <c r="A2496" s="43" t="s">
        <v>1436</v>
      </c>
      <c r="B2496" s="43" t="s">
        <v>0</v>
      </c>
      <c r="C2496" s="43" t="s">
        <v>1371</v>
      </c>
      <c r="D2496" s="43" t="s">
        <v>1372</v>
      </c>
      <c r="E2496" s="43" t="s">
        <v>13</v>
      </c>
      <c r="F2496" s="44">
        <v>43405</v>
      </c>
      <c r="G2496" s="44">
        <v>43552</v>
      </c>
      <c r="H2496" s="45">
        <v>0.57291666666666663</v>
      </c>
      <c r="I2496" s="43" t="s">
        <v>14</v>
      </c>
      <c r="J2496" s="43" t="s">
        <v>1373</v>
      </c>
      <c r="K2496" s="43" t="s">
        <v>544</v>
      </c>
      <c r="L2496" s="43"/>
      <c r="M2496" s="4" t="s">
        <v>138</v>
      </c>
    </row>
    <row r="2497" spans="1:13" x14ac:dyDescent="0.25">
      <c r="A2497" s="43" t="s">
        <v>1436</v>
      </c>
      <c r="B2497" s="43" t="s">
        <v>0</v>
      </c>
      <c r="C2497" s="43" t="s">
        <v>1371</v>
      </c>
      <c r="D2497" s="43" t="s">
        <v>1372</v>
      </c>
      <c r="E2497" s="43" t="s">
        <v>48</v>
      </c>
      <c r="F2497" s="44">
        <v>43406</v>
      </c>
      <c r="G2497" s="44">
        <v>43553</v>
      </c>
      <c r="H2497" s="45">
        <v>0.57638888888888895</v>
      </c>
      <c r="I2497" s="43" t="s">
        <v>14</v>
      </c>
      <c r="J2497" s="43" t="s">
        <v>1374</v>
      </c>
      <c r="K2497" s="43" t="s">
        <v>544</v>
      </c>
      <c r="L2497" s="43"/>
      <c r="M2497" s="4" t="s">
        <v>138</v>
      </c>
    </row>
    <row r="2498" spans="1:13" x14ac:dyDescent="0.25">
      <c r="A2498" s="43" t="s">
        <v>1436</v>
      </c>
      <c r="B2498" s="43" t="s">
        <v>0</v>
      </c>
      <c r="C2498" s="43" t="s">
        <v>691</v>
      </c>
      <c r="D2498" s="43" t="s">
        <v>692</v>
      </c>
      <c r="E2498" s="43" t="s">
        <v>22</v>
      </c>
      <c r="F2498" s="44">
        <v>43491</v>
      </c>
      <c r="G2498" s="44">
        <v>43547</v>
      </c>
      <c r="H2498" s="45">
        <v>2.0833333333333332E-2</v>
      </c>
      <c r="I2498" s="43">
        <v>738</v>
      </c>
      <c r="J2498" s="43" t="s">
        <v>1189</v>
      </c>
      <c r="K2498" s="43" t="s">
        <v>694</v>
      </c>
      <c r="L2498" s="43" t="s">
        <v>1190</v>
      </c>
      <c r="M2498" s="4" t="s">
        <v>138</v>
      </c>
    </row>
    <row r="2499" spans="1:13" x14ac:dyDescent="0.25">
      <c r="A2499" s="43" t="s">
        <v>1436</v>
      </c>
      <c r="B2499" s="43" t="s">
        <v>0</v>
      </c>
      <c r="C2499" s="43" t="s">
        <v>691</v>
      </c>
      <c r="D2499" s="43" t="s">
        <v>692</v>
      </c>
      <c r="E2499" s="43" t="s">
        <v>19</v>
      </c>
      <c r="F2499" s="44">
        <v>43487</v>
      </c>
      <c r="G2499" s="44">
        <v>43543</v>
      </c>
      <c r="H2499" s="45">
        <v>0.52083333333333337</v>
      </c>
      <c r="I2499" s="43">
        <v>738</v>
      </c>
      <c r="J2499" s="43" t="s">
        <v>1189</v>
      </c>
      <c r="K2499" s="43" t="s">
        <v>694</v>
      </c>
      <c r="L2499" s="43" t="s">
        <v>1190</v>
      </c>
      <c r="M2499" s="4" t="s">
        <v>138</v>
      </c>
    </row>
    <row r="2500" spans="1:13" x14ac:dyDescent="0.25">
      <c r="A2500" s="43" t="s">
        <v>1436</v>
      </c>
      <c r="B2500" s="43" t="s">
        <v>0</v>
      </c>
      <c r="C2500" s="43" t="s">
        <v>691</v>
      </c>
      <c r="D2500" s="43" t="s">
        <v>692</v>
      </c>
      <c r="E2500" s="43" t="s">
        <v>18</v>
      </c>
      <c r="F2500" s="44">
        <v>43492</v>
      </c>
      <c r="G2500" s="44">
        <v>43548</v>
      </c>
      <c r="H2500" s="45">
        <v>0.84027777777777779</v>
      </c>
      <c r="I2500" s="43">
        <v>738</v>
      </c>
      <c r="J2500" s="43" t="s">
        <v>1189</v>
      </c>
      <c r="K2500" s="43" t="s">
        <v>694</v>
      </c>
      <c r="L2500" s="43" t="s">
        <v>1190</v>
      </c>
      <c r="M2500" s="4" t="s">
        <v>138</v>
      </c>
    </row>
    <row r="2501" spans="1:13" x14ac:dyDescent="0.25">
      <c r="A2501" s="43" t="s">
        <v>1436</v>
      </c>
      <c r="B2501" s="43" t="s">
        <v>0</v>
      </c>
      <c r="C2501" s="43" t="s">
        <v>1769</v>
      </c>
      <c r="D2501" s="43" t="s">
        <v>1770</v>
      </c>
      <c r="E2501" s="43" t="s">
        <v>22</v>
      </c>
      <c r="F2501" s="44">
        <v>43512</v>
      </c>
      <c r="G2501" s="44">
        <v>43533</v>
      </c>
      <c r="H2501" s="45">
        <v>0.31597222222222221</v>
      </c>
      <c r="I2501" s="43" t="s">
        <v>39</v>
      </c>
      <c r="J2501" s="43" t="s">
        <v>1771</v>
      </c>
      <c r="K2501" s="43" t="s">
        <v>544</v>
      </c>
      <c r="L2501" s="43"/>
      <c r="M2501" s="4" t="s">
        <v>138</v>
      </c>
    </row>
    <row r="2502" spans="1:13" x14ac:dyDescent="0.25">
      <c r="A2502" s="43" t="s">
        <v>1436</v>
      </c>
      <c r="B2502" s="43" t="s">
        <v>0</v>
      </c>
      <c r="C2502" s="43" t="s">
        <v>1769</v>
      </c>
      <c r="D2502" s="43" t="s">
        <v>1770</v>
      </c>
      <c r="E2502" s="43" t="s">
        <v>59</v>
      </c>
      <c r="F2502" s="44">
        <v>43402</v>
      </c>
      <c r="G2502" s="44">
        <v>43549</v>
      </c>
      <c r="H2502" s="45">
        <v>0.61458333333333337</v>
      </c>
      <c r="I2502" s="43" t="s">
        <v>81</v>
      </c>
      <c r="J2502" s="43" t="s">
        <v>1772</v>
      </c>
      <c r="K2502" s="43" t="s">
        <v>544</v>
      </c>
      <c r="L2502" s="43"/>
      <c r="M2502" s="4" t="s">
        <v>138</v>
      </c>
    </row>
    <row r="2503" spans="1:13" x14ac:dyDescent="0.25">
      <c r="A2503" s="43" t="s">
        <v>1436</v>
      </c>
      <c r="B2503" s="43" t="s">
        <v>0</v>
      </c>
      <c r="C2503" s="43" t="s">
        <v>701</v>
      </c>
      <c r="D2503" s="43" t="s">
        <v>702</v>
      </c>
      <c r="E2503" s="43" t="s">
        <v>13</v>
      </c>
      <c r="F2503" s="44">
        <v>43496</v>
      </c>
      <c r="G2503" s="44">
        <v>43517</v>
      </c>
      <c r="H2503" s="45">
        <v>0.41666666666666669</v>
      </c>
      <c r="I2503" s="43" t="s">
        <v>14</v>
      </c>
      <c r="J2503" s="43" t="s">
        <v>1773</v>
      </c>
      <c r="K2503" s="43" t="s">
        <v>488</v>
      </c>
      <c r="L2503" s="43"/>
      <c r="M2503" s="4" t="s">
        <v>138</v>
      </c>
    </row>
    <row r="2504" spans="1:13" x14ac:dyDescent="0.25">
      <c r="A2504" s="43" t="s">
        <v>1436</v>
      </c>
      <c r="B2504" s="43" t="s">
        <v>0</v>
      </c>
      <c r="C2504" s="43" t="s">
        <v>701</v>
      </c>
      <c r="D2504" s="43" t="s">
        <v>702</v>
      </c>
      <c r="E2504" s="43" t="s">
        <v>22</v>
      </c>
      <c r="F2504" s="44">
        <v>43407</v>
      </c>
      <c r="G2504" s="44">
        <v>43554</v>
      </c>
      <c r="H2504" s="45">
        <v>0.54861111111111105</v>
      </c>
      <c r="I2504" s="43" t="s">
        <v>14</v>
      </c>
      <c r="J2504" s="43" t="s">
        <v>1774</v>
      </c>
      <c r="K2504" s="43" t="s">
        <v>488</v>
      </c>
      <c r="L2504" s="43"/>
      <c r="M2504" s="4" t="s">
        <v>138</v>
      </c>
    </row>
    <row r="2505" spans="1:13" x14ac:dyDescent="0.25">
      <c r="A2505" s="43" t="s">
        <v>1436</v>
      </c>
      <c r="B2505" s="43" t="s">
        <v>0</v>
      </c>
      <c r="C2505" s="43" t="s">
        <v>701</v>
      </c>
      <c r="D2505" s="43" t="s">
        <v>702</v>
      </c>
      <c r="E2505" s="43" t="s">
        <v>22</v>
      </c>
      <c r="F2505" s="44">
        <v>43449</v>
      </c>
      <c r="G2505" s="44">
        <v>43554</v>
      </c>
      <c r="H2505" s="45">
        <v>0.54861111111111105</v>
      </c>
      <c r="I2505" s="43">
        <v>333</v>
      </c>
      <c r="J2505" s="43" t="s">
        <v>1775</v>
      </c>
      <c r="K2505" s="43" t="s">
        <v>488</v>
      </c>
      <c r="L2505" s="43"/>
      <c r="M2505" s="4" t="s">
        <v>138</v>
      </c>
    </row>
    <row r="2506" spans="1:13" x14ac:dyDescent="0.25">
      <c r="A2506" s="43" t="s">
        <v>1436</v>
      </c>
      <c r="B2506" s="43" t="s">
        <v>0</v>
      </c>
      <c r="C2506" s="43" t="s">
        <v>701</v>
      </c>
      <c r="D2506" s="43" t="s">
        <v>702</v>
      </c>
      <c r="E2506" s="43" t="s">
        <v>13</v>
      </c>
      <c r="F2506" s="44">
        <v>43405</v>
      </c>
      <c r="G2506" s="44">
        <v>43552</v>
      </c>
      <c r="H2506" s="45">
        <v>0.59027777777777779</v>
      </c>
      <c r="I2506" s="43">
        <v>333</v>
      </c>
      <c r="J2506" s="43" t="s">
        <v>1375</v>
      </c>
      <c r="K2506" s="43" t="s">
        <v>488</v>
      </c>
      <c r="L2506" s="43"/>
      <c r="M2506" s="4" t="s">
        <v>138</v>
      </c>
    </row>
    <row r="2507" spans="1:13" x14ac:dyDescent="0.25">
      <c r="A2507" s="43" t="s">
        <v>1436</v>
      </c>
      <c r="B2507" s="43" t="s">
        <v>0</v>
      </c>
      <c r="C2507" s="43" t="s">
        <v>701</v>
      </c>
      <c r="D2507" s="43" t="s">
        <v>702</v>
      </c>
      <c r="E2507" s="43" t="s">
        <v>22</v>
      </c>
      <c r="F2507" s="44">
        <v>43407</v>
      </c>
      <c r="G2507" s="44">
        <v>43554</v>
      </c>
      <c r="H2507" s="45">
        <v>0.61805555555555558</v>
      </c>
      <c r="I2507" s="43" t="s">
        <v>39</v>
      </c>
      <c r="J2507" s="43" t="s">
        <v>1310</v>
      </c>
      <c r="K2507" s="43" t="s">
        <v>488</v>
      </c>
      <c r="L2507" s="43"/>
      <c r="M2507" s="4" t="s">
        <v>138</v>
      </c>
    </row>
    <row r="2508" spans="1:13" x14ac:dyDescent="0.25">
      <c r="A2508" s="43" t="s">
        <v>1436</v>
      </c>
      <c r="B2508" s="43" t="s">
        <v>0</v>
      </c>
      <c r="C2508" s="43" t="s">
        <v>701</v>
      </c>
      <c r="D2508" s="43" t="s">
        <v>702</v>
      </c>
      <c r="E2508" s="43" t="s">
        <v>20</v>
      </c>
      <c r="F2508" s="44">
        <v>43404</v>
      </c>
      <c r="G2508" s="44">
        <v>43551</v>
      </c>
      <c r="H2508" s="45">
        <v>0.68055555555555547</v>
      </c>
      <c r="I2508" s="43">
        <v>333</v>
      </c>
      <c r="J2508" s="43" t="s">
        <v>1191</v>
      </c>
      <c r="K2508" s="43" t="s">
        <v>488</v>
      </c>
      <c r="L2508" s="43"/>
      <c r="M2508" s="4" t="s">
        <v>138</v>
      </c>
    </row>
    <row r="2509" spans="1:13" x14ac:dyDescent="0.25">
      <c r="A2509" s="43" t="s">
        <v>1436</v>
      </c>
      <c r="B2509" s="43" t="s">
        <v>0</v>
      </c>
      <c r="C2509" s="43" t="s">
        <v>706</v>
      </c>
      <c r="D2509" s="43" t="s">
        <v>707</v>
      </c>
      <c r="E2509" s="43" t="s">
        <v>48</v>
      </c>
      <c r="F2509" s="44">
        <v>43504</v>
      </c>
      <c r="G2509" s="44">
        <v>43532</v>
      </c>
      <c r="H2509" s="45">
        <v>0.3125</v>
      </c>
      <c r="I2509" s="43" t="s">
        <v>39</v>
      </c>
      <c r="J2509" s="43" t="s">
        <v>1376</v>
      </c>
      <c r="K2509" s="43" t="s">
        <v>488</v>
      </c>
      <c r="L2509" s="43"/>
      <c r="M2509" s="4" t="s">
        <v>138</v>
      </c>
    </row>
    <row r="2510" spans="1:13" x14ac:dyDescent="0.25">
      <c r="A2510" s="43" t="s">
        <v>1436</v>
      </c>
      <c r="B2510" s="43" t="s">
        <v>0</v>
      </c>
      <c r="C2510" s="43" t="s">
        <v>1377</v>
      </c>
      <c r="D2510" s="43" t="s">
        <v>1378</v>
      </c>
      <c r="E2510" s="43" t="s">
        <v>20</v>
      </c>
      <c r="F2510" s="44">
        <v>43488</v>
      </c>
      <c r="G2510" s="44">
        <v>43551</v>
      </c>
      <c r="H2510" s="45">
        <v>0.5625</v>
      </c>
      <c r="I2510" s="43" t="s">
        <v>14</v>
      </c>
      <c r="J2510" s="43" t="s">
        <v>1379</v>
      </c>
      <c r="K2510" s="43" t="s">
        <v>595</v>
      </c>
      <c r="L2510" s="43"/>
      <c r="M2510" s="4" t="s">
        <v>138</v>
      </c>
    </row>
    <row r="2511" spans="1:13" x14ac:dyDescent="0.25">
      <c r="A2511" s="43" t="s">
        <v>1436</v>
      </c>
      <c r="B2511" s="43" t="s">
        <v>0</v>
      </c>
      <c r="C2511" s="43" t="s">
        <v>1776</v>
      </c>
      <c r="D2511" s="43" t="s">
        <v>1777</v>
      </c>
      <c r="E2511" s="43" t="s">
        <v>59</v>
      </c>
      <c r="F2511" s="44">
        <v>43423</v>
      </c>
      <c r="G2511" s="44">
        <v>43549</v>
      </c>
      <c r="H2511" s="45">
        <v>0.53125</v>
      </c>
      <c r="I2511" s="43" t="s">
        <v>14</v>
      </c>
      <c r="J2511" s="43" t="s">
        <v>1778</v>
      </c>
      <c r="K2511" s="43" t="s">
        <v>723</v>
      </c>
      <c r="L2511" s="43"/>
      <c r="M2511" s="4" t="s">
        <v>138</v>
      </c>
    </row>
    <row r="2512" spans="1:13" x14ac:dyDescent="0.25">
      <c r="A2512" s="43" t="s">
        <v>1436</v>
      </c>
      <c r="B2512" s="43" t="s">
        <v>0</v>
      </c>
      <c r="C2512" s="43" t="s">
        <v>720</v>
      </c>
      <c r="D2512" s="43" t="s">
        <v>721</v>
      </c>
      <c r="E2512" s="43" t="s">
        <v>19</v>
      </c>
      <c r="F2512" s="44">
        <v>43424</v>
      </c>
      <c r="G2512" s="44">
        <v>43550</v>
      </c>
      <c r="H2512" s="45">
        <v>0.55902777777777779</v>
      </c>
      <c r="I2512" s="43" t="s">
        <v>14</v>
      </c>
      <c r="J2512" s="43" t="s">
        <v>1779</v>
      </c>
      <c r="K2512" s="43" t="s">
        <v>723</v>
      </c>
      <c r="L2512" s="4"/>
      <c r="M2512" s="4" t="s">
        <v>138</v>
      </c>
    </row>
    <row r="2513" spans="1:13" x14ac:dyDescent="0.25">
      <c r="A2513" s="43" t="s">
        <v>1436</v>
      </c>
      <c r="B2513" s="43" t="s">
        <v>0</v>
      </c>
      <c r="C2513" s="43" t="s">
        <v>1780</v>
      </c>
      <c r="D2513" s="43" t="s">
        <v>1781</v>
      </c>
      <c r="E2513" s="43" t="s">
        <v>18</v>
      </c>
      <c r="F2513" s="44">
        <v>43408</v>
      </c>
      <c r="G2513" s="44">
        <v>43548</v>
      </c>
      <c r="H2513" s="45">
        <v>0.64930555555555558</v>
      </c>
      <c r="I2513" s="43" t="s">
        <v>81</v>
      </c>
      <c r="J2513" s="43" t="s">
        <v>1782</v>
      </c>
      <c r="K2513" s="43" t="s">
        <v>544</v>
      </c>
      <c r="L2513" s="4"/>
      <c r="M2513" s="4" t="s">
        <v>138</v>
      </c>
    </row>
    <row r="2514" spans="1:13" x14ac:dyDescent="0.25">
      <c r="A2514" s="43" t="s">
        <v>1436</v>
      </c>
      <c r="B2514" s="43" t="s">
        <v>0</v>
      </c>
      <c r="C2514" s="43" t="s">
        <v>1192</v>
      </c>
      <c r="D2514" s="43" t="s">
        <v>1193</v>
      </c>
      <c r="E2514" s="43" t="s">
        <v>22</v>
      </c>
      <c r="F2514" s="44">
        <v>43512</v>
      </c>
      <c r="G2514" s="44">
        <v>43533</v>
      </c>
      <c r="H2514" s="45">
        <v>0.30208333333333331</v>
      </c>
      <c r="I2514" s="43" t="s">
        <v>39</v>
      </c>
      <c r="J2514" s="43" t="s">
        <v>1783</v>
      </c>
      <c r="K2514" s="43" t="s">
        <v>488</v>
      </c>
      <c r="L2514" s="4"/>
      <c r="M2514" s="4" t="s">
        <v>138</v>
      </c>
    </row>
    <row r="2515" spans="1:13" x14ac:dyDescent="0.25">
      <c r="A2515" s="43" t="s">
        <v>1436</v>
      </c>
      <c r="B2515" s="43" t="s">
        <v>0</v>
      </c>
      <c r="C2515" s="43" t="s">
        <v>1192</v>
      </c>
      <c r="D2515" s="43" t="s">
        <v>1193</v>
      </c>
      <c r="E2515" s="43" t="s">
        <v>22</v>
      </c>
      <c r="F2515" s="44">
        <v>43407</v>
      </c>
      <c r="G2515" s="44">
        <v>43554</v>
      </c>
      <c r="H2515" s="45">
        <v>0.60069444444444442</v>
      </c>
      <c r="I2515" s="43">
        <v>738</v>
      </c>
      <c r="J2515" s="43" t="s">
        <v>1380</v>
      </c>
      <c r="K2515" s="43" t="s">
        <v>488</v>
      </c>
      <c r="L2515" s="4"/>
      <c r="M2515" s="4" t="s">
        <v>138</v>
      </c>
    </row>
    <row r="2516" spans="1:13" x14ac:dyDescent="0.25">
      <c r="A2516" s="43" t="s">
        <v>1436</v>
      </c>
      <c r="B2516" s="43" t="s">
        <v>0</v>
      </c>
      <c r="C2516" s="43" t="s">
        <v>1192</v>
      </c>
      <c r="D2516" s="43" t="s">
        <v>1193</v>
      </c>
      <c r="E2516" s="43" t="s">
        <v>22</v>
      </c>
      <c r="F2516" s="44">
        <v>43407</v>
      </c>
      <c r="G2516" s="44">
        <v>43554</v>
      </c>
      <c r="H2516" s="45">
        <v>0.74652777777777779</v>
      </c>
      <c r="I2516" s="43" t="s">
        <v>14</v>
      </c>
      <c r="J2516" s="43" t="s">
        <v>1381</v>
      </c>
      <c r="K2516" s="43" t="s">
        <v>488</v>
      </c>
      <c r="L2516" s="4"/>
      <c r="M2516" s="4" t="s">
        <v>138</v>
      </c>
    </row>
    <row r="2517" spans="1:13" x14ac:dyDescent="0.25">
      <c r="A2517" s="43" t="s">
        <v>1436</v>
      </c>
      <c r="B2517" s="43" t="s">
        <v>0</v>
      </c>
      <c r="C2517" s="43" t="s">
        <v>1382</v>
      </c>
      <c r="D2517" s="43" t="s">
        <v>1383</v>
      </c>
      <c r="E2517" s="43" t="s">
        <v>13</v>
      </c>
      <c r="F2517" s="44">
        <v>43405</v>
      </c>
      <c r="G2517" s="44">
        <v>43552</v>
      </c>
      <c r="H2517" s="45">
        <v>0.61111111111111105</v>
      </c>
      <c r="I2517" s="43" t="s">
        <v>81</v>
      </c>
      <c r="J2517" s="43" t="s">
        <v>1384</v>
      </c>
      <c r="K2517" s="43" t="s">
        <v>544</v>
      </c>
      <c r="L2517" s="4"/>
      <c r="M2517" s="4" t="s">
        <v>138</v>
      </c>
    </row>
    <row r="2518" spans="1:13" x14ac:dyDescent="0.25">
      <c r="A2518" s="43" t="s">
        <v>1436</v>
      </c>
      <c r="B2518" s="43" t="s">
        <v>0</v>
      </c>
      <c r="C2518" s="43" t="s">
        <v>1784</v>
      </c>
      <c r="D2518" s="43" t="s">
        <v>1785</v>
      </c>
      <c r="E2518" s="43" t="s">
        <v>59</v>
      </c>
      <c r="F2518" s="44">
        <v>43486</v>
      </c>
      <c r="G2518" s="44">
        <v>43521</v>
      </c>
      <c r="H2518" s="45">
        <v>0.58680555555555558</v>
      </c>
      <c r="I2518" s="43" t="s">
        <v>81</v>
      </c>
      <c r="J2518" s="43" t="s">
        <v>1786</v>
      </c>
      <c r="K2518" s="43" t="s">
        <v>595</v>
      </c>
      <c r="L2518" s="4"/>
      <c r="M2518" s="4" t="s">
        <v>138</v>
      </c>
    </row>
    <row r="2519" spans="1:13" x14ac:dyDescent="0.25">
      <c r="A2519" s="43" t="s">
        <v>1436</v>
      </c>
      <c r="B2519" s="43" t="s">
        <v>0</v>
      </c>
      <c r="C2519" s="43" t="s">
        <v>1268</v>
      </c>
      <c r="D2519" s="43" t="s">
        <v>1269</v>
      </c>
      <c r="E2519" s="43" t="s">
        <v>48</v>
      </c>
      <c r="F2519" s="44">
        <v>43511</v>
      </c>
      <c r="G2519" s="44">
        <v>43511</v>
      </c>
      <c r="H2519" s="45">
        <v>0.31597222222222221</v>
      </c>
      <c r="I2519" s="43" t="s">
        <v>39</v>
      </c>
      <c r="J2519" s="43" t="s">
        <v>1385</v>
      </c>
      <c r="K2519" s="43" t="s">
        <v>488</v>
      </c>
      <c r="L2519" s="4"/>
      <c r="M2519" s="4" t="s">
        <v>138</v>
      </c>
    </row>
    <row r="2520" spans="1:13" x14ac:dyDescent="0.25">
      <c r="A2520" s="43" t="s">
        <v>1436</v>
      </c>
      <c r="B2520" s="43" t="s">
        <v>0</v>
      </c>
      <c r="C2520" s="43" t="s">
        <v>1194</v>
      </c>
      <c r="D2520" s="43" t="s">
        <v>1195</v>
      </c>
      <c r="E2520" s="43" t="s">
        <v>22</v>
      </c>
      <c r="F2520" s="44">
        <v>43407</v>
      </c>
      <c r="G2520" s="44">
        <v>43554</v>
      </c>
      <c r="H2520" s="45">
        <v>0.50694444444444442</v>
      </c>
      <c r="I2520" s="43" t="s">
        <v>14</v>
      </c>
      <c r="J2520" s="43" t="s">
        <v>1386</v>
      </c>
      <c r="K2520" s="43" t="s">
        <v>488</v>
      </c>
      <c r="L2520" s="4"/>
      <c r="M2520" s="4" t="s">
        <v>138</v>
      </c>
    </row>
    <row r="2521" spans="1:13" x14ac:dyDescent="0.25">
      <c r="A2521" s="43" t="s">
        <v>1436</v>
      </c>
      <c r="B2521" s="43" t="s">
        <v>0</v>
      </c>
      <c r="C2521" s="43" t="s">
        <v>1194</v>
      </c>
      <c r="D2521" s="43" t="s">
        <v>1195</v>
      </c>
      <c r="E2521" s="43" t="s">
        <v>22</v>
      </c>
      <c r="F2521" s="44">
        <v>43435</v>
      </c>
      <c r="G2521" s="44">
        <v>43554</v>
      </c>
      <c r="H2521" s="45">
        <v>0.56597222222222221</v>
      </c>
      <c r="I2521" s="43">
        <v>738</v>
      </c>
      <c r="J2521" s="43" t="s">
        <v>1787</v>
      </c>
      <c r="K2521" s="43" t="s">
        <v>488</v>
      </c>
      <c r="L2521" s="4"/>
      <c r="M2521" s="4" t="s">
        <v>138</v>
      </c>
    </row>
    <row r="2522" spans="1:13" x14ac:dyDescent="0.25">
      <c r="A2522" s="43" t="s">
        <v>1436</v>
      </c>
      <c r="B2522" s="43" t="s">
        <v>0</v>
      </c>
      <c r="C2522" s="43" t="s">
        <v>1194</v>
      </c>
      <c r="D2522" s="43" t="s">
        <v>1195</v>
      </c>
      <c r="E2522" s="43" t="s">
        <v>48</v>
      </c>
      <c r="F2522" s="44">
        <v>43511</v>
      </c>
      <c r="G2522" s="44">
        <v>43553</v>
      </c>
      <c r="H2522" s="45">
        <v>0.60416666666666663</v>
      </c>
      <c r="I2522" s="43">
        <v>333</v>
      </c>
      <c r="J2522" s="43" t="s">
        <v>1387</v>
      </c>
      <c r="K2522" s="43" t="s">
        <v>488</v>
      </c>
      <c r="L2522" s="4"/>
      <c r="M2522" s="4" t="s">
        <v>138</v>
      </c>
    </row>
    <row r="2523" spans="1:13" x14ac:dyDescent="0.25">
      <c r="A2523" s="43" t="s">
        <v>1436</v>
      </c>
      <c r="B2523" s="43" t="s">
        <v>0</v>
      </c>
      <c r="C2523" s="43" t="s">
        <v>1194</v>
      </c>
      <c r="D2523" s="43" t="s">
        <v>1195</v>
      </c>
      <c r="E2523" s="43" t="s">
        <v>22</v>
      </c>
      <c r="F2523" s="44">
        <v>43407</v>
      </c>
      <c r="G2523" s="44">
        <v>43554</v>
      </c>
      <c r="H2523" s="45">
        <v>0.63194444444444442</v>
      </c>
      <c r="I2523" s="43">
        <v>738</v>
      </c>
      <c r="J2523" s="43" t="s">
        <v>1388</v>
      </c>
      <c r="K2523" s="43" t="s">
        <v>488</v>
      </c>
      <c r="L2523" s="4"/>
      <c r="M2523" s="4" t="s">
        <v>138</v>
      </c>
    </row>
    <row r="2524" spans="1:13" x14ac:dyDescent="0.25">
      <c r="A2524" s="43" t="s">
        <v>1436</v>
      </c>
      <c r="B2524" s="43" t="s">
        <v>0</v>
      </c>
      <c r="C2524" s="43" t="s">
        <v>1389</v>
      </c>
      <c r="D2524" s="43" t="s">
        <v>1390</v>
      </c>
      <c r="E2524" s="43" t="s">
        <v>59</v>
      </c>
      <c r="F2524" s="44">
        <v>43423</v>
      </c>
      <c r="G2524" s="44">
        <v>43549</v>
      </c>
      <c r="H2524" s="45">
        <v>0.31597222222222221</v>
      </c>
      <c r="I2524" s="43" t="s">
        <v>39</v>
      </c>
      <c r="J2524" s="43" t="s">
        <v>1391</v>
      </c>
      <c r="K2524" s="43" t="s">
        <v>595</v>
      </c>
      <c r="L2524" s="4"/>
      <c r="M2524" s="4" t="s">
        <v>138</v>
      </c>
    </row>
    <row r="2525" spans="1:13" x14ac:dyDescent="0.25">
      <c r="A2525" s="43" t="s">
        <v>1436</v>
      </c>
      <c r="B2525" s="43" t="s">
        <v>0</v>
      </c>
      <c r="C2525" s="43" t="s">
        <v>1392</v>
      </c>
      <c r="D2525" s="43" t="s">
        <v>1393</v>
      </c>
      <c r="E2525" s="43" t="s">
        <v>22</v>
      </c>
      <c r="F2525" s="44">
        <v>43407</v>
      </c>
      <c r="G2525" s="44">
        <v>43554</v>
      </c>
      <c r="H2525" s="45">
        <v>0.3125</v>
      </c>
      <c r="I2525" s="43" t="s">
        <v>39</v>
      </c>
      <c r="J2525" s="43" t="s">
        <v>1394</v>
      </c>
      <c r="K2525" s="43" t="s">
        <v>544</v>
      </c>
      <c r="L2525" s="4"/>
      <c r="M2525" s="4" t="s">
        <v>138</v>
      </c>
    </row>
    <row r="2526" spans="1:13" x14ac:dyDescent="0.25">
      <c r="A2526" s="43" t="s">
        <v>1436</v>
      </c>
      <c r="B2526" s="43" t="s">
        <v>0</v>
      </c>
      <c r="C2526" s="43" t="s">
        <v>1392</v>
      </c>
      <c r="D2526" s="43" t="s">
        <v>1393</v>
      </c>
      <c r="E2526" s="43" t="s">
        <v>22</v>
      </c>
      <c r="F2526" s="44">
        <v>43407</v>
      </c>
      <c r="G2526" s="44">
        <v>43554</v>
      </c>
      <c r="H2526" s="45">
        <v>0.55555555555555558</v>
      </c>
      <c r="I2526" s="43" t="s">
        <v>81</v>
      </c>
      <c r="J2526" s="43" t="s">
        <v>1788</v>
      </c>
      <c r="K2526" s="43" t="s">
        <v>544</v>
      </c>
      <c r="L2526" s="4"/>
      <c r="M2526" s="4" t="s">
        <v>138</v>
      </c>
    </row>
    <row r="2527" spans="1:13" x14ac:dyDescent="0.25">
      <c r="A2527" s="43" t="s">
        <v>1436</v>
      </c>
      <c r="B2527" s="43" t="s">
        <v>0</v>
      </c>
      <c r="C2527" s="43" t="s">
        <v>1395</v>
      </c>
      <c r="D2527" s="43" t="s">
        <v>1396</v>
      </c>
      <c r="E2527" s="43" t="s">
        <v>13</v>
      </c>
      <c r="F2527" s="44">
        <v>43405</v>
      </c>
      <c r="G2527" s="44">
        <v>43552</v>
      </c>
      <c r="H2527" s="45">
        <v>0.3125</v>
      </c>
      <c r="I2527" s="43" t="s">
        <v>39</v>
      </c>
      <c r="J2527" s="43" t="s">
        <v>1397</v>
      </c>
      <c r="K2527" s="43" t="s">
        <v>595</v>
      </c>
      <c r="L2527" s="4"/>
      <c r="M2527" s="4" t="s">
        <v>138</v>
      </c>
    </row>
    <row r="2528" spans="1:13" x14ac:dyDescent="0.25">
      <c r="A2528" s="43" t="s">
        <v>1436</v>
      </c>
      <c r="B2528" s="43" t="s">
        <v>0</v>
      </c>
      <c r="C2528" s="43" t="s">
        <v>1395</v>
      </c>
      <c r="D2528" s="43" t="s">
        <v>1396</v>
      </c>
      <c r="E2528" s="43" t="s">
        <v>48</v>
      </c>
      <c r="F2528" s="44">
        <v>43455</v>
      </c>
      <c r="G2528" s="44">
        <v>43553</v>
      </c>
      <c r="H2528" s="45">
        <v>0.52083333333333337</v>
      </c>
      <c r="I2528" s="43" t="s">
        <v>81</v>
      </c>
      <c r="J2528" s="43" t="s">
        <v>1789</v>
      </c>
      <c r="K2528" s="43" t="s">
        <v>595</v>
      </c>
      <c r="L2528" s="4"/>
      <c r="M2528" s="4" t="s">
        <v>138</v>
      </c>
    </row>
    <row r="2529" spans="1:13" x14ac:dyDescent="0.25">
      <c r="A2529" s="43" t="s">
        <v>1436</v>
      </c>
      <c r="B2529" s="43" t="s">
        <v>0</v>
      </c>
      <c r="C2529" s="43" t="s">
        <v>1398</v>
      </c>
      <c r="D2529" s="43" t="s">
        <v>1399</v>
      </c>
      <c r="E2529" s="43" t="s">
        <v>20</v>
      </c>
      <c r="F2529" s="44">
        <v>43404</v>
      </c>
      <c r="G2529" s="44">
        <v>43551</v>
      </c>
      <c r="H2529" s="45">
        <v>0.56944444444444442</v>
      </c>
      <c r="I2529" s="43" t="s">
        <v>14</v>
      </c>
      <c r="J2529" s="43" t="s">
        <v>1400</v>
      </c>
      <c r="K2529" s="43" t="s">
        <v>544</v>
      </c>
      <c r="L2529" s="4"/>
      <c r="M2529" s="4" t="s">
        <v>138</v>
      </c>
    </row>
    <row r="2530" spans="1:13" x14ac:dyDescent="0.25">
      <c r="A2530" s="43" t="s">
        <v>1436</v>
      </c>
      <c r="B2530" s="43" t="s">
        <v>0</v>
      </c>
      <c r="C2530" s="43" t="s">
        <v>1398</v>
      </c>
      <c r="D2530" s="43" t="s">
        <v>1399</v>
      </c>
      <c r="E2530" s="43" t="s">
        <v>59</v>
      </c>
      <c r="F2530" s="44">
        <v>43430</v>
      </c>
      <c r="G2530" s="44">
        <v>43549</v>
      </c>
      <c r="H2530" s="45">
        <v>0.58333333333333337</v>
      </c>
      <c r="I2530" s="43" t="s">
        <v>14</v>
      </c>
      <c r="J2530" s="43" t="s">
        <v>1790</v>
      </c>
      <c r="K2530" s="43" t="s">
        <v>544</v>
      </c>
      <c r="L2530" s="4"/>
      <c r="M2530" s="4" t="s">
        <v>138</v>
      </c>
    </row>
    <row r="2531" spans="1:13" x14ac:dyDescent="0.25">
      <c r="A2531" s="46" t="s">
        <v>1436</v>
      </c>
      <c r="B2531" s="46" t="s">
        <v>0</v>
      </c>
      <c r="C2531" s="46" t="s">
        <v>784</v>
      </c>
      <c r="D2531" s="46" t="s">
        <v>785</v>
      </c>
      <c r="E2531" s="46" t="s">
        <v>13</v>
      </c>
      <c r="F2531" s="47">
        <v>43440</v>
      </c>
      <c r="G2531" s="47">
        <v>43552</v>
      </c>
      <c r="H2531" s="48">
        <v>0.66666666666666663</v>
      </c>
      <c r="I2531" s="46" t="s">
        <v>14</v>
      </c>
      <c r="J2531" s="46" t="s">
        <v>1878</v>
      </c>
      <c r="K2531" s="46" t="s">
        <v>515</v>
      </c>
      <c r="L2531" s="46" t="s">
        <v>513</v>
      </c>
      <c r="M2531" s="4" t="s">
        <v>600</v>
      </c>
    </row>
    <row r="2532" spans="1:13" x14ac:dyDescent="0.25">
      <c r="A2532" s="46" t="s">
        <v>1436</v>
      </c>
      <c r="B2532" s="46" t="s">
        <v>0</v>
      </c>
      <c r="C2532" s="46" t="s">
        <v>542</v>
      </c>
      <c r="D2532" s="46" t="s">
        <v>543</v>
      </c>
      <c r="E2532" s="46" t="s">
        <v>20</v>
      </c>
      <c r="F2532" s="47">
        <v>43404</v>
      </c>
      <c r="G2532" s="47">
        <v>43551</v>
      </c>
      <c r="H2532" s="48">
        <v>0.67361111111111116</v>
      </c>
      <c r="I2532" s="46" t="s">
        <v>14</v>
      </c>
      <c r="J2532" s="46" t="s">
        <v>1791</v>
      </c>
      <c r="K2532" s="46" t="s">
        <v>544</v>
      </c>
      <c r="L2532" s="46" t="s">
        <v>829</v>
      </c>
      <c r="M2532" s="4" t="s">
        <v>600</v>
      </c>
    </row>
    <row r="2533" spans="1:13" x14ac:dyDescent="0.25">
      <c r="A2533" s="46" t="s">
        <v>1436</v>
      </c>
      <c r="B2533" s="46" t="s">
        <v>0</v>
      </c>
      <c r="C2533" s="46" t="s">
        <v>208</v>
      </c>
      <c r="D2533" s="46" t="s">
        <v>209</v>
      </c>
      <c r="E2533" s="46" t="s">
        <v>13</v>
      </c>
      <c r="F2533" s="47">
        <v>43405</v>
      </c>
      <c r="G2533" s="47">
        <v>43552</v>
      </c>
      <c r="H2533" s="48">
        <v>0.64583333333333337</v>
      </c>
      <c r="I2533" s="46" t="s">
        <v>14</v>
      </c>
      <c r="J2533" s="46" t="s">
        <v>1196</v>
      </c>
      <c r="K2533" s="46" t="s">
        <v>38</v>
      </c>
      <c r="L2533" s="46"/>
      <c r="M2533" s="4" t="s">
        <v>600</v>
      </c>
    </row>
    <row r="2534" spans="1:13" x14ac:dyDescent="0.25">
      <c r="A2534" s="46" t="s">
        <v>1436</v>
      </c>
      <c r="B2534" s="46" t="s">
        <v>0</v>
      </c>
      <c r="C2534" s="46" t="s">
        <v>233</v>
      </c>
      <c r="D2534" s="46" t="s">
        <v>234</v>
      </c>
      <c r="E2534" s="46" t="s">
        <v>13</v>
      </c>
      <c r="F2534" s="47">
        <v>43461</v>
      </c>
      <c r="G2534" s="47">
        <v>43552</v>
      </c>
      <c r="H2534" s="48">
        <v>0.4861111111111111</v>
      </c>
      <c r="I2534" s="46" t="s">
        <v>14</v>
      </c>
      <c r="J2534" s="46" t="s">
        <v>1792</v>
      </c>
      <c r="K2534" s="46" t="s">
        <v>38</v>
      </c>
      <c r="L2534" s="46"/>
      <c r="M2534" s="4" t="s">
        <v>600</v>
      </c>
    </row>
    <row r="2535" spans="1:13" x14ac:dyDescent="0.25">
      <c r="A2535" s="49" t="s">
        <v>1436</v>
      </c>
      <c r="B2535" s="49" t="s">
        <v>0</v>
      </c>
      <c r="C2535" s="49" t="s">
        <v>1162</v>
      </c>
      <c r="D2535" s="49" t="s">
        <v>1163</v>
      </c>
      <c r="E2535" s="49" t="s">
        <v>18</v>
      </c>
      <c r="F2535" s="50">
        <v>43506</v>
      </c>
      <c r="G2535" s="50">
        <v>43548</v>
      </c>
      <c r="H2535" s="51">
        <v>0.3125</v>
      </c>
      <c r="I2535" s="49" t="s">
        <v>698</v>
      </c>
      <c r="J2535" s="49" t="s">
        <v>1879</v>
      </c>
      <c r="K2535" s="49" t="s">
        <v>515</v>
      </c>
      <c r="L2535" s="49"/>
      <c r="M2535" s="4" t="s">
        <v>275</v>
      </c>
    </row>
    <row r="2536" spans="1:13" x14ac:dyDescent="0.25">
      <c r="A2536" s="49" t="s">
        <v>1436</v>
      </c>
      <c r="B2536" s="49" t="s">
        <v>0</v>
      </c>
      <c r="C2536" s="49" t="s">
        <v>1162</v>
      </c>
      <c r="D2536" s="49" t="s">
        <v>1163</v>
      </c>
      <c r="E2536" s="49" t="s">
        <v>18</v>
      </c>
      <c r="F2536" s="50">
        <v>43401</v>
      </c>
      <c r="G2536" s="50">
        <v>43548</v>
      </c>
      <c r="H2536" s="51">
        <v>0.5625</v>
      </c>
      <c r="I2536" s="49" t="s">
        <v>39</v>
      </c>
      <c r="J2536" s="49" t="s">
        <v>1401</v>
      </c>
      <c r="K2536" s="49" t="s">
        <v>515</v>
      </c>
      <c r="L2536" s="49"/>
      <c r="M2536" s="4" t="s">
        <v>275</v>
      </c>
    </row>
    <row r="2537" spans="1:13" x14ac:dyDescent="0.25">
      <c r="A2537" s="49" t="s">
        <v>1436</v>
      </c>
      <c r="B2537" s="49" t="s">
        <v>0</v>
      </c>
      <c r="C2537" s="49" t="s">
        <v>1880</v>
      </c>
      <c r="D2537" s="49" t="s">
        <v>1881</v>
      </c>
      <c r="E2537" s="49" t="s">
        <v>22</v>
      </c>
      <c r="F2537" s="50">
        <v>43463</v>
      </c>
      <c r="G2537" s="50">
        <v>43554</v>
      </c>
      <c r="H2537" s="51">
        <v>0.55902777777777779</v>
      </c>
      <c r="I2537" s="49">
        <v>320</v>
      </c>
      <c r="J2537" s="49" t="s">
        <v>1882</v>
      </c>
      <c r="K2537" s="49" t="s">
        <v>515</v>
      </c>
      <c r="L2537" s="49"/>
      <c r="M2537" s="4" t="s">
        <v>275</v>
      </c>
    </row>
    <row r="2538" spans="1:13" x14ac:dyDescent="0.25">
      <c r="A2538" s="49" t="s">
        <v>1436</v>
      </c>
      <c r="B2538" s="49" t="s">
        <v>0</v>
      </c>
      <c r="C2538" s="49" t="s">
        <v>1164</v>
      </c>
      <c r="D2538" s="49" t="s">
        <v>1165</v>
      </c>
      <c r="E2538" s="49" t="s">
        <v>20</v>
      </c>
      <c r="F2538" s="50">
        <v>43411</v>
      </c>
      <c r="G2538" s="50">
        <v>43551</v>
      </c>
      <c r="H2538" s="51">
        <v>0.61805555555555558</v>
      </c>
      <c r="I2538" s="49" t="s">
        <v>14</v>
      </c>
      <c r="J2538" s="49" t="s">
        <v>1793</v>
      </c>
      <c r="K2538" s="49" t="s">
        <v>38</v>
      </c>
      <c r="L2538" s="49"/>
      <c r="M2538" s="4" t="s">
        <v>275</v>
      </c>
    </row>
    <row r="2539" spans="1:13" x14ac:dyDescent="0.25">
      <c r="A2539" s="49" t="s">
        <v>1436</v>
      </c>
      <c r="B2539" s="49" t="s">
        <v>0</v>
      </c>
      <c r="C2539" s="49" t="s">
        <v>1164</v>
      </c>
      <c r="D2539" s="49" t="s">
        <v>1165</v>
      </c>
      <c r="E2539" s="49" t="s">
        <v>18</v>
      </c>
      <c r="F2539" s="50">
        <v>43464</v>
      </c>
      <c r="G2539" s="50">
        <v>43548</v>
      </c>
      <c r="H2539" s="51">
        <v>0.65972222222222221</v>
      </c>
      <c r="I2539" s="49" t="s">
        <v>14</v>
      </c>
      <c r="J2539" s="49" t="s">
        <v>1794</v>
      </c>
      <c r="K2539" s="49" t="s">
        <v>38</v>
      </c>
      <c r="L2539" s="49"/>
      <c r="M2539" s="4" t="s">
        <v>275</v>
      </c>
    </row>
    <row r="2540" spans="1:13" x14ac:dyDescent="0.25">
      <c r="A2540" s="49" t="s">
        <v>1436</v>
      </c>
      <c r="B2540" s="49" t="s">
        <v>0</v>
      </c>
      <c r="C2540" s="49" t="s">
        <v>11</v>
      </c>
      <c r="D2540" s="49" t="s">
        <v>12</v>
      </c>
      <c r="E2540" s="49" t="s">
        <v>59</v>
      </c>
      <c r="F2540" s="50">
        <v>43472</v>
      </c>
      <c r="G2540" s="50">
        <v>43549</v>
      </c>
      <c r="H2540" s="51">
        <v>0.53125</v>
      </c>
      <c r="I2540" s="49" t="s">
        <v>14</v>
      </c>
      <c r="J2540" s="49" t="s">
        <v>1727</v>
      </c>
      <c r="K2540" s="49" t="s">
        <v>16</v>
      </c>
      <c r="L2540" s="49" t="s">
        <v>80</v>
      </c>
      <c r="M2540" s="4" t="s">
        <v>275</v>
      </c>
    </row>
    <row r="2541" spans="1:13" x14ac:dyDescent="0.25">
      <c r="A2541" s="49" t="s">
        <v>1436</v>
      </c>
      <c r="B2541" s="49" t="s">
        <v>0</v>
      </c>
      <c r="C2541" s="49" t="s">
        <v>486</v>
      </c>
      <c r="D2541" s="49" t="s">
        <v>487</v>
      </c>
      <c r="E2541" s="49" t="s">
        <v>18</v>
      </c>
      <c r="F2541" s="50">
        <v>43513</v>
      </c>
      <c r="G2541" s="50">
        <v>43513</v>
      </c>
      <c r="H2541" s="51">
        <v>0.55555555555555558</v>
      </c>
      <c r="I2541" s="49" t="s">
        <v>39</v>
      </c>
      <c r="J2541" s="49" t="s">
        <v>1402</v>
      </c>
      <c r="K2541" s="49" t="s">
        <v>488</v>
      </c>
      <c r="L2541" s="49"/>
      <c r="M2541" s="4" t="s">
        <v>275</v>
      </c>
    </row>
    <row r="2542" spans="1:13" x14ac:dyDescent="0.25">
      <c r="A2542" s="49" t="s">
        <v>1436</v>
      </c>
      <c r="B2542" s="49" t="s">
        <v>0</v>
      </c>
      <c r="C2542" s="49" t="s">
        <v>486</v>
      </c>
      <c r="D2542" s="49" t="s">
        <v>487</v>
      </c>
      <c r="E2542" s="49" t="s">
        <v>18</v>
      </c>
      <c r="F2542" s="50">
        <v>43408</v>
      </c>
      <c r="G2542" s="50">
        <v>43548</v>
      </c>
      <c r="H2542" s="51">
        <v>0.62847222222222221</v>
      </c>
      <c r="I2542" s="49">
        <v>738</v>
      </c>
      <c r="J2542" s="49" t="s">
        <v>1403</v>
      </c>
      <c r="K2542" s="49" t="s">
        <v>488</v>
      </c>
      <c r="L2542" s="49"/>
      <c r="M2542" s="4" t="s">
        <v>275</v>
      </c>
    </row>
    <row r="2543" spans="1:13" x14ac:dyDescent="0.25">
      <c r="A2543" s="49" t="s">
        <v>1436</v>
      </c>
      <c r="B2543" s="49" t="s">
        <v>0</v>
      </c>
      <c r="C2543" s="49" t="s">
        <v>784</v>
      </c>
      <c r="D2543" s="49" t="s">
        <v>785</v>
      </c>
      <c r="E2543" s="49" t="s">
        <v>22</v>
      </c>
      <c r="F2543" s="50">
        <v>43491</v>
      </c>
      <c r="G2543" s="50">
        <v>43547</v>
      </c>
      <c r="H2543" s="51">
        <v>0.55208333333333337</v>
      </c>
      <c r="I2543" s="49">
        <v>320</v>
      </c>
      <c r="J2543" s="49" t="s">
        <v>1883</v>
      </c>
      <c r="K2543" s="49" t="s">
        <v>515</v>
      </c>
      <c r="L2543" s="49"/>
      <c r="M2543" s="4" t="s">
        <v>275</v>
      </c>
    </row>
    <row r="2544" spans="1:13" x14ac:dyDescent="0.25">
      <c r="A2544" s="49" t="s">
        <v>1436</v>
      </c>
      <c r="B2544" s="49" t="s">
        <v>0</v>
      </c>
      <c r="C2544" s="49" t="s">
        <v>784</v>
      </c>
      <c r="D2544" s="49" t="s">
        <v>785</v>
      </c>
      <c r="E2544" s="49" t="s">
        <v>18</v>
      </c>
      <c r="F2544" s="50">
        <v>43464</v>
      </c>
      <c r="G2544" s="50">
        <v>43548</v>
      </c>
      <c r="H2544" s="51">
        <v>0.56944444444444442</v>
      </c>
      <c r="I2544" s="49" t="s">
        <v>14</v>
      </c>
      <c r="J2544" s="49" t="s">
        <v>1884</v>
      </c>
      <c r="K2544" s="49" t="s">
        <v>515</v>
      </c>
      <c r="L2544" s="49"/>
      <c r="M2544" s="4" t="s">
        <v>275</v>
      </c>
    </row>
    <row r="2545" spans="1:13" x14ac:dyDescent="0.25">
      <c r="A2545" s="49" t="s">
        <v>1436</v>
      </c>
      <c r="B2545" s="49" t="s">
        <v>0</v>
      </c>
      <c r="C2545" s="49" t="s">
        <v>784</v>
      </c>
      <c r="D2545" s="49" t="s">
        <v>785</v>
      </c>
      <c r="E2545" s="49" t="s">
        <v>22</v>
      </c>
      <c r="F2545" s="50">
        <v>43484</v>
      </c>
      <c r="G2545" s="50">
        <v>43554</v>
      </c>
      <c r="H2545" s="51">
        <v>0.57291666666666663</v>
      </c>
      <c r="I2545" s="49" t="s">
        <v>81</v>
      </c>
      <c r="J2545" s="49" t="s">
        <v>1795</v>
      </c>
      <c r="K2545" s="49" t="s">
        <v>515</v>
      </c>
      <c r="L2545" s="49"/>
      <c r="M2545" s="4" t="s">
        <v>275</v>
      </c>
    </row>
    <row r="2546" spans="1:13" x14ac:dyDescent="0.25">
      <c r="A2546" s="49" t="s">
        <v>1436</v>
      </c>
      <c r="B2546" s="49" t="s">
        <v>0</v>
      </c>
      <c r="C2546" s="49" t="s">
        <v>784</v>
      </c>
      <c r="D2546" s="49" t="s">
        <v>785</v>
      </c>
      <c r="E2546" s="49" t="s">
        <v>18</v>
      </c>
      <c r="F2546" s="50">
        <v>43401</v>
      </c>
      <c r="G2546" s="50">
        <v>43548</v>
      </c>
      <c r="H2546" s="51">
        <v>0.59375</v>
      </c>
      <c r="I2546" s="49">
        <v>321</v>
      </c>
      <c r="J2546" s="49" t="s">
        <v>1404</v>
      </c>
      <c r="K2546" s="49" t="s">
        <v>515</v>
      </c>
      <c r="L2546" s="49"/>
      <c r="M2546" s="4" t="s">
        <v>275</v>
      </c>
    </row>
    <row r="2547" spans="1:13" x14ac:dyDescent="0.25">
      <c r="A2547" s="49" t="s">
        <v>1436</v>
      </c>
      <c r="B2547" s="49" t="s">
        <v>0</v>
      </c>
      <c r="C2547" s="49" t="s">
        <v>784</v>
      </c>
      <c r="D2547" s="49" t="s">
        <v>785</v>
      </c>
      <c r="E2547" s="49" t="s">
        <v>18</v>
      </c>
      <c r="F2547" s="50">
        <v>43492</v>
      </c>
      <c r="G2547" s="50">
        <v>43520</v>
      </c>
      <c r="H2547" s="51">
        <v>0.66666666666666663</v>
      </c>
      <c r="I2547" s="49" t="s">
        <v>39</v>
      </c>
      <c r="J2547" s="49" t="s">
        <v>1405</v>
      </c>
      <c r="K2547" s="49" t="s">
        <v>515</v>
      </c>
      <c r="L2547" s="49"/>
      <c r="M2547" s="4" t="s">
        <v>275</v>
      </c>
    </row>
    <row r="2548" spans="1:13" x14ac:dyDescent="0.25">
      <c r="A2548" s="49" t="s">
        <v>1436</v>
      </c>
      <c r="B2548" s="49" t="s">
        <v>0</v>
      </c>
      <c r="C2548" s="49" t="s">
        <v>56</v>
      </c>
      <c r="D2548" s="49" t="s">
        <v>57</v>
      </c>
      <c r="E2548" s="49" t="s">
        <v>13</v>
      </c>
      <c r="F2548" s="50">
        <v>43405</v>
      </c>
      <c r="G2548" s="50">
        <v>43552</v>
      </c>
      <c r="H2548" s="51">
        <v>0.66666666666666663</v>
      </c>
      <c r="I2548" s="49" t="s">
        <v>14</v>
      </c>
      <c r="J2548" s="49" t="s">
        <v>1199</v>
      </c>
      <c r="K2548" s="49" t="s">
        <v>38</v>
      </c>
      <c r="L2548" s="49"/>
      <c r="M2548" s="4" t="s">
        <v>275</v>
      </c>
    </row>
    <row r="2549" spans="1:13" x14ac:dyDescent="0.25">
      <c r="A2549" s="49" t="s">
        <v>1436</v>
      </c>
      <c r="B2549" s="49" t="s">
        <v>0</v>
      </c>
      <c r="C2549" s="49" t="s">
        <v>56</v>
      </c>
      <c r="D2549" s="49" t="s">
        <v>57</v>
      </c>
      <c r="E2549" s="49" t="s">
        <v>48</v>
      </c>
      <c r="F2549" s="50">
        <v>43406</v>
      </c>
      <c r="G2549" s="50">
        <v>43553</v>
      </c>
      <c r="H2549" s="51">
        <v>0.69444444444444453</v>
      </c>
      <c r="I2549" s="49" t="s">
        <v>207</v>
      </c>
      <c r="J2549" s="49" t="s">
        <v>1198</v>
      </c>
      <c r="K2549" s="49" t="s">
        <v>38</v>
      </c>
      <c r="L2549" s="49"/>
      <c r="M2549" s="4" t="s">
        <v>275</v>
      </c>
    </row>
    <row r="2550" spans="1:13" x14ac:dyDescent="0.25">
      <c r="A2550" s="49" t="s">
        <v>1436</v>
      </c>
      <c r="B2550" s="49" t="s">
        <v>0</v>
      </c>
      <c r="C2550" s="49" t="s">
        <v>56</v>
      </c>
      <c r="D2550" s="49" t="s">
        <v>57</v>
      </c>
      <c r="E2550" s="49" t="s">
        <v>19</v>
      </c>
      <c r="F2550" s="50">
        <v>43410</v>
      </c>
      <c r="G2550" s="50">
        <v>43550</v>
      </c>
      <c r="H2550" s="51">
        <v>0.69444444444444453</v>
      </c>
      <c r="I2550" s="49" t="s">
        <v>207</v>
      </c>
      <c r="J2550" s="49" t="s">
        <v>1200</v>
      </c>
      <c r="K2550" s="49" t="s">
        <v>38</v>
      </c>
      <c r="L2550" s="49"/>
      <c r="M2550" s="4" t="s">
        <v>275</v>
      </c>
    </row>
    <row r="2551" spans="1:13" x14ac:dyDescent="0.25">
      <c r="A2551" s="49" t="s">
        <v>1436</v>
      </c>
      <c r="B2551" s="49" t="s">
        <v>0</v>
      </c>
      <c r="C2551" s="49" t="s">
        <v>56</v>
      </c>
      <c r="D2551" s="49" t="s">
        <v>57</v>
      </c>
      <c r="E2551" s="49" t="s">
        <v>18</v>
      </c>
      <c r="F2551" s="50">
        <v>43464</v>
      </c>
      <c r="G2551" s="50">
        <v>43520</v>
      </c>
      <c r="H2551" s="51">
        <v>0.78472222222222221</v>
      </c>
      <c r="I2551" s="49" t="s">
        <v>14</v>
      </c>
      <c r="J2551" s="49" t="s">
        <v>1201</v>
      </c>
      <c r="K2551" s="49" t="s">
        <v>38</v>
      </c>
      <c r="L2551" s="4"/>
      <c r="M2551" s="4" t="s">
        <v>275</v>
      </c>
    </row>
    <row r="2552" spans="1:13" x14ac:dyDescent="0.25">
      <c r="A2552" s="49" t="s">
        <v>1436</v>
      </c>
      <c r="B2552" s="49" t="s">
        <v>0</v>
      </c>
      <c r="C2552" s="49" t="s">
        <v>499</v>
      </c>
      <c r="D2552" s="49" t="s">
        <v>500</v>
      </c>
      <c r="E2552" s="49" t="s">
        <v>19</v>
      </c>
      <c r="F2552" s="50">
        <v>43410</v>
      </c>
      <c r="G2552" s="50">
        <v>43550</v>
      </c>
      <c r="H2552" s="51">
        <v>0.55902777777777779</v>
      </c>
      <c r="I2552" s="49" t="s">
        <v>14</v>
      </c>
      <c r="J2552" s="49" t="s">
        <v>1202</v>
      </c>
      <c r="K2552" s="49" t="s">
        <v>38</v>
      </c>
      <c r="L2552" s="4"/>
      <c r="M2552" s="4" t="s">
        <v>275</v>
      </c>
    </row>
    <row r="2553" spans="1:13" x14ac:dyDescent="0.25">
      <c r="A2553" s="49" t="s">
        <v>1436</v>
      </c>
      <c r="B2553" s="49" t="s">
        <v>0</v>
      </c>
      <c r="C2553" s="49" t="s">
        <v>499</v>
      </c>
      <c r="D2553" s="49" t="s">
        <v>500</v>
      </c>
      <c r="E2553" s="49" t="s">
        <v>48</v>
      </c>
      <c r="F2553" s="50">
        <v>43406</v>
      </c>
      <c r="G2553" s="50">
        <v>43553</v>
      </c>
      <c r="H2553" s="51">
        <v>0.60069444444444442</v>
      </c>
      <c r="I2553" s="49" t="s">
        <v>14</v>
      </c>
      <c r="J2553" s="49" t="s">
        <v>1406</v>
      </c>
      <c r="K2553" s="49" t="s">
        <v>38</v>
      </c>
      <c r="L2553" s="4"/>
      <c r="M2553" s="4" t="s">
        <v>275</v>
      </c>
    </row>
    <row r="2554" spans="1:13" x14ac:dyDescent="0.25">
      <c r="A2554" s="49" t="s">
        <v>1436</v>
      </c>
      <c r="B2554" s="49" t="s">
        <v>0</v>
      </c>
      <c r="C2554" s="49" t="s">
        <v>70</v>
      </c>
      <c r="D2554" s="49" t="s">
        <v>71</v>
      </c>
      <c r="E2554" s="49" t="s">
        <v>19</v>
      </c>
      <c r="F2554" s="50">
        <v>43410</v>
      </c>
      <c r="G2554" s="50">
        <v>43550</v>
      </c>
      <c r="H2554" s="51">
        <v>0.6875</v>
      </c>
      <c r="I2554" s="49" t="s">
        <v>207</v>
      </c>
      <c r="J2554" s="49" t="s">
        <v>1204</v>
      </c>
      <c r="K2554" s="49" t="s">
        <v>38</v>
      </c>
      <c r="L2554" s="4"/>
      <c r="M2554" s="4" t="s">
        <v>275</v>
      </c>
    </row>
    <row r="2555" spans="1:13" x14ac:dyDescent="0.25">
      <c r="A2555" s="49" t="s">
        <v>1436</v>
      </c>
      <c r="B2555" s="49" t="s">
        <v>0</v>
      </c>
      <c r="C2555" s="49" t="s">
        <v>70</v>
      </c>
      <c r="D2555" s="49" t="s">
        <v>71</v>
      </c>
      <c r="E2555" s="49" t="s">
        <v>48</v>
      </c>
      <c r="F2555" s="50">
        <v>43406</v>
      </c>
      <c r="G2555" s="50">
        <v>43553</v>
      </c>
      <c r="H2555" s="51">
        <v>0.69444444444444453</v>
      </c>
      <c r="I2555" s="49" t="s">
        <v>207</v>
      </c>
      <c r="J2555" s="49" t="s">
        <v>1203</v>
      </c>
      <c r="K2555" s="49" t="s">
        <v>38</v>
      </c>
      <c r="L2555" s="4"/>
      <c r="M2555" s="4" t="s">
        <v>275</v>
      </c>
    </row>
    <row r="2556" spans="1:13" x14ac:dyDescent="0.25">
      <c r="A2556" s="49" t="s">
        <v>1436</v>
      </c>
      <c r="B2556" s="49" t="s">
        <v>0</v>
      </c>
      <c r="C2556" s="49" t="s">
        <v>86</v>
      </c>
      <c r="D2556" s="49" t="s">
        <v>87</v>
      </c>
      <c r="E2556" s="49" t="s">
        <v>48</v>
      </c>
      <c r="F2556" s="50">
        <v>43406</v>
      </c>
      <c r="G2556" s="50">
        <v>43553</v>
      </c>
      <c r="H2556" s="51">
        <v>0.65972222222222221</v>
      </c>
      <c r="I2556" s="49" t="s">
        <v>14</v>
      </c>
      <c r="J2556" s="49" t="s">
        <v>1205</v>
      </c>
      <c r="K2556" s="49" t="s">
        <v>38</v>
      </c>
      <c r="L2556" s="4"/>
      <c r="M2556" s="4" t="s">
        <v>275</v>
      </c>
    </row>
    <row r="2557" spans="1:13" x14ac:dyDescent="0.25">
      <c r="A2557" s="49" t="s">
        <v>1436</v>
      </c>
      <c r="B2557" s="49" t="s">
        <v>0</v>
      </c>
      <c r="C2557" s="49" t="s">
        <v>86</v>
      </c>
      <c r="D2557" s="49" t="s">
        <v>87</v>
      </c>
      <c r="E2557" s="49" t="s">
        <v>59</v>
      </c>
      <c r="F2557" s="50">
        <v>43409</v>
      </c>
      <c r="G2557" s="50">
        <v>43549</v>
      </c>
      <c r="H2557" s="51">
        <v>0.65972222222222221</v>
      </c>
      <c r="I2557" s="49" t="s">
        <v>14</v>
      </c>
      <c r="J2557" s="49" t="s">
        <v>1407</v>
      </c>
      <c r="K2557" s="49" t="s">
        <v>38</v>
      </c>
      <c r="L2557" s="4"/>
      <c r="M2557" s="4" t="s">
        <v>275</v>
      </c>
    </row>
    <row r="2558" spans="1:13" x14ac:dyDescent="0.25">
      <c r="A2558" s="49" t="s">
        <v>1436</v>
      </c>
      <c r="B2558" s="49" t="s">
        <v>0</v>
      </c>
      <c r="C2558" s="49" t="s">
        <v>86</v>
      </c>
      <c r="D2558" s="49" t="s">
        <v>87</v>
      </c>
      <c r="E2558" s="49" t="s">
        <v>19</v>
      </c>
      <c r="F2558" s="50">
        <v>43410</v>
      </c>
      <c r="G2558" s="50">
        <v>43550</v>
      </c>
      <c r="H2558" s="51">
        <v>0.8125</v>
      </c>
      <c r="I2558" s="49" t="s">
        <v>14</v>
      </c>
      <c r="J2558" s="49" t="s">
        <v>1408</v>
      </c>
      <c r="K2558" s="49" t="s">
        <v>38</v>
      </c>
      <c r="L2558" s="4"/>
      <c r="M2558" s="4" t="s">
        <v>275</v>
      </c>
    </row>
    <row r="2559" spans="1:13" x14ac:dyDescent="0.25">
      <c r="A2559" s="49" t="s">
        <v>1436</v>
      </c>
      <c r="B2559" s="49" t="s">
        <v>0</v>
      </c>
      <c r="C2559" s="49" t="s">
        <v>1232</v>
      </c>
      <c r="D2559" s="49" t="s">
        <v>128</v>
      </c>
      <c r="E2559" s="49" t="s">
        <v>48</v>
      </c>
      <c r="F2559" s="50">
        <v>43504</v>
      </c>
      <c r="G2559" s="50">
        <v>43553</v>
      </c>
      <c r="H2559" s="51">
        <v>6.5972222222222224E-2</v>
      </c>
      <c r="I2559" s="49" t="s">
        <v>14</v>
      </c>
      <c r="J2559" s="49" t="s">
        <v>1796</v>
      </c>
      <c r="K2559" s="49" t="s">
        <v>129</v>
      </c>
      <c r="L2559" s="4"/>
      <c r="M2559" s="4" t="s">
        <v>275</v>
      </c>
    </row>
    <row r="2560" spans="1:13" x14ac:dyDescent="0.25">
      <c r="A2560" s="49" t="s">
        <v>1436</v>
      </c>
      <c r="B2560" s="49" t="s">
        <v>0</v>
      </c>
      <c r="C2560" s="49" t="s">
        <v>88</v>
      </c>
      <c r="D2560" s="49" t="s">
        <v>89</v>
      </c>
      <c r="E2560" s="49" t="s">
        <v>20</v>
      </c>
      <c r="F2560" s="50">
        <v>43460</v>
      </c>
      <c r="G2560" s="50">
        <v>43551</v>
      </c>
      <c r="H2560" s="51">
        <v>0.70833333333333337</v>
      </c>
      <c r="I2560" s="49" t="s">
        <v>14</v>
      </c>
      <c r="J2560" s="49" t="s">
        <v>1885</v>
      </c>
      <c r="K2560" s="49" t="s">
        <v>45</v>
      </c>
      <c r="L2560" s="4"/>
      <c r="M2560" s="4" t="s">
        <v>275</v>
      </c>
    </row>
    <row r="2561" spans="1:13" x14ac:dyDescent="0.25">
      <c r="A2561" s="49" t="s">
        <v>1436</v>
      </c>
      <c r="B2561" s="49" t="s">
        <v>0</v>
      </c>
      <c r="C2561" s="49" t="s">
        <v>512</v>
      </c>
      <c r="D2561" s="49" t="s">
        <v>513</v>
      </c>
      <c r="E2561" s="49" t="s">
        <v>18</v>
      </c>
      <c r="F2561" s="50">
        <v>43401</v>
      </c>
      <c r="G2561" s="50">
        <v>43548</v>
      </c>
      <c r="H2561" s="51">
        <v>0.54861111111111105</v>
      </c>
      <c r="I2561" s="49">
        <v>321</v>
      </c>
      <c r="J2561" s="49" t="s">
        <v>1409</v>
      </c>
      <c r="K2561" s="49" t="s">
        <v>515</v>
      </c>
      <c r="L2561" s="4"/>
      <c r="M2561" s="4" t="s">
        <v>275</v>
      </c>
    </row>
    <row r="2562" spans="1:13" x14ac:dyDescent="0.25">
      <c r="A2562" s="49" t="s">
        <v>1436</v>
      </c>
      <c r="B2562" s="49" t="s">
        <v>0</v>
      </c>
      <c r="C2562" s="49" t="s">
        <v>512</v>
      </c>
      <c r="D2562" s="49" t="s">
        <v>513</v>
      </c>
      <c r="E2562" s="49" t="s">
        <v>19</v>
      </c>
      <c r="F2562" s="50">
        <v>43403</v>
      </c>
      <c r="G2562" s="50">
        <v>43550</v>
      </c>
      <c r="H2562" s="51">
        <v>0.54861111111111105</v>
      </c>
      <c r="I2562" s="49" t="s">
        <v>39</v>
      </c>
      <c r="J2562" s="49" t="s">
        <v>1410</v>
      </c>
      <c r="K2562" s="49" t="s">
        <v>515</v>
      </c>
      <c r="L2562" s="4"/>
      <c r="M2562" s="4" t="s">
        <v>275</v>
      </c>
    </row>
    <row r="2563" spans="1:13" x14ac:dyDescent="0.25">
      <c r="A2563" s="49" t="s">
        <v>1436</v>
      </c>
      <c r="B2563" s="49" t="s">
        <v>0</v>
      </c>
      <c r="C2563" s="49" t="s">
        <v>512</v>
      </c>
      <c r="D2563" s="49" t="s">
        <v>513</v>
      </c>
      <c r="E2563" s="49" t="s">
        <v>18</v>
      </c>
      <c r="F2563" s="50">
        <v>43429</v>
      </c>
      <c r="G2563" s="50">
        <v>43548</v>
      </c>
      <c r="H2563" s="51">
        <v>0.54861111111111105</v>
      </c>
      <c r="I2563" s="49">
        <v>320</v>
      </c>
      <c r="J2563" s="49" t="s">
        <v>1886</v>
      </c>
      <c r="K2563" s="49" t="s">
        <v>515</v>
      </c>
      <c r="L2563" s="4"/>
      <c r="M2563" s="4" t="s">
        <v>275</v>
      </c>
    </row>
    <row r="2564" spans="1:13" x14ac:dyDescent="0.25">
      <c r="A2564" s="49" t="s">
        <v>1436</v>
      </c>
      <c r="B2564" s="49" t="s">
        <v>0</v>
      </c>
      <c r="C2564" s="49" t="s">
        <v>512</v>
      </c>
      <c r="D2564" s="49" t="s">
        <v>513</v>
      </c>
      <c r="E2564" s="49" t="s">
        <v>18</v>
      </c>
      <c r="F2564" s="50">
        <v>43513</v>
      </c>
      <c r="G2564" s="50">
        <v>43513</v>
      </c>
      <c r="H2564" s="51">
        <v>0.56944444444444442</v>
      </c>
      <c r="I2564" s="49" t="s">
        <v>39</v>
      </c>
      <c r="J2564" s="49" t="s">
        <v>1411</v>
      </c>
      <c r="K2564" s="49" t="s">
        <v>515</v>
      </c>
      <c r="L2564" s="4"/>
      <c r="M2564" s="4" t="s">
        <v>275</v>
      </c>
    </row>
    <row r="2565" spans="1:13" x14ac:dyDescent="0.25">
      <c r="A2565" s="49" t="s">
        <v>1436</v>
      </c>
      <c r="B2565" s="49" t="s">
        <v>0</v>
      </c>
      <c r="C2565" s="49" t="s">
        <v>512</v>
      </c>
      <c r="D2565" s="49" t="s">
        <v>513</v>
      </c>
      <c r="E2565" s="49" t="s">
        <v>22</v>
      </c>
      <c r="F2565" s="50">
        <v>43407</v>
      </c>
      <c r="G2565" s="50">
        <v>43554</v>
      </c>
      <c r="H2565" s="51">
        <v>0.57291666666666663</v>
      </c>
      <c r="I2565" s="49" t="s">
        <v>14</v>
      </c>
      <c r="J2565" s="49" t="s">
        <v>1797</v>
      </c>
      <c r="K2565" s="49" t="s">
        <v>515</v>
      </c>
      <c r="L2565" s="4"/>
      <c r="M2565" s="4" t="s">
        <v>275</v>
      </c>
    </row>
    <row r="2566" spans="1:13" x14ac:dyDescent="0.25">
      <c r="A2566" s="49" t="s">
        <v>1436</v>
      </c>
      <c r="B2566" s="49" t="s">
        <v>0</v>
      </c>
      <c r="C2566" s="49" t="s">
        <v>1131</v>
      </c>
      <c r="D2566" s="49" t="s">
        <v>1132</v>
      </c>
      <c r="E2566" s="49" t="s">
        <v>48</v>
      </c>
      <c r="F2566" s="50">
        <v>43406</v>
      </c>
      <c r="G2566" s="50">
        <v>43518</v>
      </c>
      <c r="H2566" s="51">
        <v>0.64930555555555558</v>
      </c>
      <c r="I2566" s="49" t="s">
        <v>14</v>
      </c>
      <c r="J2566" s="49" t="s">
        <v>1412</v>
      </c>
      <c r="K2566" s="49" t="s">
        <v>38</v>
      </c>
      <c r="L2566" s="4"/>
      <c r="M2566" s="4" t="s">
        <v>275</v>
      </c>
    </row>
    <row r="2567" spans="1:13" x14ac:dyDescent="0.25">
      <c r="A2567" s="49" t="s">
        <v>1436</v>
      </c>
      <c r="B2567" s="49" t="s">
        <v>0</v>
      </c>
      <c r="C2567" s="49" t="s">
        <v>1131</v>
      </c>
      <c r="D2567" s="49" t="s">
        <v>1132</v>
      </c>
      <c r="E2567" s="49" t="s">
        <v>59</v>
      </c>
      <c r="F2567" s="50">
        <v>43409</v>
      </c>
      <c r="G2567" s="50">
        <v>43549</v>
      </c>
      <c r="H2567" s="51">
        <v>0.66666666666666663</v>
      </c>
      <c r="I2567" s="49" t="s">
        <v>14</v>
      </c>
      <c r="J2567" s="49" t="s">
        <v>1413</v>
      </c>
      <c r="K2567" s="49" t="s">
        <v>38</v>
      </c>
      <c r="L2567" s="4"/>
      <c r="M2567" s="4" t="s">
        <v>275</v>
      </c>
    </row>
    <row r="2568" spans="1:13" x14ac:dyDescent="0.25">
      <c r="A2568" s="49" t="s">
        <v>1436</v>
      </c>
      <c r="B2568" s="49" t="s">
        <v>0</v>
      </c>
      <c r="C2568" s="49" t="s">
        <v>1131</v>
      </c>
      <c r="D2568" s="49" t="s">
        <v>1132</v>
      </c>
      <c r="E2568" s="49" t="s">
        <v>19</v>
      </c>
      <c r="F2568" s="50">
        <v>43410</v>
      </c>
      <c r="G2568" s="50">
        <v>43550</v>
      </c>
      <c r="H2568" s="51">
        <v>0.86805555555555547</v>
      </c>
      <c r="I2568" s="49" t="s">
        <v>14</v>
      </c>
      <c r="J2568" s="49" t="s">
        <v>1414</v>
      </c>
      <c r="K2568" s="49" t="s">
        <v>38</v>
      </c>
      <c r="L2568" s="4"/>
      <c r="M2568" s="4" t="s">
        <v>275</v>
      </c>
    </row>
    <row r="2569" spans="1:13" x14ac:dyDescent="0.25">
      <c r="A2569" s="49" t="s">
        <v>1436</v>
      </c>
      <c r="B2569" s="49" t="s">
        <v>0</v>
      </c>
      <c r="C2569" s="49" t="s">
        <v>96</v>
      </c>
      <c r="D2569" s="49" t="s">
        <v>97</v>
      </c>
      <c r="E2569" s="49" t="s">
        <v>48</v>
      </c>
      <c r="F2569" s="50">
        <v>43462</v>
      </c>
      <c r="G2569" s="50">
        <v>43553</v>
      </c>
      <c r="H2569" s="51">
        <v>0.5625</v>
      </c>
      <c r="I2569" s="49" t="s">
        <v>14</v>
      </c>
      <c r="J2569" s="49" t="s">
        <v>1887</v>
      </c>
      <c r="K2569" s="49" t="s">
        <v>93</v>
      </c>
      <c r="L2569" s="4"/>
      <c r="M2569" s="4" t="s">
        <v>275</v>
      </c>
    </row>
    <row r="2570" spans="1:13" x14ac:dyDescent="0.25">
      <c r="A2570" s="49" t="s">
        <v>1436</v>
      </c>
      <c r="B2570" s="49" t="s">
        <v>0</v>
      </c>
      <c r="C2570" s="49" t="s">
        <v>107</v>
      </c>
      <c r="D2570" s="49" t="s">
        <v>108</v>
      </c>
      <c r="E2570" s="49" t="s">
        <v>48</v>
      </c>
      <c r="F2570" s="50">
        <v>43406</v>
      </c>
      <c r="G2570" s="50">
        <v>43553</v>
      </c>
      <c r="H2570" s="51">
        <v>0.64930555555555558</v>
      </c>
      <c r="I2570" s="49" t="s">
        <v>14</v>
      </c>
      <c r="J2570" s="49" t="s">
        <v>1207</v>
      </c>
      <c r="K2570" s="49" t="s">
        <v>38</v>
      </c>
      <c r="L2570" s="4"/>
      <c r="M2570" s="4" t="s">
        <v>275</v>
      </c>
    </row>
    <row r="2571" spans="1:13" x14ac:dyDescent="0.25">
      <c r="A2571" s="49" t="s">
        <v>1436</v>
      </c>
      <c r="B2571" s="49" t="s">
        <v>0</v>
      </c>
      <c r="C2571" s="49" t="s">
        <v>107</v>
      </c>
      <c r="D2571" s="49" t="s">
        <v>108</v>
      </c>
      <c r="E2571" s="49" t="s">
        <v>19</v>
      </c>
      <c r="F2571" s="50">
        <v>43459</v>
      </c>
      <c r="G2571" s="50">
        <v>43550</v>
      </c>
      <c r="H2571" s="51">
        <v>0.68055555555555547</v>
      </c>
      <c r="I2571" s="49" t="s">
        <v>14</v>
      </c>
      <c r="J2571" s="49" t="s">
        <v>1208</v>
      </c>
      <c r="K2571" s="49" t="s">
        <v>38</v>
      </c>
      <c r="L2571" s="4"/>
      <c r="M2571" s="4" t="s">
        <v>275</v>
      </c>
    </row>
    <row r="2572" spans="1:13" x14ac:dyDescent="0.25">
      <c r="A2572" s="49" t="s">
        <v>1436</v>
      </c>
      <c r="B2572" s="49" t="s">
        <v>0</v>
      </c>
      <c r="C2572" s="49" t="s">
        <v>107</v>
      </c>
      <c r="D2572" s="49" t="s">
        <v>108</v>
      </c>
      <c r="E2572" s="49" t="s">
        <v>18</v>
      </c>
      <c r="F2572" s="50">
        <v>43436</v>
      </c>
      <c r="G2572" s="50">
        <v>43520</v>
      </c>
      <c r="H2572" s="51">
        <v>0.83680555555555547</v>
      </c>
      <c r="I2572" s="49" t="s">
        <v>14</v>
      </c>
      <c r="J2572" s="49" t="s">
        <v>1206</v>
      </c>
      <c r="K2572" s="49" t="s">
        <v>38</v>
      </c>
      <c r="L2572" s="4"/>
      <c r="M2572" s="4" t="s">
        <v>275</v>
      </c>
    </row>
    <row r="2573" spans="1:13" x14ac:dyDescent="0.25">
      <c r="A2573" s="49" t="s">
        <v>1436</v>
      </c>
      <c r="B2573" s="49" t="s">
        <v>0</v>
      </c>
      <c r="C2573" s="49" t="s">
        <v>115</v>
      </c>
      <c r="D2573" s="49" t="s">
        <v>116</v>
      </c>
      <c r="E2573" s="49" t="s">
        <v>19</v>
      </c>
      <c r="F2573" s="50">
        <v>43410</v>
      </c>
      <c r="G2573" s="50">
        <v>43522</v>
      </c>
      <c r="H2573" s="51">
        <v>0.5625</v>
      </c>
      <c r="I2573" s="49" t="s">
        <v>14</v>
      </c>
      <c r="J2573" s="49" t="s">
        <v>1209</v>
      </c>
      <c r="K2573" s="49" t="s">
        <v>38</v>
      </c>
      <c r="L2573" s="4"/>
      <c r="M2573" s="4" t="s">
        <v>275</v>
      </c>
    </row>
    <row r="2574" spans="1:13" x14ac:dyDescent="0.25">
      <c r="A2574" s="49" t="s">
        <v>1436</v>
      </c>
      <c r="B2574" s="49" t="s">
        <v>0</v>
      </c>
      <c r="C2574" s="49" t="s">
        <v>115</v>
      </c>
      <c r="D2574" s="49" t="s">
        <v>116</v>
      </c>
      <c r="E2574" s="49" t="s">
        <v>48</v>
      </c>
      <c r="F2574" s="50">
        <v>43406</v>
      </c>
      <c r="G2574" s="50">
        <v>43553</v>
      </c>
      <c r="H2574" s="51">
        <v>0.70138888888888884</v>
      </c>
      <c r="I2574" s="49" t="s">
        <v>14</v>
      </c>
      <c r="J2574" s="49" t="s">
        <v>1210</v>
      </c>
      <c r="K2574" s="49" t="s">
        <v>38</v>
      </c>
      <c r="L2574" s="4"/>
      <c r="M2574" s="4" t="s">
        <v>275</v>
      </c>
    </row>
    <row r="2575" spans="1:13" x14ac:dyDescent="0.25">
      <c r="A2575" s="49" t="s">
        <v>1436</v>
      </c>
      <c r="B2575" s="49" t="s">
        <v>0</v>
      </c>
      <c r="C2575" s="49" t="s">
        <v>542</v>
      </c>
      <c r="D2575" s="49" t="s">
        <v>543</v>
      </c>
      <c r="E2575" s="49" t="s">
        <v>18</v>
      </c>
      <c r="F2575" s="50">
        <v>43450</v>
      </c>
      <c r="G2575" s="50">
        <v>43548</v>
      </c>
      <c r="H2575" s="51">
        <v>0.5625</v>
      </c>
      <c r="I2575" s="49" t="s">
        <v>474</v>
      </c>
      <c r="J2575" s="49" t="s">
        <v>1798</v>
      </c>
      <c r="K2575" s="49" t="s">
        <v>544</v>
      </c>
      <c r="L2575" s="4"/>
      <c r="M2575" s="4" t="s">
        <v>275</v>
      </c>
    </row>
    <row r="2576" spans="1:13" x14ac:dyDescent="0.25">
      <c r="A2576" s="49" t="s">
        <v>1436</v>
      </c>
      <c r="B2576" s="49" t="s">
        <v>0</v>
      </c>
      <c r="C2576" s="49" t="s">
        <v>542</v>
      </c>
      <c r="D2576" s="49" t="s">
        <v>543</v>
      </c>
      <c r="E2576" s="49" t="s">
        <v>19</v>
      </c>
      <c r="F2576" s="50">
        <v>43508</v>
      </c>
      <c r="G2576" s="50">
        <v>43529</v>
      </c>
      <c r="H2576" s="51">
        <v>0.59375</v>
      </c>
      <c r="I2576" s="49" t="s">
        <v>39</v>
      </c>
      <c r="J2576" s="49" t="s">
        <v>1415</v>
      </c>
      <c r="K2576" s="49" t="s">
        <v>544</v>
      </c>
      <c r="L2576" s="4"/>
      <c r="M2576" s="4" t="s">
        <v>275</v>
      </c>
    </row>
    <row r="2577" spans="1:13" x14ac:dyDescent="0.25">
      <c r="A2577" s="49" t="s">
        <v>1436</v>
      </c>
      <c r="B2577" s="49" t="s">
        <v>0</v>
      </c>
      <c r="C2577" s="49" t="s">
        <v>542</v>
      </c>
      <c r="D2577" s="49" t="s">
        <v>543</v>
      </c>
      <c r="E2577" s="49" t="s">
        <v>18</v>
      </c>
      <c r="F2577" s="50">
        <v>43478</v>
      </c>
      <c r="G2577" s="50">
        <v>43548</v>
      </c>
      <c r="H2577" s="51">
        <v>0.61805555555555558</v>
      </c>
      <c r="I2577" s="49">
        <v>333</v>
      </c>
      <c r="J2577" s="49" t="s">
        <v>1800</v>
      </c>
      <c r="K2577" s="49" t="s">
        <v>544</v>
      </c>
      <c r="L2577" s="4"/>
      <c r="M2577" s="4" t="s">
        <v>275</v>
      </c>
    </row>
    <row r="2578" spans="1:13" x14ac:dyDescent="0.25">
      <c r="A2578" s="49" t="s">
        <v>1436</v>
      </c>
      <c r="B2578" s="49" t="s">
        <v>0</v>
      </c>
      <c r="C2578" s="49" t="s">
        <v>1137</v>
      </c>
      <c r="D2578" s="49" t="s">
        <v>1138</v>
      </c>
      <c r="E2578" s="49" t="s">
        <v>48</v>
      </c>
      <c r="F2578" s="50">
        <v>43406</v>
      </c>
      <c r="G2578" s="50">
        <v>43553</v>
      </c>
      <c r="H2578" s="51">
        <v>0.52777777777777779</v>
      </c>
      <c r="I2578" s="49" t="s">
        <v>14</v>
      </c>
      <c r="J2578" s="49" t="s">
        <v>1417</v>
      </c>
      <c r="K2578" s="49" t="s">
        <v>38</v>
      </c>
      <c r="L2578" s="4"/>
      <c r="M2578" s="4" t="s">
        <v>275</v>
      </c>
    </row>
    <row r="2579" spans="1:13" x14ac:dyDescent="0.25">
      <c r="A2579" s="49" t="s">
        <v>1436</v>
      </c>
      <c r="B2579" s="49" t="s">
        <v>0</v>
      </c>
      <c r="C2579" s="49" t="s">
        <v>1137</v>
      </c>
      <c r="D2579" s="49" t="s">
        <v>1138</v>
      </c>
      <c r="E2579" s="49" t="s">
        <v>20</v>
      </c>
      <c r="F2579" s="50">
        <v>43411</v>
      </c>
      <c r="G2579" s="50">
        <v>43551</v>
      </c>
      <c r="H2579" s="51">
        <v>0.53472222222222221</v>
      </c>
      <c r="I2579" s="49" t="s">
        <v>14</v>
      </c>
      <c r="J2579" s="49" t="s">
        <v>1416</v>
      </c>
      <c r="K2579" s="49" t="s">
        <v>38</v>
      </c>
      <c r="L2579" s="4"/>
      <c r="M2579" s="4" t="s">
        <v>275</v>
      </c>
    </row>
    <row r="2580" spans="1:13" x14ac:dyDescent="0.25">
      <c r="A2580" s="49" t="s">
        <v>1436</v>
      </c>
      <c r="B2580" s="49" t="s">
        <v>0</v>
      </c>
      <c r="C2580" s="49" t="s">
        <v>1137</v>
      </c>
      <c r="D2580" s="49" t="s">
        <v>1138</v>
      </c>
      <c r="E2580" s="49" t="s">
        <v>19</v>
      </c>
      <c r="F2580" s="50">
        <v>43410</v>
      </c>
      <c r="G2580" s="50">
        <v>43550</v>
      </c>
      <c r="H2580" s="51">
        <v>0.6875</v>
      </c>
      <c r="I2580" s="49" t="s">
        <v>14</v>
      </c>
      <c r="J2580" s="49" t="s">
        <v>1211</v>
      </c>
      <c r="K2580" s="49" t="s">
        <v>38</v>
      </c>
      <c r="L2580" s="4"/>
      <c r="M2580" s="4" t="s">
        <v>275</v>
      </c>
    </row>
    <row r="2581" spans="1:13" x14ac:dyDescent="0.25">
      <c r="A2581" s="49" t="s">
        <v>1436</v>
      </c>
      <c r="B2581" s="49" t="s">
        <v>0</v>
      </c>
      <c r="C2581" s="49" t="s">
        <v>1213</v>
      </c>
      <c r="D2581" s="49" t="s">
        <v>1214</v>
      </c>
      <c r="E2581" s="49" t="s">
        <v>13</v>
      </c>
      <c r="F2581" s="50">
        <v>43503</v>
      </c>
      <c r="G2581" s="50">
        <v>43552</v>
      </c>
      <c r="H2581" s="51">
        <v>0.51388888888888895</v>
      </c>
      <c r="I2581" s="49" t="s">
        <v>14</v>
      </c>
      <c r="J2581" s="49" t="s">
        <v>1801</v>
      </c>
      <c r="K2581" s="49" t="s">
        <v>129</v>
      </c>
      <c r="L2581" s="4"/>
      <c r="M2581" s="4" t="s">
        <v>275</v>
      </c>
    </row>
    <row r="2582" spans="1:13" x14ac:dyDescent="0.25">
      <c r="A2582" s="49" t="s">
        <v>1436</v>
      </c>
      <c r="B2582" s="49" t="s">
        <v>0</v>
      </c>
      <c r="C2582" s="49" t="s">
        <v>130</v>
      </c>
      <c r="D2582" s="49" t="s">
        <v>131</v>
      </c>
      <c r="E2582" s="49" t="s">
        <v>48</v>
      </c>
      <c r="F2582" s="50">
        <v>43406</v>
      </c>
      <c r="G2582" s="50">
        <v>43511</v>
      </c>
      <c r="H2582" s="51">
        <v>0.68055555555555547</v>
      </c>
      <c r="I2582" s="49" t="s">
        <v>207</v>
      </c>
      <c r="J2582" s="49" t="s">
        <v>1215</v>
      </c>
      <c r="K2582" s="49" t="s">
        <v>38</v>
      </c>
      <c r="L2582" s="4"/>
      <c r="M2582" s="4" t="s">
        <v>275</v>
      </c>
    </row>
    <row r="2583" spans="1:13" x14ac:dyDescent="0.25">
      <c r="A2583" s="49" t="s">
        <v>1436</v>
      </c>
      <c r="B2583" s="49" t="s">
        <v>0</v>
      </c>
      <c r="C2583" s="49" t="s">
        <v>828</v>
      </c>
      <c r="D2583" s="49" t="s">
        <v>829</v>
      </c>
      <c r="E2583" s="49" t="s">
        <v>18</v>
      </c>
      <c r="F2583" s="50">
        <v>43401</v>
      </c>
      <c r="G2583" s="50">
        <v>43548</v>
      </c>
      <c r="H2583" s="51">
        <v>0.53472222222222221</v>
      </c>
      <c r="I2583" s="49">
        <v>333</v>
      </c>
      <c r="J2583" s="49" t="s">
        <v>1802</v>
      </c>
      <c r="K2583" s="49" t="s">
        <v>544</v>
      </c>
      <c r="L2583" s="4"/>
      <c r="M2583" s="4" t="s">
        <v>275</v>
      </c>
    </row>
    <row r="2584" spans="1:13" x14ac:dyDescent="0.25">
      <c r="A2584" s="49" t="s">
        <v>1436</v>
      </c>
      <c r="B2584" s="49" t="s">
        <v>0</v>
      </c>
      <c r="C2584" s="49" t="s">
        <v>828</v>
      </c>
      <c r="D2584" s="49" t="s">
        <v>829</v>
      </c>
      <c r="E2584" s="49" t="s">
        <v>18</v>
      </c>
      <c r="F2584" s="50">
        <v>43422</v>
      </c>
      <c r="G2584" s="50">
        <v>43548</v>
      </c>
      <c r="H2584" s="51">
        <v>0.54513888888888895</v>
      </c>
      <c r="I2584" s="49" t="s">
        <v>474</v>
      </c>
      <c r="J2584" s="49" t="s">
        <v>1803</v>
      </c>
      <c r="K2584" s="49" t="s">
        <v>544</v>
      </c>
      <c r="L2584" s="4"/>
      <c r="M2584" s="4" t="s">
        <v>275</v>
      </c>
    </row>
    <row r="2585" spans="1:13" x14ac:dyDescent="0.25">
      <c r="A2585" s="49" t="s">
        <v>1436</v>
      </c>
      <c r="B2585" s="49" t="s">
        <v>0</v>
      </c>
      <c r="C2585" s="49" t="s">
        <v>828</v>
      </c>
      <c r="D2585" s="49" t="s">
        <v>829</v>
      </c>
      <c r="E2585" s="49" t="s">
        <v>18</v>
      </c>
      <c r="F2585" s="50">
        <v>43513</v>
      </c>
      <c r="G2585" s="50">
        <v>43513</v>
      </c>
      <c r="H2585" s="51">
        <v>0.61805555555555558</v>
      </c>
      <c r="I2585" s="49" t="s">
        <v>39</v>
      </c>
      <c r="J2585" s="49" t="s">
        <v>1948</v>
      </c>
      <c r="K2585" s="49" t="s">
        <v>544</v>
      </c>
      <c r="L2585" s="4"/>
      <c r="M2585" s="4" t="s">
        <v>275</v>
      </c>
    </row>
    <row r="2586" spans="1:13" x14ac:dyDescent="0.25">
      <c r="A2586" s="49" t="s">
        <v>1436</v>
      </c>
      <c r="B2586" s="49" t="s">
        <v>0</v>
      </c>
      <c r="C2586" s="49" t="s">
        <v>828</v>
      </c>
      <c r="D2586" s="49" t="s">
        <v>829</v>
      </c>
      <c r="E2586" s="49" t="s">
        <v>18</v>
      </c>
      <c r="F2586" s="50">
        <v>43401</v>
      </c>
      <c r="G2586" s="50">
        <v>43548</v>
      </c>
      <c r="H2586" s="51">
        <v>0.69444444444444453</v>
      </c>
      <c r="I2586" s="49" t="s">
        <v>14</v>
      </c>
      <c r="J2586" s="49" t="s">
        <v>1804</v>
      </c>
      <c r="K2586" s="49" t="s">
        <v>544</v>
      </c>
      <c r="L2586" s="4"/>
      <c r="M2586" s="4" t="s">
        <v>275</v>
      </c>
    </row>
    <row r="2587" spans="1:13" x14ac:dyDescent="0.25">
      <c r="A2587" s="49" t="s">
        <v>1436</v>
      </c>
      <c r="B2587" s="49" t="s">
        <v>0</v>
      </c>
      <c r="C2587" s="49" t="s">
        <v>177</v>
      </c>
      <c r="D2587" s="49" t="s">
        <v>178</v>
      </c>
      <c r="E2587" s="49" t="s">
        <v>20</v>
      </c>
      <c r="F2587" s="50">
        <v>43460</v>
      </c>
      <c r="G2587" s="50">
        <v>43551</v>
      </c>
      <c r="H2587" s="51">
        <v>0.51736111111111105</v>
      </c>
      <c r="I2587" s="49" t="s">
        <v>352</v>
      </c>
      <c r="J2587" s="49" t="s">
        <v>1888</v>
      </c>
      <c r="K2587" s="49" t="s">
        <v>45</v>
      </c>
      <c r="L2587" s="4"/>
      <c r="M2587" s="4" t="s">
        <v>275</v>
      </c>
    </row>
    <row r="2588" spans="1:13" x14ac:dyDescent="0.25">
      <c r="A2588" s="49" t="s">
        <v>1436</v>
      </c>
      <c r="B2588" s="49" t="s">
        <v>0</v>
      </c>
      <c r="C2588" s="49" t="s">
        <v>593</v>
      </c>
      <c r="D2588" s="49" t="s">
        <v>594</v>
      </c>
      <c r="E2588" s="49" t="s">
        <v>19</v>
      </c>
      <c r="F2588" s="50">
        <v>43403</v>
      </c>
      <c r="G2588" s="50">
        <v>43550</v>
      </c>
      <c r="H2588" s="51">
        <v>0.53472222222222221</v>
      </c>
      <c r="I2588" s="49" t="s">
        <v>39</v>
      </c>
      <c r="J2588" s="49" t="s">
        <v>1418</v>
      </c>
      <c r="K2588" s="49" t="s">
        <v>595</v>
      </c>
      <c r="L2588" s="4"/>
      <c r="M2588" s="4" t="s">
        <v>275</v>
      </c>
    </row>
    <row r="2589" spans="1:13" x14ac:dyDescent="0.25">
      <c r="A2589" s="49" t="s">
        <v>1436</v>
      </c>
      <c r="B2589" s="49" t="s">
        <v>0</v>
      </c>
      <c r="C2589" s="49" t="s">
        <v>593</v>
      </c>
      <c r="D2589" s="49" t="s">
        <v>594</v>
      </c>
      <c r="E2589" s="49" t="s">
        <v>18</v>
      </c>
      <c r="F2589" s="50">
        <v>43478</v>
      </c>
      <c r="G2589" s="50">
        <v>43548</v>
      </c>
      <c r="H2589" s="51">
        <v>0.54513888888888895</v>
      </c>
      <c r="I2589" s="49" t="s">
        <v>39</v>
      </c>
      <c r="J2589" s="49" t="s">
        <v>1419</v>
      </c>
      <c r="K2589" s="49" t="s">
        <v>595</v>
      </c>
      <c r="L2589" s="4"/>
      <c r="M2589" s="4" t="s">
        <v>275</v>
      </c>
    </row>
    <row r="2590" spans="1:13" x14ac:dyDescent="0.25">
      <c r="A2590" s="49" t="s">
        <v>1436</v>
      </c>
      <c r="B2590" s="49" t="s">
        <v>0</v>
      </c>
      <c r="C2590" s="49" t="s">
        <v>593</v>
      </c>
      <c r="D2590" s="49" t="s">
        <v>594</v>
      </c>
      <c r="E2590" s="49" t="s">
        <v>22</v>
      </c>
      <c r="F2590" s="50">
        <v>43484</v>
      </c>
      <c r="G2590" s="50">
        <v>43554</v>
      </c>
      <c r="H2590" s="51">
        <v>0.57986111111111105</v>
      </c>
      <c r="I2590" s="49" t="s">
        <v>14</v>
      </c>
      <c r="J2590" s="49" t="s">
        <v>1420</v>
      </c>
      <c r="K2590" s="49" t="s">
        <v>595</v>
      </c>
      <c r="L2590" s="4"/>
      <c r="M2590" s="4" t="s">
        <v>275</v>
      </c>
    </row>
    <row r="2591" spans="1:13" x14ac:dyDescent="0.25">
      <c r="A2591" s="49" t="s">
        <v>1436</v>
      </c>
      <c r="B2591" s="49" t="s">
        <v>0</v>
      </c>
      <c r="C2591" s="49" t="s">
        <v>593</v>
      </c>
      <c r="D2591" s="49" t="s">
        <v>594</v>
      </c>
      <c r="E2591" s="49" t="s">
        <v>18</v>
      </c>
      <c r="F2591" s="50">
        <v>43415</v>
      </c>
      <c r="G2591" s="50">
        <v>43548</v>
      </c>
      <c r="H2591" s="51">
        <v>0.59027777777777779</v>
      </c>
      <c r="I2591" s="49" t="s">
        <v>698</v>
      </c>
      <c r="J2591" s="49" t="s">
        <v>1799</v>
      </c>
      <c r="K2591" s="49" t="s">
        <v>595</v>
      </c>
      <c r="L2591" s="4"/>
      <c r="M2591" s="4" t="s">
        <v>275</v>
      </c>
    </row>
    <row r="2592" spans="1:13" x14ac:dyDescent="0.25">
      <c r="A2592" s="49" t="s">
        <v>1436</v>
      </c>
      <c r="B2592" s="49" t="s">
        <v>0</v>
      </c>
      <c r="C2592" s="49" t="s">
        <v>1949</v>
      </c>
      <c r="D2592" s="49" t="s">
        <v>1950</v>
      </c>
      <c r="E2592" s="49" t="s">
        <v>22</v>
      </c>
      <c r="F2592" s="50">
        <v>43512</v>
      </c>
      <c r="G2592" s="50">
        <v>43554</v>
      </c>
      <c r="H2592" s="51">
        <v>0.58333333333333337</v>
      </c>
      <c r="I2592" s="49">
        <v>319</v>
      </c>
      <c r="J2592" s="49" t="s">
        <v>1951</v>
      </c>
      <c r="K2592" s="49" t="s">
        <v>38</v>
      </c>
      <c r="L2592" s="4"/>
      <c r="M2592" s="4" t="s">
        <v>275</v>
      </c>
    </row>
    <row r="2593" spans="1:13" x14ac:dyDescent="0.25">
      <c r="A2593" s="49" t="s">
        <v>1436</v>
      </c>
      <c r="B2593" s="49" t="s">
        <v>0</v>
      </c>
      <c r="C2593" s="49" t="s">
        <v>1732</v>
      </c>
      <c r="D2593" s="49" t="s">
        <v>1733</v>
      </c>
      <c r="E2593" s="49" t="s">
        <v>20</v>
      </c>
      <c r="F2593" s="50">
        <v>43418</v>
      </c>
      <c r="G2593" s="50">
        <v>43551</v>
      </c>
      <c r="H2593" s="51">
        <v>0.57986111111111105</v>
      </c>
      <c r="I2593" s="49">
        <v>320</v>
      </c>
      <c r="J2593" s="49" t="s">
        <v>1805</v>
      </c>
      <c r="K2593" s="49" t="s">
        <v>45</v>
      </c>
      <c r="L2593" s="4"/>
      <c r="M2593" s="4" t="s">
        <v>275</v>
      </c>
    </row>
    <row r="2594" spans="1:13" x14ac:dyDescent="0.25">
      <c r="A2594" s="49" t="s">
        <v>1436</v>
      </c>
      <c r="B2594" s="49" t="s">
        <v>0</v>
      </c>
      <c r="C2594" s="49" t="s">
        <v>1030</v>
      </c>
      <c r="D2594" s="49" t="s">
        <v>1031</v>
      </c>
      <c r="E2594" s="49" t="s">
        <v>19</v>
      </c>
      <c r="F2594" s="50">
        <v>43480</v>
      </c>
      <c r="G2594" s="50">
        <v>43550</v>
      </c>
      <c r="H2594" s="51">
        <v>0.65277777777777779</v>
      </c>
      <c r="I2594" s="49" t="s">
        <v>207</v>
      </c>
      <c r="J2594" s="49" t="s">
        <v>1216</v>
      </c>
      <c r="K2594" s="49" t="s">
        <v>1032</v>
      </c>
      <c r="L2594" s="4"/>
      <c r="M2594" s="4" t="s">
        <v>275</v>
      </c>
    </row>
    <row r="2595" spans="1:13" x14ac:dyDescent="0.25">
      <c r="A2595" s="49" t="s">
        <v>1436</v>
      </c>
      <c r="B2595" s="49" t="s">
        <v>0</v>
      </c>
      <c r="C2595" s="49" t="s">
        <v>1030</v>
      </c>
      <c r="D2595" s="49" t="s">
        <v>1031</v>
      </c>
      <c r="E2595" s="49" t="s">
        <v>20</v>
      </c>
      <c r="F2595" s="50">
        <v>43509</v>
      </c>
      <c r="G2595" s="50">
        <v>43509</v>
      </c>
      <c r="H2595" s="51">
        <v>0.65277777777777779</v>
      </c>
      <c r="I2595" s="49" t="s">
        <v>207</v>
      </c>
      <c r="J2595" s="49" t="s">
        <v>1216</v>
      </c>
      <c r="K2595" s="49" t="s">
        <v>1032</v>
      </c>
      <c r="L2595" s="4"/>
      <c r="M2595" s="4" t="s">
        <v>275</v>
      </c>
    </row>
    <row r="2596" spans="1:13" x14ac:dyDescent="0.25">
      <c r="A2596" s="49" t="s">
        <v>1436</v>
      </c>
      <c r="B2596" s="49" t="s">
        <v>0</v>
      </c>
      <c r="C2596" s="49" t="s">
        <v>198</v>
      </c>
      <c r="D2596" s="49" t="s">
        <v>199</v>
      </c>
      <c r="E2596" s="49" t="s">
        <v>19</v>
      </c>
      <c r="F2596" s="50">
        <v>43410</v>
      </c>
      <c r="G2596" s="50">
        <v>43550</v>
      </c>
      <c r="H2596" s="51">
        <v>0.55902777777777779</v>
      </c>
      <c r="I2596" s="49" t="s">
        <v>14</v>
      </c>
      <c r="J2596" s="49" t="s">
        <v>1421</v>
      </c>
      <c r="K2596" s="49" t="s">
        <v>38</v>
      </c>
      <c r="L2596" s="4"/>
      <c r="M2596" s="4" t="s">
        <v>275</v>
      </c>
    </row>
    <row r="2597" spans="1:13" x14ac:dyDescent="0.25">
      <c r="A2597" s="49" t="s">
        <v>1436</v>
      </c>
      <c r="B2597" s="49" t="s">
        <v>0</v>
      </c>
      <c r="C2597" s="49" t="s">
        <v>198</v>
      </c>
      <c r="D2597" s="49" t="s">
        <v>199</v>
      </c>
      <c r="E2597" s="49" t="s">
        <v>48</v>
      </c>
      <c r="F2597" s="50">
        <v>43406</v>
      </c>
      <c r="G2597" s="50">
        <v>43553</v>
      </c>
      <c r="H2597" s="51">
        <v>0.65277777777777779</v>
      </c>
      <c r="I2597" s="49" t="s">
        <v>14</v>
      </c>
      <c r="J2597" s="49" t="s">
        <v>1217</v>
      </c>
      <c r="K2597" s="49" t="s">
        <v>38</v>
      </c>
      <c r="L2597" s="4"/>
      <c r="M2597" s="4" t="s">
        <v>275</v>
      </c>
    </row>
    <row r="2598" spans="1:13" x14ac:dyDescent="0.25">
      <c r="A2598" s="49" t="s">
        <v>1436</v>
      </c>
      <c r="B2598" s="49" t="s">
        <v>0</v>
      </c>
      <c r="C2598" s="49" t="s">
        <v>202</v>
      </c>
      <c r="D2598" s="49" t="s">
        <v>203</v>
      </c>
      <c r="E2598" s="49" t="s">
        <v>19</v>
      </c>
      <c r="F2598" s="50">
        <v>43410</v>
      </c>
      <c r="G2598" s="50">
        <v>43550</v>
      </c>
      <c r="H2598" s="51">
        <v>0.56597222222222221</v>
      </c>
      <c r="I2598" s="49" t="s">
        <v>14</v>
      </c>
      <c r="J2598" s="49" t="s">
        <v>1422</v>
      </c>
      <c r="K2598" s="49" t="s">
        <v>38</v>
      </c>
      <c r="L2598" s="4"/>
      <c r="M2598" s="4" t="s">
        <v>275</v>
      </c>
    </row>
    <row r="2599" spans="1:13" x14ac:dyDescent="0.25">
      <c r="A2599" s="49" t="s">
        <v>1436</v>
      </c>
      <c r="B2599" s="49" t="s">
        <v>0</v>
      </c>
      <c r="C2599" s="49" t="s">
        <v>202</v>
      </c>
      <c r="D2599" s="49" t="s">
        <v>203</v>
      </c>
      <c r="E2599" s="49" t="s">
        <v>48</v>
      </c>
      <c r="F2599" s="50">
        <v>43406</v>
      </c>
      <c r="G2599" s="50">
        <v>43553</v>
      </c>
      <c r="H2599" s="51">
        <v>0.65625</v>
      </c>
      <c r="I2599" s="49" t="s">
        <v>14</v>
      </c>
      <c r="J2599" s="49" t="s">
        <v>1218</v>
      </c>
      <c r="K2599" s="49" t="s">
        <v>38</v>
      </c>
      <c r="L2599" s="4"/>
      <c r="M2599" s="4" t="s">
        <v>275</v>
      </c>
    </row>
    <row r="2600" spans="1:13" x14ac:dyDescent="0.25">
      <c r="A2600" s="49" t="s">
        <v>1436</v>
      </c>
      <c r="B2600" s="49" t="s">
        <v>0</v>
      </c>
      <c r="C2600" s="49" t="s">
        <v>208</v>
      </c>
      <c r="D2600" s="49" t="s">
        <v>209</v>
      </c>
      <c r="E2600" s="49" t="s">
        <v>19</v>
      </c>
      <c r="F2600" s="50">
        <v>43452</v>
      </c>
      <c r="G2600" s="50">
        <v>43550</v>
      </c>
      <c r="H2600" s="51">
        <v>0.57638888888888895</v>
      </c>
      <c r="I2600" s="49" t="s">
        <v>207</v>
      </c>
      <c r="J2600" s="49" t="s">
        <v>1221</v>
      </c>
      <c r="K2600" s="49" t="s">
        <v>38</v>
      </c>
      <c r="L2600" s="4"/>
      <c r="M2600" s="4" t="s">
        <v>275</v>
      </c>
    </row>
    <row r="2601" spans="1:13" x14ac:dyDescent="0.25">
      <c r="A2601" s="49" t="s">
        <v>1436</v>
      </c>
      <c r="B2601" s="49" t="s">
        <v>0</v>
      </c>
      <c r="C2601" s="49" t="s">
        <v>208</v>
      </c>
      <c r="D2601" s="49" t="s">
        <v>209</v>
      </c>
      <c r="E2601" s="49" t="s">
        <v>59</v>
      </c>
      <c r="F2601" s="50">
        <v>43409</v>
      </c>
      <c r="G2601" s="50">
        <v>43549</v>
      </c>
      <c r="H2601" s="51">
        <v>0.58680555555555558</v>
      </c>
      <c r="I2601" s="49" t="s">
        <v>14</v>
      </c>
      <c r="J2601" s="49" t="s">
        <v>1423</v>
      </c>
      <c r="K2601" s="49" t="s">
        <v>38</v>
      </c>
      <c r="L2601" s="4"/>
      <c r="M2601" s="4" t="s">
        <v>275</v>
      </c>
    </row>
    <row r="2602" spans="1:13" x14ac:dyDescent="0.25">
      <c r="A2602" s="49" t="s">
        <v>1436</v>
      </c>
      <c r="B2602" s="49" t="s">
        <v>0</v>
      </c>
      <c r="C2602" s="49" t="s">
        <v>208</v>
      </c>
      <c r="D2602" s="49" t="s">
        <v>209</v>
      </c>
      <c r="E2602" s="49" t="s">
        <v>48</v>
      </c>
      <c r="F2602" s="50">
        <v>43406</v>
      </c>
      <c r="G2602" s="50">
        <v>43546</v>
      </c>
      <c r="H2602" s="51">
        <v>0.60763888888888895</v>
      </c>
      <c r="I2602" s="49" t="s">
        <v>14</v>
      </c>
      <c r="J2602" s="49" t="s">
        <v>1223</v>
      </c>
      <c r="K2602" s="49" t="s">
        <v>38</v>
      </c>
      <c r="L2602" s="4"/>
      <c r="M2602" s="4" t="s">
        <v>275</v>
      </c>
    </row>
    <row r="2603" spans="1:13" x14ac:dyDescent="0.25">
      <c r="A2603" s="49" t="s">
        <v>1436</v>
      </c>
      <c r="B2603" s="49" t="s">
        <v>0</v>
      </c>
      <c r="C2603" s="49" t="s">
        <v>208</v>
      </c>
      <c r="D2603" s="49" t="s">
        <v>209</v>
      </c>
      <c r="E2603" s="49" t="s">
        <v>13</v>
      </c>
      <c r="F2603" s="50">
        <v>43461</v>
      </c>
      <c r="G2603" s="50">
        <v>43552</v>
      </c>
      <c r="H2603" s="51">
        <v>0.60763888888888895</v>
      </c>
      <c r="I2603" s="49" t="s">
        <v>207</v>
      </c>
      <c r="J2603" s="49" t="s">
        <v>1222</v>
      </c>
      <c r="K2603" s="49" t="s">
        <v>38</v>
      </c>
      <c r="L2603" s="4"/>
      <c r="M2603" s="4" t="s">
        <v>275</v>
      </c>
    </row>
    <row r="2604" spans="1:13" x14ac:dyDescent="0.25">
      <c r="A2604" s="49" t="s">
        <v>1436</v>
      </c>
      <c r="B2604" s="49" t="s">
        <v>0</v>
      </c>
      <c r="C2604" s="49" t="s">
        <v>208</v>
      </c>
      <c r="D2604" s="49" t="s">
        <v>209</v>
      </c>
      <c r="E2604" s="49" t="s">
        <v>48</v>
      </c>
      <c r="F2604" s="50">
        <v>43406</v>
      </c>
      <c r="G2604" s="50">
        <v>43553</v>
      </c>
      <c r="H2604" s="51">
        <v>0.6875</v>
      </c>
      <c r="I2604" s="49" t="s">
        <v>207</v>
      </c>
      <c r="J2604" s="49" t="s">
        <v>1219</v>
      </c>
      <c r="K2604" s="49" t="s">
        <v>38</v>
      </c>
      <c r="L2604" s="4"/>
      <c r="M2604" s="4" t="s">
        <v>275</v>
      </c>
    </row>
    <row r="2605" spans="1:13" x14ac:dyDescent="0.25">
      <c r="A2605" s="49" t="s">
        <v>1436</v>
      </c>
      <c r="B2605" s="49" t="s">
        <v>0</v>
      </c>
      <c r="C2605" s="49" t="s">
        <v>208</v>
      </c>
      <c r="D2605" s="49" t="s">
        <v>209</v>
      </c>
      <c r="E2605" s="49" t="s">
        <v>18</v>
      </c>
      <c r="F2605" s="50">
        <v>43450</v>
      </c>
      <c r="G2605" s="50">
        <v>43548</v>
      </c>
      <c r="H2605" s="51">
        <v>0.78472222222222221</v>
      </c>
      <c r="I2605" s="49" t="s">
        <v>207</v>
      </c>
      <c r="J2605" s="49" t="s">
        <v>1220</v>
      </c>
      <c r="K2605" s="49" t="s">
        <v>38</v>
      </c>
      <c r="L2605" s="4"/>
      <c r="M2605" s="4" t="s">
        <v>275</v>
      </c>
    </row>
    <row r="2606" spans="1:13" x14ac:dyDescent="0.25">
      <c r="A2606" s="49" t="s">
        <v>1436</v>
      </c>
      <c r="B2606" s="49" t="s">
        <v>0</v>
      </c>
      <c r="C2606" s="49" t="s">
        <v>208</v>
      </c>
      <c r="D2606" s="49" t="s">
        <v>209</v>
      </c>
      <c r="E2606" s="49" t="s">
        <v>22</v>
      </c>
      <c r="F2606" s="50">
        <v>43512</v>
      </c>
      <c r="G2606" s="50">
        <v>43554</v>
      </c>
      <c r="H2606" s="51">
        <v>0.84027777777777779</v>
      </c>
      <c r="I2606" s="49" t="s">
        <v>14</v>
      </c>
      <c r="J2606" s="49" t="s">
        <v>1806</v>
      </c>
      <c r="K2606" s="49" t="s">
        <v>38</v>
      </c>
      <c r="L2606" s="4"/>
      <c r="M2606" s="4" t="s">
        <v>275</v>
      </c>
    </row>
    <row r="2607" spans="1:13" x14ac:dyDescent="0.25">
      <c r="A2607" s="49" t="s">
        <v>1436</v>
      </c>
      <c r="B2607" s="49" t="s">
        <v>0</v>
      </c>
      <c r="C2607" s="49" t="s">
        <v>1294</v>
      </c>
      <c r="D2607" s="49" t="s">
        <v>1295</v>
      </c>
      <c r="E2607" s="49" t="s">
        <v>18</v>
      </c>
      <c r="F2607" s="50">
        <v>43422</v>
      </c>
      <c r="G2607" s="50">
        <v>43548</v>
      </c>
      <c r="H2607" s="51">
        <v>0.57638888888888895</v>
      </c>
      <c r="I2607" s="49" t="s">
        <v>14</v>
      </c>
      <c r="J2607" s="49" t="s">
        <v>1807</v>
      </c>
      <c r="K2607" s="49" t="s">
        <v>544</v>
      </c>
      <c r="L2607" s="4"/>
      <c r="M2607" s="4" t="s">
        <v>275</v>
      </c>
    </row>
    <row r="2608" spans="1:13" x14ac:dyDescent="0.25">
      <c r="A2608" s="49" t="s">
        <v>1436</v>
      </c>
      <c r="B2608" s="49" t="s">
        <v>0</v>
      </c>
      <c r="C2608" s="49" t="s">
        <v>1294</v>
      </c>
      <c r="D2608" s="49" t="s">
        <v>1295</v>
      </c>
      <c r="E2608" s="49" t="s">
        <v>18</v>
      </c>
      <c r="F2608" s="50">
        <v>43492</v>
      </c>
      <c r="G2608" s="50">
        <v>43520</v>
      </c>
      <c r="H2608" s="51">
        <v>0.65625</v>
      </c>
      <c r="I2608" s="49" t="s">
        <v>39</v>
      </c>
      <c r="J2608" s="49" t="s">
        <v>1808</v>
      </c>
      <c r="K2608" s="49" t="s">
        <v>544</v>
      </c>
      <c r="L2608" s="4"/>
      <c r="M2608" s="4" t="s">
        <v>275</v>
      </c>
    </row>
    <row r="2609" spans="1:13" x14ac:dyDescent="0.25">
      <c r="A2609" s="49" t="s">
        <v>1436</v>
      </c>
      <c r="B2609" s="49" t="s">
        <v>0</v>
      </c>
      <c r="C2609" s="49" t="s">
        <v>233</v>
      </c>
      <c r="D2609" s="49" t="s">
        <v>234</v>
      </c>
      <c r="E2609" s="49" t="s">
        <v>20</v>
      </c>
      <c r="F2609" s="50">
        <v>43467</v>
      </c>
      <c r="G2609" s="50">
        <v>43551</v>
      </c>
      <c r="H2609" s="51">
        <v>0.53472222222222221</v>
      </c>
      <c r="I2609" s="49" t="s">
        <v>14</v>
      </c>
      <c r="J2609" s="49" t="s">
        <v>1225</v>
      </c>
      <c r="K2609" s="49" t="s">
        <v>38</v>
      </c>
      <c r="L2609" s="4"/>
      <c r="M2609" s="4" t="s">
        <v>275</v>
      </c>
    </row>
    <row r="2610" spans="1:13" x14ac:dyDescent="0.25">
      <c r="A2610" s="49" t="s">
        <v>1436</v>
      </c>
      <c r="B2610" s="49" t="s">
        <v>0</v>
      </c>
      <c r="C2610" s="49" t="s">
        <v>233</v>
      </c>
      <c r="D2610" s="49" t="s">
        <v>234</v>
      </c>
      <c r="E2610" s="49" t="s">
        <v>48</v>
      </c>
      <c r="F2610" s="50">
        <v>43441</v>
      </c>
      <c r="G2610" s="50">
        <v>43553</v>
      </c>
      <c r="H2610" s="51">
        <v>0.57291666666666663</v>
      </c>
      <c r="I2610" s="49" t="s">
        <v>14</v>
      </c>
      <c r="J2610" s="49" t="s">
        <v>1809</v>
      </c>
      <c r="K2610" s="49" t="s">
        <v>38</v>
      </c>
      <c r="L2610" s="4"/>
      <c r="M2610" s="4" t="s">
        <v>275</v>
      </c>
    </row>
    <row r="2611" spans="1:13" x14ac:dyDescent="0.25">
      <c r="A2611" s="49" t="s">
        <v>1436</v>
      </c>
      <c r="B2611" s="49" t="s">
        <v>0</v>
      </c>
      <c r="C2611" s="49" t="s">
        <v>233</v>
      </c>
      <c r="D2611" s="49" t="s">
        <v>234</v>
      </c>
      <c r="E2611" s="49" t="s">
        <v>59</v>
      </c>
      <c r="F2611" s="50">
        <v>43409</v>
      </c>
      <c r="G2611" s="50">
        <v>43549</v>
      </c>
      <c r="H2611" s="51">
        <v>0.59027777777777779</v>
      </c>
      <c r="I2611" s="49" t="s">
        <v>14</v>
      </c>
      <c r="J2611" s="49" t="s">
        <v>1424</v>
      </c>
      <c r="K2611" s="49" t="s">
        <v>38</v>
      </c>
      <c r="L2611" s="4"/>
      <c r="M2611" s="4" t="s">
        <v>275</v>
      </c>
    </row>
    <row r="2612" spans="1:13" x14ac:dyDescent="0.25">
      <c r="A2612" s="49" t="s">
        <v>1436</v>
      </c>
      <c r="B2612" s="49" t="s">
        <v>0</v>
      </c>
      <c r="C2612" s="49" t="s">
        <v>233</v>
      </c>
      <c r="D2612" s="49" t="s">
        <v>234</v>
      </c>
      <c r="E2612" s="49" t="s">
        <v>19</v>
      </c>
      <c r="F2612" s="50">
        <v>43410</v>
      </c>
      <c r="G2612" s="50">
        <v>43550</v>
      </c>
      <c r="H2612" s="51">
        <v>0.60416666666666663</v>
      </c>
      <c r="I2612" s="49" t="s">
        <v>14</v>
      </c>
      <c r="J2612" s="49" t="s">
        <v>1224</v>
      </c>
      <c r="K2612" s="49" t="s">
        <v>38</v>
      </c>
      <c r="L2612" s="4"/>
      <c r="M2612" s="4" t="s">
        <v>275</v>
      </c>
    </row>
    <row r="2613" spans="1:13" x14ac:dyDescent="0.25">
      <c r="A2613" s="49" t="s">
        <v>1436</v>
      </c>
      <c r="B2613" s="49" t="s">
        <v>0</v>
      </c>
      <c r="C2613" s="49" t="s">
        <v>233</v>
      </c>
      <c r="D2613" s="49" t="s">
        <v>234</v>
      </c>
      <c r="E2613" s="49" t="s">
        <v>48</v>
      </c>
      <c r="F2613" s="50">
        <v>43448</v>
      </c>
      <c r="G2613" s="50">
        <v>43553</v>
      </c>
      <c r="H2613" s="51">
        <v>0.6875</v>
      </c>
      <c r="I2613" s="49" t="s">
        <v>207</v>
      </c>
      <c r="J2613" s="49" t="s">
        <v>1227</v>
      </c>
      <c r="K2613" s="49" t="s">
        <v>38</v>
      </c>
      <c r="L2613" s="4"/>
      <c r="M2613" s="4" t="s">
        <v>275</v>
      </c>
    </row>
    <row r="2614" spans="1:13" x14ac:dyDescent="0.25">
      <c r="A2614" s="49" t="s">
        <v>1436</v>
      </c>
      <c r="B2614" s="49" t="s">
        <v>0</v>
      </c>
      <c r="C2614" s="49" t="s">
        <v>233</v>
      </c>
      <c r="D2614" s="49" t="s">
        <v>234</v>
      </c>
      <c r="E2614" s="49" t="s">
        <v>18</v>
      </c>
      <c r="F2614" s="50">
        <v>43457</v>
      </c>
      <c r="G2614" s="50">
        <v>43548</v>
      </c>
      <c r="H2614" s="51">
        <v>0.84027777777777779</v>
      </c>
      <c r="I2614" s="49" t="s">
        <v>14</v>
      </c>
      <c r="J2614" s="49" t="s">
        <v>1810</v>
      </c>
      <c r="K2614" s="49" t="s">
        <v>38</v>
      </c>
      <c r="L2614" s="4"/>
      <c r="M2614" s="4" t="s">
        <v>275</v>
      </c>
    </row>
    <row r="2615" spans="1:13" x14ac:dyDescent="0.25">
      <c r="A2615" s="49" t="s">
        <v>1436</v>
      </c>
      <c r="B2615" s="49" t="s">
        <v>0</v>
      </c>
      <c r="C2615" s="49" t="s">
        <v>233</v>
      </c>
      <c r="D2615" s="49" t="s">
        <v>234</v>
      </c>
      <c r="E2615" s="49" t="s">
        <v>13</v>
      </c>
      <c r="F2615" s="50">
        <v>43405</v>
      </c>
      <c r="G2615" s="50">
        <v>43552</v>
      </c>
      <c r="H2615" s="51">
        <v>0.87152777777777779</v>
      </c>
      <c r="I2615" s="49" t="s">
        <v>14</v>
      </c>
      <c r="J2615" s="49" t="s">
        <v>1226</v>
      </c>
      <c r="K2615" s="49" t="s">
        <v>38</v>
      </c>
      <c r="L2615" s="49"/>
      <c r="M2615" s="4" t="s">
        <v>275</v>
      </c>
    </row>
    <row r="2616" spans="1:13" x14ac:dyDescent="0.25">
      <c r="A2616" s="49" t="s">
        <v>1436</v>
      </c>
      <c r="B2616" s="49" t="s">
        <v>0</v>
      </c>
      <c r="C2616" s="49" t="s">
        <v>243</v>
      </c>
      <c r="D2616" s="49" t="s">
        <v>244</v>
      </c>
      <c r="E2616" s="49" t="s">
        <v>59</v>
      </c>
      <c r="F2616" s="50">
        <v>43500</v>
      </c>
      <c r="G2616" s="50">
        <v>43549</v>
      </c>
      <c r="H2616" s="51">
        <v>0.48958333333333331</v>
      </c>
      <c r="I2616" s="49">
        <v>738</v>
      </c>
      <c r="J2616" s="49" t="s">
        <v>1870</v>
      </c>
      <c r="K2616" s="49" t="s">
        <v>66</v>
      </c>
      <c r="L2616" s="49" t="s">
        <v>138</v>
      </c>
      <c r="M2616" s="4" t="s">
        <v>275</v>
      </c>
    </row>
    <row r="2617" spans="1:13" x14ac:dyDescent="0.25">
      <c r="A2617" s="49" t="s">
        <v>1436</v>
      </c>
      <c r="B2617" s="49" t="s">
        <v>0</v>
      </c>
      <c r="C2617" s="49" t="s">
        <v>246</v>
      </c>
      <c r="D2617" s="49" t="s">
        <v>247</v>
      </c>
      <c r="E2617" s="49" t="s">
        <v>20</v>
      </c>
      <c r="F2617" s="50">
        <v>43460</v>
      </c>
      <c r="G2617" s="50">
        <v>43551</v>
      </c>
      <c r="H2617" s="51">
        <v>0.5</v>
      </c>
      <c r="I2617" s="49" t="s">
        <v>352</v>
      </c>
      <c r="J2617" s="49" t="s">
        <v>1889</v>
      </c>
      <c r="K2617" s="49" t="s">
        <v>45</v>
      </c>
      <c r="L2617" s="49"/>
      <c r="M2617" s="4" t="s">
        <v>275</v>
      </c>
    </row>
    <row r="2618" spans="1:13" x14ac:dyDescent="0.25">
      <c r="A2618" s="49" t="s">
        <v>1436</v>
      </c>
      <c r="B2618" s="49" t="s">
        <v>0</v>
      </c>
      <c r="C2618" s="49" t="s">
        <v>252</v>
      </c>
      <c r="D2618" s="49" t="s">
        <v>253</v>
      </c>
      <c r="E2618" s="49" t="s">
        <v>48</v>
      </c>
      <c r="F2618" s="50">
        <v>43406</v>
      </c>
      <c r="G2618" s="50">
        <v>43546</v>
      </c>
      <c r="H2618" s="51">
        <v>0.53472222222222221</v>
      </c>
      <c r="I2618" s="49" t="s">
        <v>14</v>
      </c>
      <c r="J2618" s="49" t="s">
        <v>1229</v>
      </c>
      <c r="K2618" s="49" t="s">
        <v>38</v>
      </c>
      <c r="L2618" s="49"/>
      <c r="M2618" s="4" t="s">
        <v>275</v>
      </c>
    </row>
    <row r="2619" spans="1:13" x14ac:dyDescent="0.25">
      <c r="A2619" s="49" t="s">
        <v>1436</v>
      </c>
      <c r="B2619" s="49" t="s">
        <v>0</v>
      </c>
      <c r="C2619" s="49" t="s">
        <v>252</v>
      </c>
      <c r="D2619" s="49" t="s">
        <v>253</v>
      </c>
      <c r="E2619" s="49" t="s">
        <v>19</v>
      </c>
      <c r="F2619" s="50">
        <v>43452</v>
      </c>
      <c r="G2619" s="50">
        <v>43550</v>
      </c>
      <c r="H2619" s="51">
        <v>0.85416666666666663</v>
      </c>
      <c r="I2619" s="49" t="s">
        <v>14</v>
      </c>
      <c r="J2619" s="49" t="s">
        <v>1228</v>
      </c>
      <c r="K2619" s="49" t="s">
        <v>38</v>
      </c>
      <c r="L2619" s="49"/>
      <c r="M2619" s="4" t="s">
        <v>275</v>
      </c>
    </row>
    <row r="2620" spans="1:13" x14ac:dyDescent="0.25">
      <c r="A2620" s="49" t="s">
        <v>1436</v>
      </c>
      <c r="B2620" s="49" t="s">
        <v>0</v>
      </c>
      <c r="C2620" s="49" t="s">
        <v>1371</v>
      </c>
      <c r="D2620" s="49" t="s">
        <v>1372</v>
      </c>
      <c r="E2620" s="49" t="s">
        <v>18</v>
      </c>
      <c r="F2620" s="50">
        <v>43450</v>
      </c>
      <c r="G2620" s="50">
        <v>43548</v>
      </c>
      <c r="H2620" s="51">
        <v>0.60416666666666663</v>
      </c>
      <c r="I2620" s="49" t="s">
        <v>14</v>
      </c>
      <c r="J2620" s="49" t="s">
        <v>1811</v>
      </c>
      <c r="K2620" s="49" t="s">
        <v>544</v>
      </c>
      <c r="L2620" s="49"/>
      <c r="M2620" s="4" t="s">
        <v>275</v>
      </c>
    </row>
    <row r="2621" spans="1:13" x14ac:dyDescent="0.25">
      <c r="A2621" s="49" t="s">
        <v>1436</v>
      </c>
      <c r="B2621" s="49" t="s">
        <v>0</v>
      </c>
      <c r="C2621" s="49" t="s">
        <v>1187</v>
      </c>
      <c r="D2621" s="49" t="s">
        <v>1188</v>
      </c>
      <c r="E2621" s="49" t="s">
        <v>13</v>
      </c>
      <c r="F2621" s="50">
        <v>43475</v>
      </c>
      <c r="G2621" s="50">
        <v>43552</v>
      </c>
      <c r="H2621" s="51">
        <v>0.67013888888888884</v>
      </c>
      <c r="I2621" s="49" t="s">
        <v>14</v>
      </c>
      <c r="J2621" s="49" t="s">
        <v>1812</v>
      </c>
      <c r="K2621" s="49" t="s">
        <v>38</v>
      </c>
      <c r="L2621" s="49"/>
      <c r="M2621" s="4" t="s">
        <v>275</v>
      </c>
    </row>
    <row r="2622" spans="1:13" x14ac:dyDescent="0.25">
      <c r="A2622" s="49" t="s">
        <v>1436</v>
      </c>
      <c r="B2622" s="49" t="s">
        <v>0</v>
      </c>
      <c r="C2622" s="49" t="s">
        <v>701</v>
      </c>
      <c r="D2622" s="49" t="s">
        <v>702</v>
      </c>
      <c r="E2622" s="49" t="s">
        <v>18</v>
      </c>
      <c r="F2622" s="50">
        <v>43401</v>
      </c>
      <c r="G2622" s="50">
        <v>43548</v>
      </c>
      <c r="H2622" s="51">
        <v>0.61805555555555558</v>
      </c>
      <c r="I2622" s="49" t="s">
        <v>39</v>
      </c>
      <c r="J2622" s="49" t="s">
        <v>1813</v>
      </c>
      <c r="K2622" s="49" t="s">
        <v>488</v>
      </c>
      <c r="L2622" s="49"/>
      <c r="M2622" s="4" t="s">
        <v>275</v>
      </c>
    </row>
    <row r="2623" spans="1:13" x14ac:dyDescent="0.25">
      <c r="A2623" s="49" t="s">
        <v>1436</v>
      </c>
      <c r="B2623" s="49" t="s">
        <v>0</v>
      </c>
      <c r="C2623" s="49" t="s">
        <v>701</v>
      </c>
      <c r="D2623" s="49" t="s">
        <v>702</v>
      </c>
      <c r="E2623" s="49" t="s">
        <v>18</v>
      </c>
      <c r="F2623" s="50">
        <v>43401</v>
      </c>
      <c r="G2623" s="50">
        <v>43548</v>
      </c>
      <c r="H2623" s="51">
        <v>0.63194444444444442</v>
      </c>
      <c r="I2623" s="49" t="s">
        <v>14</v>
      </c>
      <c r="J2623" s="49" t="s">
        <v>1814</v>
      </c>
      <c r="K2623" s="49" t="s">
        <v>488</v>
      </c>
      <c r="L2623" s="49"/>
      <c r="M2623" s="4" t="s">
        <v>275</v>
      </c>
    </row>
    <row r="2624" spans="1:13" x14ac:dyDescent="0.25">
      <c r="A2624" s="49" t="s">
        <v>1436</v>
      </c>
      <c r="B2624" s="49" t="s">
        <v>0</v>
      </c>
      <c r="C2624" s="49" t="s">
        <v>701</v>
      </c>
      <c r="D2624" s="49" t="s">
        <v>702</v>
      </c>
      <c r="E2624" s="49" t="s">
        <v>18</v>
      </c>
      <c r="F2624" s="50">
        <v>43401</v>
      </c>
      <c r="G2624" s="50">
        <v>43548</v>
      </c>
      <c r="H2624" s="51">
        <v>0.67013888888888884</v>
      </c>
      <c r="I2624" s="49">
        <v>333</v>
      </c>
      <c r="J2624" s="49" t="s">
        <v>1815</v>
      </c>
      <c r="K2624" s="49" t="s">
        <v>488</v>
      </c>
      <c r="L2624" s="49"/>
      <c r="M2624" s="4" t="s">
        <v>275</v>
      </c>
    </row>
    <row r="2625" spans="1:13" x14ac:dyDescent="0.25">
      <c r="A2625" s="49" t="s">
        <v>1436</v>
      </c>
      <c r="B2625" s="49" t="s">
        <v>0</v>
      </c>
      <c r="C2625" s="49" t="s">
        <v>706</v>
      </c>
      <c r="D2625" s="49" t="s">
        <v>707</v>
      </c>
      <c r="E2625" s="49" t="s">
        <v>18</v>
      </c>
      <c r="F2625" s="50">
        <v>43422</v>
      </c>
      <c r="G2625" s="50">
        <v>43548</v>
      </c>
      <c r="H2625" s="51">
        <v>0.30208333333333331</v>
      </c>
      <c r="I2625" s="49" t="s">
        <v>39</v>
      </c>
      <c r="J2625" s="49" t="s">
        <v>1816</v>
      </c>
      <c r="K2625" s="49" t="s">
        <v>488</v>
      </c>
      <c r="L2625" s="49"/>
      <c r="M2625" s="4" t="s">
        <v>275</v>
      </c>
    </row>
    <row r="2626" spans="1:13" x14ac:dyDescent="0.25">
      <c r="A2626" s="49" t="s">
        <v>1436</v>
      </c>
      <c r="B2626" s="49" t="s">
        <v>0</v>
      </c>
      <c r="C2626" s="49" t="s">
        <v>1377</v>
      </c>
      <c r="D2626" s="49" t="s">
        <v>1378</v>
      </c>
      <c r="E2626" s="49" t="s">
        <v>19</v>
      </c>
      <c r="F2626" s="50">
        <v>43487</v>
      </c>
      <c r="G2626" s="50">
        <v>43550</v>
      </c>
      <c r="H2626" s="51">
        <v>0.61805555555555558</v>
      </c>
      <c r="I2626" s="49" t="s">
        <v>14</v>
      </c>
      <c r="J2626" s="49" t="s">
        <v>1425</v>
      </c>
      <c r="K2626" s="49" t="s">
        <v>595</v>
      </c>
      <c r="L2626" s="49"/>
      <c r="M2626" s="4" t="s">
        <v>275</v>
      </c>
    </row>
    <row r="2627" spans="1:13" x14ac:dyDescent="0.25">
      <c r="A2627" s="49" t="s">
        <v>1436</v>
      </c>
      <c r="B2627" s="49" t="s">
        <v>0</v>
      </c>
      <c r="C2627" s="49" t="s">
        <v>264</v>
      </c>
      <c r="D2627" s="49" t="s">
        <v>265</v>
      </c>
      <c r="E2627" s="49" t="s">
        <v>48</v>
      </c>
      <c r="F2627" s="50">
        <v>43511</v>
      </c>
      <c r="G2627" s="50">
        <v>43511</v>
      </c>
      <c r="H2627" s="51">
        <v>0.20833333333333334</v>
      </c>
      <c r="I2627" s="49" t="s">
        <v>698</v>
      </c>
      <c r="J2627" s="49" t="s">
        <v>1952</v>
      </c>
      <c r="K2627" s="49" t="s">
        <v>221</v>
      </c>
      <c r="L2627" s="49" t="s">
        <v>1953</v>
      </c>
      <c r="M2627" s="4" t="s">
        <v>275</v>
      </c>
    </row>
    <row r="2628" spans="1:13" x14ac:dyDescent="0.25">
      <c r="A2628" s="49" t="s">
        <v>1436</v>
      </c>
      <c r="B2628" s="49" t="s">
        <v>0</v>
      </c>
      <c r="C2628" s="49" t="s">
        <v>1426</v>
      </c>
      <c r="D2628" s="49" t="s">
        <v>1427</v>
      </c>
      <c r="E2628" s="49" t="s">
        <v>48</v>
      </c>
      <c r="F2628" s="50">
        <v>43497</v>
      </c>
      <c r="G2628" s="50">
        <v>43553</v>
      </c>
      <c r="H2628" s="51">
        <v>0.59027777777777779</v>
      </c>
      <c r="I2628" s="49">
        <v>320</v>
      </c>
      <c r="J2628" s="49" t="s">
        <v>1428</v>
      </c>
      <c r="K2628" s="49" t="s">
        <v>1429</v>
      </c>
      <c r="L2628" s="49"/>
      <c r="M2628" s="4" t="s">
        <v>275</v>
      </c>
    </row>
    <row r="2629" spans="1:13" x14ac:dyDescent="0.25">
      <c r="A2629" s="49" t="s">
        <v>1436</v>
      </c>
      <c r="B2629" s="49" t="s">
        <v>0</v>
      </c>
      <c r="C2629" s="49" t="s">
        <v>1192</v>
      </c>
      <c r="D2629" s="49" t="s">
        <v>1193</v>
      </c>
      <c r="E2629" s="49" t="s">
        <v>18</v>
      </c>
      <c r="F2629" s="50">
        <v>43401</v>
      </c>
      <c r="G2629" s="50">
        <v>43548</v>
      </c>
      <c r="H2629" s="51">
        <v>0.49652777777777773</v>
      </c>
      <c r="I2629" s="49" t="s">
        <v>14</v>
      </c>
      <c r="J2629" s="49" t="s">
        <v>1817</v>
      </c>
      <c r="K2629" s="49" t="s">
        <v>488</v>
      </c>
      <c r="L2629" s="49"/>
      <c r="M2629" s="4" t="s">
        <v>275</v>
      </c>
    </row>
    <row r="2630" spans="1:13" x14ac:dyDescent="0.25">
      <c r="A2630" s="49" t="s">
        <v>1436</v>
      </c>
      <c r="B2630" s="49" t="s">
        <v>0</v>
      </c>
      <c r="C2630" s="49" t="s">
        <v>1192</v>
      </c>
      <c r="D2630" s="49" t="s">
        <v>1193</v>
      </c>
      <c r="E2630" s="49" t="s">
        <v>18</v>
      </c>
      <c r="F2630" s="50">
        <v>43401</v>
      </c>
      <c r="G2630" s="50">
        <v>43548</v>
      </c>
      <c r="H2630" s="51">
        <v>0.60763888888888895</v>
      </c>
      <c r="I2630" s="49" t="s">
        <v>81</v>
      </c>
      <c r="J2630" s="49" t="s">
        <v>1818</v>
      </c>
      <c r="K2630" s="49" t="s">
        <v>488</v>
      </c>
      <c r="L2630" s="49"/>
      <c r="M2630" s="4" t="s">
        <v>275</v>
      </c>
    </row>
    <row r="2631" spans="1:13" x14ac:dyDescent="0.25">
      <c r="A2631" s="49" t="s">
        <v>1436</v>
      </c>
      <c r="B2631" s="49" t="s">
        <v>0</v>
      </c>
      <c r="C2631" s="49" t="s">
        <v>1430</v>
      </c>
      <c r="D2631" s="49" t="s">
        <v>1431</v>
      </c>
      <c r="E2631" s="49" t="s">
        <v>132</v>
      </c>
      <c r="F2631" s="50">
        <v>43497</v>
      </c>
      <c r="G2631" s="50">
        <v>43553</v>
      </c>
      <c r="H2631" s="51">
        <v>0.5625</v>
      </c>
      <c r="I2631" s="49">
        <v>320</v>
      </c>
      <c r="J2631" s="49" t="s">
        <v>1432</v>
      </c>
      <c r="K2631" s="49" t="s">
        <v>1433</v>
      </c>
      <c r="L2631" s="4"/>
      <c r="M2631" s="4" t="s">
        <v>275</v>
      </c>
    </row>
    <row r="2632" spans="1:13" x14ac:dyDescent="0.25">
      <c r="A2632" s="49" t="s">
        <v>1436</v>
      </c>
      <c r="B2632" s="49" t="s">
        <v>0</v>
      </c>
      <c r="C2632" s="49" t="s">
        <v>1784</v>
      </c>
      <c r="D2632" s="49" t="s">
        <v>1785</v>
      </c>
      <c r="E2632" s="49" t="s">
        <v>19</v>
      </c>
      <c r="F2632" s="50">
        <v>43494</v>
      </c>
      <c r="G2632" s="50">
        <v>43529</v>
      </c>
      <c r="H2632" s="51">
        <v>0.55208333333333337</v>
      </c>
      <c r="I2632" s="49" t="s">
        <v>81</v>
      </c>
      <c r="J2632" s="49" t="s">
        <v>1819</v>
      </c>
      <c r="K2632" s="49" t="s">
        <v>595</v>
      </c>
      <c r="L2632" s="4"/>
      <c r="M2632" s="4" t="s">
        <v>275</v>
      </c>
    </row>
    <row r="2633" spans="1:13" x14ac:dyDescent="0.25">
      <c r="A2633" s="49" t="s">
        <v>1436</v>
      </c>
      <c r="B2633" s="49" t="s">
        <v>0</v>
      </c>
      <c r="C2633" s="49" t="s">
        <v>1194</v>
      </c>
      <c r="D2633" s="49" t="s">
        <v>1195</v>
      </c>
      <c r="E2633" s="49" t="s">
        <v>18</v>
      </c>
      <c r="F2633" s="50">
        <v>43401</v>
      </c>
      <c r="G2633" s="50">
        <v>43548</v>
      </c>
      <c r="H2633" s="51">
        <v>0.56597222222222221</v>
      </c>
      <c r="I2633" s="49" t="s">
        <v>14</v>
      </c>
      <c r="J2633" s="49" t="s">
        <v>1820</v>
      </c>
      <c r="K2633" s="49" t="s">
        <v>488</v>
      </c>
      <c r="L2633" s="4"/>
      <c r="M2633" s="4" t="s">
        <v>275</v>
      </c>
    </row>
    <row r="2634" spans="1:13" x14ac:dyDescent="0.25">
      <c r="A2634" s="49" t="s">
        <v>1436</v>
      </c>
      <c r="B2634" s="49" t="s">
        <v>0</v>
      </c>
      <c r="C2634" s="49" t="s">
        <v>1389</v>
      </c>
      <c r="D2634" s="49" t="s">
        <v>1390</v>
      </c>
      <c r="E2634" s="49" t="s">
        <v>19</v>
      </c>
      <c r="F2634" s="50">
        <v>43417</v>
      </c>
      <c r="G2634" s="50">
        <v>43529</v>
      </c>
      <c r="H2634" s="51">
        <v>0.21875</v>
      </c>
      <c r="I2634" s="49" t="s">
        <v>39</v>
      </c>
      <c r="J2634" s="49" t="s">
        <v>1434</v>
      </c>
      <c r="K2634" s="49" t="s">
        <v>595</v>
      </c>
      <c r="L2634" s="4"/>
      <c r="M2634" s="4" t="s">
        <v>275</v>
      </c>
    </row>
    <row r="2635" spans="1:13" x14ac:dyDescent="0.25">
      <c r="A2635" s="49" t="s">
        <v>1436</v>
      </c>
      <c r="B2635" s="49" t="s">
        <v>0</v>
      </c>
      <c r="C2635" s="49" t="s">
        <v>1398</v>
      </c>
      <c r="D2635" s="49" t="s">
        <v>1399</v>
      </c>
      <c r="E2635" s="49" t="s">
        <v>19</v>
      </c>
      <c r="F2635" s="50">
        <v>43403</v>
      </c>
      <c r="G2635" s="50">
        <v>43550</v>
      </c>
      <c r="H2635" s="51">
        <v>0.56944444444444442</v>
      </c>
      <c r="I2635" s="49" t="s">
        <v>14</v>
      </c>
      <c r="J2635" s="49" t="s">
        <v>1435</v>
      </c>
      <c r="K2635" s="49" t="s">
        <v>544</v>
      </c>
      <c r="L2635" s="4"/>
      <c r="M2635" s="4" t="s">
        <v>275</v>
      </c>
    </row>
    <row r="2636" spans="1:13" x14ac:dyDescent="0.25">
      <c r="A2636" s="49" t="s">
        <v>1436</v>
      </c>
      <c r="B2636" s="49" t="s">
        <v>0</v>
      </c>
      <c r="C2636" s="49" t="s">
        <v>1305</v>
      </c>
      <c r="D2636" s="49" t="s">
        <v>1306</v>
      </c>
      <c r="E2636" s="49" t="s">
        <v>48</v>
      </c>
      <c r="F2636" s="50">
        <v>43441</v>
      </c>
      <c r="G2636" s="50">
        <v>43525</v>
      </c>
      <c r="H2636" s="51">
        <v>0.52777777777777779</v>
      </c>
      <c r="I2636" s="49" t="s">
        <v>14</v>
      </c>
      <c r="J2636" s="49" t="s">
        <v>1890</v>
      </c>
      <c r="K2636" s="49" t="s">
        <v>1307</v>
      </c>
      <c r="L2636" s="4"/>
      <c r="M2636" s="4" t="s">
        <v>275</v>
      </c>
    </row>
    <row r="2637" spans="1:13" x14ac:dyDescent="0.25">
      <c r="A2637" s="10"/>
      <c r="B2637" s="10"/>
      <c r="C2637" s="10"/>
      <c r="D2637" s="10"/>
      <c r="E2637" s="10"/>
      <c r="F2637" s="11"/>
      <c r="G2637" s="11"/>
      <c r="H2637" s="12"/>
      <c r="I2637" s="10"/>
      <c r="J2637" s="10"/>
      <c r="K2637" s="4"/>
      <c r="L2637" s="4"/>
    </row>
    <row r="2638" spans="1:13" x14ac:dyDescent="0.25">
      <c r="A2638" s="10"/>
      <c r="B2638" s="10"/>
      <c r="C2638" s="10"/>
      <c r="D2638" s="10"/>
      <c r="E2638" s="10"/>
      <c r="F2638" s="11"/>
      <c r="G2638" s="11"/>
      <c r="H2638" s="12"/>
      <c r="I2638" s="10"/>
      <c r="J2638" s="10"/>
      <c r="K2638" s="4"/>
      <c r="L2638" s="4"/>
    </row>
    <row r="2639" spans="1:13" x14ac:dyDescent="0.25">
      <c r="A2639" s="10"/>
      <c r="B2639" s="10"/>
      <c r="C2639" s="10"/>
      <c r="D2639" s="10"/>
      <c r="E2639" s="10"/>
      <c r="F2639" s="11"/>
      <c r="G2639" s="11"/>
      <c r="H2639" s="12"/>
      <c r="I2639" s="10"/>
      <c r="J2639" s="10"/>
      <c r="K2639" s="4"/>
      <c r="L2639" s="4"/>
    </row>
    <row r="2640" spans="1:13" x14ac:dyDescent="0.25">
      <c r="A2640" s="10"/>
      <c r="B2640" s="10"/>
      <c r="C2640" s="10"/>
      <c r="D2640" s="10"/>
      <c r="E2640" s="10"/>
      <c r="F2640" s="11"/>
      <c r="G2640" s="11"/>
      <c r="H2640" s="12"/>
      <c r="I2640" s="10"/>
      <c r="J2640" s="10"/>
      <c r="K2640" s="4"/>
      <c r="L2640" s="4"/>
    </row>
    <row r="2641" spans="1:12" x14ac:dyDescent="0.25">
      <c r="A2641" s="10"/>
      <c r="B2641" s="10"/>
      <c r="C2641" s="10"/>
      <c r="D2641" s="10"/>
      <c r="E2641" s="10"/>
      <c r="F2641" s="11"/>
      <c r="G2641" s="11"/>
      <c r="H2641" s="12"/>
      <c r="I2641" s="10"/>
      <c r="J2641" s="10"/>
      <c r="K2641" s="4"/>
      <c r="L2641" s="4"/>
    </row>
    <row r="2642" spans="1:12" x14ac:dyDescent="0.25">
      <c r="A2642" s="10"/>
      <c r="B2642" s="10"/>
      <c r="C2642" s="10"/>
      <c r="D2642" s="10"/>
      <c r="E2642" s="10"/>
      <c r="F2642" s="11"/>
      <c r="G2642" s="11"/>
      <c r="H2642" s="12"/>
      <c r="I2642" s="10"/>
      <c r="J2642" s="10"/>
      <c r="K2642" s="4"/>
      <c r="L2642" s="4"/>
    </row>
    <row r="2643" spans="1:12" x14ac:dyDescent="0.25">
      <c r="A2643" s="10"/>
      <c r="B2643" s="10"/>
      <c r="C2643" s="10"/>
      <c r="D2643" s="10"/>
      <c r="E2643" s="10"/>
      <c r="F2643" s="11"/>
      <c r="G2643" s="11"/>
      <c r="H2643" s="12"/>
      <c r="I2643" s="10"/>
      <c r="J2643" s="10"/>
      <c r="K2643" s="4"/>
      <c r="L2643" s="4"/>
    </row>
    <row r="2644" spans="1:12" x14ac:dyDescent="0.25">
      <c r="A2644" s="10"/>
      <c r="B2644" s="10"/>
      <c r="C2644" s="10"/>
      <c r="D2644" s="10"/>
      <c r="E2644" s="10"/>
      <c r="F2644" s="11"/>
      <c r="G2644" s="11"/>
      <c r="H2644" s="12"/>
      <c r="I2644" s="10"/>
      <c r="J2644" s="10"/>
      <c r="K2644" s="4"/>
      <c r="L2644" s="4"/>
    </row>
    <row r="2645" spans="1:12" x14ac:dyDescent="0.25">
      <c r="A2645" s="10"/>
      <c r="B2645" s="10"/>
      <c r="C2645" s="10"/>
      <c r="D2645" s="10"/>
      <c r="E2645" s="10"/>
      <c r="F2645" s="11"/>
      <c r="G2645" s="11"/>
      <c r="H2645" s="12"/>
      <c r="I2645" s="10"/>
      <c r="J2645" s="10"/>
      <c r="K2645" s="4"/>
      <c r="L2645" s="4"/>
    </row>
    <row r="2646" spans="1:12" x14ac:dyDescent="0.25">
      <c r="A2646" s="10"/>
      <c r="B2646" s="10"/>
      <c r="C2646" s="10"/>
      <c r="D2646" s="10"/>
      <c r="E2646" s="10"/>
      <c r="F2646" s="11"/>
      <c r="G2646" s="11"/>
      <c r="H2646" s="12"/>
      <c r="I2646" s="10"/>
      <c r="J2646" s="10"/>
      <c r="K2646" s="4"/>
      <c r="L2646" s="4"/>
    </row>
    <row r="2647" spans="1:12" x14ac:dyDescent="0.25">
      <c r="A2647" s="10"/>
      <c r="B2647" s="10"/>
      <c r="C2647" s="10"/>
      <c r="D2647" s="10"/>
      <c r="E2647" s="10"/>
      <c r="F2647" s="11"/>
      <c r="G2647" s="11"/>
      <c r="H2647" s="12"/>
      <c r="I2647" s="10"/>
      <c r="J2647" s="10"/>
      <c r="K2647" s="4"/>
      <c r="L2647" s="4"/>
    </row>
    <row r="2648" spans="1:12" x14ac:dyDescent="0.25">
      <c r="A2648" s="10"/>
      <c r="B2648" s="10"/>
      <c r="C2648" s="10"/>
      <c r="D2648" s="10"/>
      <c r="E2648" s="10"/>
      <c r="F2648" s="11"/>
      <c r="G2648" s="11"/>
      <c r="H2648" s="12"/>
      <c r="I2648" s="10"/>
      <c r="J2648" s="10"/>
      <c r="K2648" s="4"/>
      <c r="L2648" s="4"/>
    </row>
    <row r="2649" spans="1:12" x14ac:dyDescent="0.25">
      <c r="A2649" s="10"/>
      <c r="B2649" s="10"/>
      <c r="C2649" s="10"/>
      <c r="D2649" s="10"/>
      <c r="E2649" s="10"/>
      <c r="F2649" s="11"/>
      <c r="G2649" s="11"/>
      <c r="H2649" s="12"/>
      <c r="I2649" s="10"/>
      <c r="J2649" s="10"/>
      <c r="K2649" s="4"/>
      <c r="L2649" s="4"/>
    </row>
    <row r="2650" spans="1:12" x14ac:dyDescent="0.25">
      <c r="A2650" s="10"/>
      <c r="B2650" s="10"/>
      <c r="C2650" s="10"/>
      <c r="D2650" s="10"/>
      <c r="E2650" s="10"/>
      <c r="F2650" s="11"/>
      <c r="G2650" s="11"/>
      <c r="H2650" s="12"/>
      <c r="I2650" s="10"/>
      <c r="J2650" s="10"/>
      <c r="K2650" s="4"/>
      <c r="L2650" s="4"/>
    </row>
    <row r="2651" spans="1:12" x14ac:dyDescent="0.25">
      <c r="A2651" s="10"/>
      <c r="B2651" s="10"/>
      <c r="C2651" s="10"/>
      <c r="D2651" s="10"/>
      <c r="E2651" s="10"/>
      <c r="F2651" s="11"/>
      <c r="G2651" s="11"/>
      <c r="H2651" s="12"/>
      <c r="I2651" s="10"/>
      <c r="J2651" s="10"/>
      <c r="K2651" s="4"/>
      <c r="L2651" s="4"/>
    </row>
    <row r="2652" spans="1:12" x14ac:dyDescent="0.25">
      <c r="A2652" s="10"/>
      <c r="B2652" s="10"/>
      <c r="C2652" s="10"/>
      <c r="D2652" s="10"/>
      <c r="E2652" s="10"/>
      <c r="F2652" s="11"/>
      <c r="G2652" s="11"/>
      <c r="H2652" s="12"/>
      <c r="I2652" s="10"/>
      <c r="J2652" s="10"/>
      <c r="K2652" s="4"/>
      <c r="L2652" s="4"/>
    </row>
    <row r="2653" spans="1:12" x14ac:dyDescent="0.25">
      <c r="A2653" s="10"/>
      <c r="B2653" s="10"/>
      <c r="C2653" s="10"/>
      <c r="D2653" s="10"/>
      <c r="E2653" s="10"/>
      <c r="F2653" s="11"/>
      <c r="G2653" s="11"/>
      <c r="H2653" s="12"/>
      <c r="I2653" s="10"/>
      <c r="J2653" s="10"/>
      <c r="K2653" s="4"/>
      <c r="L2653" s="4"/>
    </row>
    <row r="2654" spans="1:12" x14ac:dyDescent="0.25">
      <c r="A2654" s="10"/>
      <c r="B2654" s="10"/>
      <c r="C2654" s="10"/>
      <c r="D2654" s="10"/>
      <c r="E2654" s="10"/>
      <c r="F2654" s="11"/>
      <c r="G2654" s="11"/>
      <c r="H2654" s="12"/>
      <c r="I2654" s="10"/>
      <c r="J2654" s="10"/>
      <c r="K2654" s="4"/>
      <c r="L2654" s="4"/>
    </row>
    <row r="2655" spans="1:12" x14ac:dyDescent="0.25">
      <c r="A2655" s="10"/>
      <c r="B2655" s="10"/>
      <c r="C2655" s="10"/>
      <c r="D2655" s="10"/>
      <c r="E2655" s="10"/>
      <c r="F2655" s="11"/>
      <c r="G2655" s="11"/>
      <c r="H2655" s="12"/>
      <c r="I2655" s="10"/>
      <c r="J2655" s="10"/>
      <c r="K2655" s="4"/>
      <c r="L2655" s="4"/>
    </row>
    <row r="2656" spans="1:12" x14ac:dyDescent="0.25">
      <c r="A2656" s="10"/>
      <c r="B2656" s="10"/>
      <c r="C2656" s="10"/>
      <c r="D2656" s="10"/>
      <c r="E2656" s="10"/>
      <c r="F2656" s="11"/>
      <c r="G2656" s="11"/>
      <c r="H2656" s="12"/>
      <c r="I2656" s="10"/>
      <c r="J2656" s="10"/>
      <c r="K2656" s="4"/>
      <c r="L2656" s="4"/>
    </row>
    <row r="2657" spans="1:12" x14ac:dyDescent="0.25">
      <c r="A2657" s="10"/>
      <c r="B2657" s="10"/>
      <c r="C2657" s="10"/>
      <c r="D2657" s="10"/>
      <c r="E2657" s="10"/>
      <c r="F2657" s="11"/>
      <c r="G2657" s="11"/>
      <c r="H2657" s="12"/>
      <c r="I2657" s="10"/>
      <c r="J2657" s="10"/>
      <c r="K2657" s="4"/>
      <c r="L2657" s="4"/>
    </row>
    <row r="2658" spans="1:12" x14ac:dyDescent="0.25">
      <c r="A2658" s="10"/>
      <c r="B2658" s="10"/>
      <c r="C2658" s="10"/>
      <c r="D2658" s="10"/>
      <c r="E2658" s="10"/>
      <c r="F2658" s="11"/>
      <c r="G2658" s="11"/>
      <c r="H2658" s="12"/>
      <c r="I2658" s="10"/>
      <c r="J2658" s="10"/>
      <c r="K2658" s="4"/>
      <c r="L2658" s="4"/>
    </row>
    <row r="2659" spans="1:12" x14ac:dyDescent="0.25">
      <c r="A2659" s="10"/>
      <c r="B2659" s="10"/>
      <c r="C2659" s="10"/>
      <c r="D2659" s="10"/>
      <c r="E2659" s="10"/>
      <c r="F2659" s="11"/>
      <c r="G2659" s="11"/>
      <c r="H2659" s="12"/>
      <c r="I2659" s="10"/>
      <c r="J2659" s="10"/>
      <c r="K2659" s="4"/>
      <c r="L2659" s="4"/>
    </row>
    <row r="2660" spans="1:12" x14ac:dyDescent="0.25">
      <c r="A2660" s="10"/>
      <c r="B2660" s="10"/>
      <c r="C2660" s="10"/>
      <c r="D2660" s="10"/>
      <c r="E2660" s="10"/>
      <c r="F2660" s="11"/>
      <c r="G2660" s="11"/>
      <c r="H2660" s="12"/>
      <c r="I2660" s="10"/>
      <c r="J2660" s="10"/>
      <c r="K2660" s="4"/>
      <c r="L2660" s="4"/>
    </row>
    <row r="2661" spans="1:12" x14ac:dyDescent="0.25">
      <c r="A2661" s="10"/>
      <c r="B2661" s="10"/>
      <c r="C2661" s="10"/>
      <c r="D2661" s="10"/>
      <c r="E2661" s="10"/>
      <c r="F2661" s="11"/>
      <c r="G2661" s="11"/>
      <c r="H2661" s="12"/>
      <c r="I2661" s="10"/>
      <c r="J2661" s="10"/>
      <c r="K2661" s="4"/>
      <c r="L2661" s="4"/>
    </row>
    <row r="2662" spans="1:12" x14ac:dyDescent="0.25">
      <c r="A2662" s="10"/>
      <c r="B2662" s="10"/>
      <c r="C2662" s="10"/>
      <c r="D2662" s="10"/>
      <c r="E2662" s="10"/>
      <c r="F2662" s="11"/>
      <c r="G2662" s="11"/>
      <c r="H2662" s="12"/>
      <c r="I2662" s="10"/>
      <c r="J2662" s="10"/>
      <c r="K2662" s="4"/>
      <c r="L2662" s="4"/>
    </row>
    <row r="2663" spans="1:12" x14ac:dyDescent="0.25">
      <c r="A2663" s="10"/>
      <c r="B2663" s="10"/>
      <c r="C2663" s="10"/>
      <c r="D2663" s="10"/>
      <c r="E2663" s="10"/>
      <c r="F2663" s="11"/>
      <c r="G2663" s="11"/>
      <c r="H2663" s="12"/>
      <c r="I2663" s="10"/>
      <c r="J2663" s="10"/>
      <c r="K2663" s="4"/>
      <c r="L2663" s="4"/>
    </row>
    <row r="2664" spans="1:12" x14ac:dyDescent="0.25">
      <c r="A2664" s="10"/>
      <c r="B2664" s="10"/>
      <c r="C2664" s="10"/>
      <c r="D2664" s="10"/>
      <c r="E2664" s="10"/>
      <c r="F2664" s="11"/>
      <c r="G2664" s="11"/>
      <c r="H2664" s="12"/>
      <c r="I2664" s="10"/>
      <c r="J2664" s="10"/>
      <c r="K2664" s="4"/>
      <c r="L2664" s="4"/>
    </row>
    <row r="2665" spans="1:12" x14ac:dyDescent="0.25">
      <c r="A2665" s="10"/>
      <c r="B2665" s="10"/>
      <c r="C2665" s="10"/>
      <c r="D2665" s="10"/>
      <c r="E2665" s="10"/>
      <c r="F2665" s="11"/>
      <c r="G2665" s="11"/>
      <c r="H2665" s="12"/>
      <c r="I2665" s="10"/>
      <c r="J2665" s="10"/>
      <c r="K2665" s="4"/>
      <c r="L2665" s="4"/>
    </row>
    <row r="2666" spans="1:12" x14ac:dyDescent="0.25">
      <c r="A2666" s="10"/>
      <c r="B2666" s="10"/>
      <c r="C2666" s="10"/>
      <c r="D2666" s="10"/>
      <c r="E2666" s="10"/>
      <c r="F2666" s="11"/>
      <c r="G2666" s="11"/>
      <c r="H2666" s="12"/>
      <c r="I2666" s="10"/>
      <c r="J2666" s="10"/>
      <c r="K2666" s="4"/>
      <c r="L2666" s="4"/>
    </row>
    <row r="2667" spans="1:12" x14ac:dyDescent="0.25">
      <c r="A2667" s="10"/>
      <c r="B2667" s="10"/>
      <c r="C2667" s="10"/>
      <c r="D2667" s="10"/>
      <c r="E2667" s="10"/>
      <c r="F2667" s="11"/>
      <c r="G2667" s="11"/>
      <c r="H2667" s="12"/>
      <c r="I2667" s="10"/>
      <c r="J2667" s="10"/>
      <c r="K2667" s="4"/>
      <c r="L2667" s="4"/>
    </row>
    <row r="2668" spans="1:12" x14ac:dyDescent="0.25">
      <c r="A2668" s="10"/>
      <c r="B2668" s="10"/>
      <c r="C2668" s="10"/>
      <c r="D2668" s="10"/>
      <c r="E2668" s="10"/>
      <c r="F2668" s="11"/>
      <c r="G2668" s="11"/>
      <c r="H2668" s="12"/>
      <c r="I2668" s="10"/>
      <c r="J2668" s="10"/>
      <c r="K2668" s="4"/>
      <c r="L2668" s="4"/>
    </row>
    <row r="2669" spans="1:12" x14ac:dyDescent="0.25">
      <c r="A2669" s="10"/>
      <c r="B2669" s="10"/>
      <c r="C2669" s="10"/>
      <c r="D2669" s="10"/>
      <c r="E2669" s="10"/>
      <c r="F2669" s="11"/>
      <c r="G2669" s="11"/>
      <c r="H2669" s="12"/>
      <c r="I2669" s="10"/>
      <c r="J2669" s="10"/>
      <c r="K2669" s="4"/>
      <c r="L2669" s="4"/>
    </row>
    <row r="2670" spans="1:12" x14ac:dyDescent="0.25">
      <c r="A2670" s="10"/>
      <c r="B2670" s="10"/>
      <c r="C2670" s="10"/>
      <c r="D2670" s="10"/>
      <c r="E2670" s="10"/>
      <c r="F2670" s="11"/>
      <c r="G2670" s="11"/>
      <c r="H2670" s="12"/>
      <c r="I2670" s="10"/>
      <c r="J2670" s="10"/>
      <c r="K2670" s="4"/>
      <c r="L2670" s="4"/>
    </row>
    <row r="2671" spans="1:12" x14ac:dyDescent="0.25">
      <c r="A2671" s="10"/>
      <c r="B2671" s="10"/>
      <c r="C2671" s="10"/>
      <c r="D2671" s="10"/>
      <c r="E2671" s="10"/>
      <c r="F2671" s="11"/>
      <c r="G2671" s="11"/>
      <c r="H2671" s="12"/>
      <c r="I2671" s="10"/>
      <c r="J2671" s="10"/>
      <c r="K2671" s="4"/>
      <c r="L2671" s="4"/>
    </row>
    <row r="2672" spans="1:12" x14ac:dyDescent="0.25">
      <c r="A2672" s="10"/>
      <c r="B2672" s="10"/>
      <c r="C2672" s="10"/>
      <c r="D2672" s="10"/>
      <c r="E2672" s="10"/>
      <c r="F2672" s="11"/>
      <c r="G2672" s="11"/>
      <c r="H2672" s="12"/>
      <c r="I2672" s="10"/>
      <c r="J2672" s="10"/>
      <c r="K2672" s="4"/>
      <c r="L2672" s="4"/>
    </row>
    <row r="2673" spans="1:12" x14ac:dyDescent="0.25">
      <c r="A2673" s="10"/>
      <c r="B2673" s="10"/>
      <c r="C2673" s="10"/>
      <c r="D2673" s="10"/>
      <c r="E2673" s="10"/>
      <c r="F2673" s="11"/>
      <c r="G2673" s="11"/>
      <c r="H2673" s="12"/>
      <c r="I2673" s="10"/>
      <c r="J2673" s="10"/>
      <c r="K2673" s="4"/>
      <c r="L2673" s="4"/>
    </row>
    <row r="2674" spans="1:12" x14ac:dyDescent="0.25">
      <c r="A2674" s="10"/>
      <c r="B2674" s="10"/>
      <c r="C2674" s="10"/>
      <c r="D2674" s="10"/>
      <c r="E2674" s="10"/>
      <c r="F2674" s="11"/>
      <c r="G2674" s="11"/>
      <c r="H2674" s="12"/>
      <c r="I2674" s="10"/>
      <c r="J2674" s="10"/>
      <c r="K2674" s="4"/>
      <c r="L2674" s="4"/>
    </row>
    <row r="2675" spans="1:12" x14ac:dyDescent="0.25">
      <c r="A2675" s="10"/>
      <c r="B2675" s="10"/>
      <c r="C2675" s="10"/>
      <c r="D2675" s="10"/>
      <c r="E2675" s="10"/>
      <c r="F2675" s="11"/>
      <c r="G2675" s="11"/>
      <c r="H2675" s="12"/>
      <c r="I2675" s="10"/>
      <c r="J2675" s="10"/>
      <c r="K2675" s="4"/>
      <c r="L2675" s="4"/>
    </row>
    <row r="2676" spans="1:12" x14ac:dyDescent="0.25">
      <c r="A2676" s="10"/>
      <c r="B2676" s="10"/>
      <c r="C2676" s="10"/>
      <c r="D2676" s="10"/>
      <c r="E2676" s="10"/>
      <c r="F2676" s="11"/>
      <c r="G2676" s="11"/>
      <c r="H2676" s="12"/>
      <c r="I2676" s="10"/>
      <c r="J2676" s="10"/>
      <c r="K2676" s="4"/>
      <c r="L2676" s="4"/>
    </row>
    <row r="2677" spans="1:12" x14ac:dyDescent="0.25">
      <c r="A2677" s="10"/>
      <c r="B2677" s="10"/>
      <c r="C2677" s="10"/>
      <c r="D2677" s="10"/>
      <c r="E2677" s="10"/>
      <c r="F2677" s="11"/>
      <c r="G2677" s="11"/>
      <c r="H2677" s="12"/>
      <c r="I2677" s="10"/>
      <c r="J2677" s="10"/>
      <c r="K2677" s="4"/>
      <c r="L2677" s="4"/>
    </row>
    <row r="2678" spans="1:12" x14ac:dyDescent="0.25">
      <c r="A2678" s="10"/>
      <c r="B2678" s="10"/>
      <c r="C2678" s="10"/>
      <c r="D2678" s="10"/>
      <c r="E2678" s="10"/>
      <c r="F2678" s="11"/>
      <c r="G2678" s="11"/>
      <c r="H2678" s="12"/>
      <c r="I2678" s="10"/>
      <c r="J2678" s="10"/>
      <c r="K2678" s="4"/>
      <c r="L2678" s="4"/>
    </row>
    <row r="2679" spans="1:12" x14ac:dyDescent="0.25">
      <c r="A2679" s="10"/>
      <c r="B2679" s="10"/>
      <c r="C2679" s="10"/>
      <c r="D2679" s="10"/>
      <c r="E2679" s="10"/>
      <c r="F2679" s="11"/>
      <c r="G2679" s="11"/>
      <c r="H2679" s="12"/>
      <c r="I2679" s="10"/>
      <c r="J2679" s="10"/>
      <c r="K2679" s="4"/>
      <c r="L2679" s="4"/>
    </row>
    <row r="2680" spans="1:12" x14ac:dyDescent="0.25">
      <c r="A2680" s="10"/>
      <c r="B2680" s="10"/>
      <c r="C2680" s="10"/>
      <c r="D2680" s="10"/>
      <c r="E2680" s="10"/>
      <c r="F2680" s="11"/>
      <c r="G2680" s="11"/>
      <c r="H2680" s="12"/>
      <c r="I2680" s="10"/>
      <c r="J2680" s="10"/>
      <c r="K2680" s="4"/>
      <c r="L2680" s="4"/>
    </row>
    <row r="2681" spans="1:12" x14ac:dyDescent="0.25">
      <c r="A2681" s="10"/>
      <c r="B2681" s="10"/>
      <c r="C2681" s="10"/>
      <c r="D2681" s="10"/>
      <c r="E2681" s="10"/>
      <c r="F2681" s="11"/>
      <c r="G2681" s="11"/>
      <c r="H2681" s="12"/>
      <c r="I2681" s="10"/>
      <c r="J2681" s="10"/>
      <c r="K2681" s="4"/>
      <c r="L2681" s="4"/>
    </row>
    <row r="2682" spans="1:12" x14ac:dyDescent="0.25">
      <c r="A2682" s="10"/>
      <c r="B2682" s="10"/>
      <c r="C2682" s="10"/>
      <c r="D2682" s="10"/>
      <c r="E2682" s="10"/>
      <c r="F2682" s="11"/>
      <c r="G2682" s="11"/>
      <c r="H2682" s="12"/>
      <c r="I2682" s="10"/>
      <c r="J2682" s="10"/>
      <c r="K2682" s="4"/>
      <c r="L2682" s="4"/>
    </row>
    <row r="2683" spans="1:12" x14ac:dyDescent="0.25">
      <c r="A2683" s="10"/>
      <c r="B2683" s="10"/>
      <c r="C2683" s="10"/>
      <c r="D2683" s="10"/>
      <c r="E2683" s="10"/>
      <c r="F2683" s="11"/>
      <c r="G2683" s="11"/>
      <c r="H2683" s="12"/>
      <c r="I2683" s="10"/>
      <c r="J2683" s="10"/>
      <c r="K2683" s="4"/>
      <c r="L2683" s="4"/>
    </row>
    <row r="2684" spans="1:12" x14ac:dyDescent="0.25">
      <c r="A2684" s="10"/>
      <c r="B2684" s="10"/>
      <c r="C2684" s="10"/>
      <c r="D2684" s="10"/>
      <c r="E2684" s="10"/>
      <c r="F2684" s="11"/>
      <c r="G2684" s="11"/>
      <c r="H2684" s="12"/>
      <c r="I2684" s="10"/>
      <c r="J2684" s="10"/>
      <c r="K2684" s="4"/>
      <c r="L2684" s="4"/>
    </row>
    <row r="2685" spans="1:12" x14ac:dyDescent="0.25">
      <c r="A2685" s="10"/>
      <c r="B2685" s="10"/>
      <c r="C2685" s="10"/>
      <c r="D2685" s="10"/>
      <c r="E2685" s="10"/>
      <c r="F2685" s="11"/>
      <c r="G2685" s="11"/>
      <c r="H2685" s="12"/>
      <c r="I2685" s="10"/>
      <c r="J2685" s="10"/>
      <c r="K2685" s="4"/>
      <c r="L2685" s="4"/>
    </row>
    <row r="2686" spans="1:12" x14ac:dyDescent="0.25">
      <c r="A2686" s="10"/>
      <c r="B2686" s="10"/>
      <c r="C2686" s="10"/>
      <c r="D2686" s="10"/>
      <c r="E2686" s="10"/>
      <c r="F2686" s="11"/>
      <c r="G2686" s="11"/>
      <c r="H2686" s="12"/>
      <c r="I2686" s="10"/>
      <c r="J2686" s="10"/>
      <c r="K2686" s="4"/>
      <c r="L2686" s="4"/>
    </row>
    <row r="2687" spans="1:12" x14ac:dyDescent="0.25">
      <c r="A2687" s="10"/>
      <c r="B2687" s="10"/>
      <c r="C2687" s="10"/>
      <c r="D2687" s="10"/>
      <c r="E2687" s="10"/>
      <c r="F2687" s="11"/>
      <c r="G2687" s="11"/>
      <c r="H2687" s="12"/>
      <c r="I2687" s="10"/>
      <c r="J2687" s="10"/>
      <c r="K2687" s="4"/>
      <c r="L2687" s="4"/>
    </row>
    <row r="2688" spans="1:12" x14ac:dyDescent="0.25">
      <c r="A2688" s="10"/>
      <c r="B2688" s="10"/>
      <c r="C2688" s="10"/>
      <c r="D2688" s="10"/>
      <c r="E2688" s="10"/>
      <c r="F2688" s="11"/>
      <c r="G2688" s="11"/>
      <c r="H2688" s="12"/>
      <c r="I2688" s="10"/>
      <c r="J2688" s="10"/>
      <c r="K2688" s="4"/>
      <c r="L2688" s="4"/>
    </row>
    <row r="2689" spans="1:12" x14ac:dyDescent="0.25">
      <c r="A2689" s="10"/>
      <c r="B2689" s="10"/>
      <c r="C2689" s="10"/>
      <c r="D2689" s="10"/>
      <c r="E2689" s="10"/>
      <c r="F2689" s="11"/>
      <c r="G2689" s="11"/>
      <c r="H2689" s="12"/>
      <c r="I2689" s="10"/>
      <c r="J2689" s="10"/>
      <c r="K2689" s="4"/>
      <c r="L2689" s="4"/>
    </row>
    <row r="2690" spans="1:12" x14ac:dyDescent="0.25">
      <c r="A2690" s="10"/>
      <c r="B2690" s="10"/>
      <c r="C2690" s="10"/>
      <c r="D2690" s="10"/>
      <c r="E2690" s="10"/>
      <c r="F2690" s="11"/>
      <c r="G2690" s="11"/>
      <c r="H2690" s="12"/>
      <c r="I2690" s="10"/>
      <c r="J2690" s="10"/>
      <c r="K2690" s="4"/>
      <c r="L2690" s="4"/>
    </row>
    <row r="2691" spans="1:12" x14ac:dyDescent="0.25">
      <c r="A2691" s="10"/>
      <c r="B2691" s="10"/>
      <c r="C2691" s="10"/>
      <c r="D2691" s="10"/>
      <c r="E2691" s="10"/>
      <c r="F2691" s="11"/>
      <c r="G2691" s="11"/>
      <c r="H2691" s="12"/>
      <c r="I2691" s="10"/>
      <c r="J2691" s="10"/>
      <c r="K2691" s="4"/>
      <c r="L2691" s="4"/>
    </row>
    <row r="2692" spans="1:12" x14ac:dyDescent="0.25">
      <c r="A2692" s="10"/>
      <c r="B2692" s="10"/>
      <c r="C2692" s="10"/>
      <c r="D2692" s="10"/>
      <c r="E2692" s="10"/>
      <c r="F2692" s="11"/>
      <c r="G2692" s="11"/>
      <c r="H2692" s="12"/>
      <c r="I2692" s="10"/>
      <c r="J2692" s="10"/>
      <c r="K2692" s="4"/>
      <c r="L2692" s="4"/>
    </row>
    <row r="2693" spans="1:12" x14ac:dyDescent="0.25">
      <c r="A2693" s="10"/>
      <c r="B2693" s="10"/>
      <c r="C2693" s="10"/>
      <c r="D2693" s="10"/>
      <c r="E2693" s="10"/>
      <c r="F2693" s="11"/>
      <c r="G2693" s="11"/>
      <c r="H2693" s="12"/>
      <c r="I2693" s="10"/>
      <c r="J2693" s="10"/>
      <c r="K2693" s="4"/>
      <c r="L2693" s="4"/>
    </row>
    <row r="2694" spans="1:12" x14ac:dyDescent="0.25">
      <c r="A2694" s="10"/>
      <c r="B2694" s="10"/>
      <c r="C2694" s="10"/>
      <c r="D2694" s="10"/>
      <c r="E2694" s="10"/>
      <c r="F2694" s="11"/>
      <c r="G2694" s="11"/>
      <c r="H2694" s="12"/>
      <c r="I2694" s="10"/>
      <c r="J2694" s="10"/>
      <c r="K2694" s="10"/>
      <c r="L2694" s="4"/>
    </row>
    <row r="2695" spans="1:12" x14ac:dyDescent="0.25">
      <c r="A2695" s="10"/>
      <c r="B2695" s="10"/>
      <c r="C2695" s="10"/>
      <c r="D2695" s="10"/>
      <c r="E2695" s="10"/>
      <c r="F2695" s="11"/>
      <c r="G2695" s="11"/>
      <c r="H2695" s="12"/>
      <c r="I2695" s="10"/>
      <c r="J2695" s="10"/>
      <c r="K2695" s="10"/>
      <c r="L2695" s="4"/>
    </row>
    <row r="2696" spans="1:12" x14ac:dyDescent="0.25">
      <c r="A2696" s="10"/>
      <c r="B2696" s="10"/>
      <c r="C2696" s="10"/>
      <c r="D2696" s="10"/>
      <c r="E2696" s="10"/>
      <c r="F2696" s="11"/>
      <c r="G2696" s="11"/>
      <c r="H2696" s="12"/>
      <c r="I2696" s="10"/>
      <c r="J2696" s="10"/>
      <c r="K2696" s="10"/>
      <c r="L2696" s="4"/>
    </row>
    <row r="2697" spans="1:12" x14ac:dyDescent="0.25">
      <c r="A2697" s="10"/>
      <c r="B2697" s="10"/>
      <c r="C2697" s="10"/>
      <c r="D2697" s="10"/>
      <c r="E2697" s="10"/>
      <c r="F2697" s="11"/>
      <c r="G2697" s="11"/>
      <c r="H2697" s="12"/>
      <c r="I2697" s="10"/>
      <c r="J2697" s="10"/>
      <c r="K2697" s="10"/>
      <c r="L2697" s="4"/>
    </row>
    <row r="2698" spans="1:12" x14ac:dyDescent="0.25">
      <c r="A2698" s="10"/>
      <c r="B2698" s="10"/>
      <c r="C2698" s="10"/>
      <c r="D2698" s="10"/>
      <c r="E2698" s="10"/>
      <c r="F2698" s="11"/>
      <c r="G2698" s="11"/>
      <c r="H2698" s="12"/>
      <c r="I2698" s="10"/>
      <c r="J2698" s="10"/>
      <c r="K2698" s="10"/>
      <c r="L2698" s="4"/>
    </row>
    <row r="2699" spans="1:12" x14ac:dyDescent="0.25">
      <c r="A2699" s="10"/>
      <c r="B2699" s="10"/>
      <c r="C2699" s="10"/>
      <c r="D2699" s="10"/>
      <c r="E2699" s="10"/>
      <c r="F2699" s="11"/>
      <c r="G2699" s="11"/>
      <c r="H2699" s="12"/>
      <c r="I2699" s="10"/>
      <c r="J2699" s="10"/>
      <c r="K2699" s="10"/>
      <c r="L2699" s="4"/>
    </row>
    <row r="2700" spans="1:12" x14ac:dyDescent="0.25">
      <c r="A2700" s="10"/>
      <c r="B2700" s="10"/>
      <c r="C2700" s="10"/>
      <c r="D2700" s="10"/>
      <c r="E2700" s="10"/>
      <c r="F2700" s="11"/>
      <c r="G2700" s="11"/>
      <c r="H2700" s="12"/>
      <c r="I2700" s="10"/>
      <c r="J2700" s="10"/>
      <c r="K2700" s="10"/>
      <c r="L2700" s="4"/>
    </row>
    <row r="2701" spans="1:12" x14ac:dyDescent="0.25">
      <c r="A2701" s="10"/>
      <c r="B2701" s="10"/>
      <c r="C2701" s="10"/>
      <c r="D2701" s="10"/>
      <c r="E2701" s="10"/>
      <c r="F2701" s="11"/>
      <c r="G2701" s="11"/>
      <c r="H2701" s="12"/>
      <c r="I2701" s="10"/>
      <c r="J2701" s="10"/>
      <c r="K2701" s="10"/>
      <c r="L2701" s="4"/>
    </row>
    <row r="2702" spans="1:12" x14ac:dyDescent="0.25">
      <c r="A2702" s="10"/>
      <c r="B2702" s="10"/>
      <c r="C2702" s="10"/>
      <c r="D2702" s="10"/>
      <c r="E2702" s="10"/>
      <c r="F2702" s="11"/>
      <c r="G2702" s="11"/>
      <c r="H2702" s="12"/>
      <c r="I2702" s="10"/>
      <c r="J2702" s="10"/>
      <c r="K2702" s="10"/>
      <c r="L2702" s="4"/>
    </row>
    <row r="2703" spans="1:12" x14ac:dyDescent="0.25">
      <c r="A2703" s="10"/>
      <c r="B2703" s="10"/>
      <c r="C2703" s="10"/>
      <c r="D2703" s="10"/>
      <c r="E2703" s="10"/>
      <c r="F2703" s="11"/>
      <c r="G2703" s="11"/>
      <c r="H2703" s="12"/>
      <c r="I2703" s="10"/>
      <c r="J2703" s="10"/>
      <c r="K2703" s="10"/>
      <c r="L2703" s="4"/>
    </row>
    <row r="2704" spans="1:12" x14ac:dyDescent="0.25">
      <c r="A2704" s="10"/>
      <c r="B2704" s="10"/>
      <c r="C2704" s="10"/>
      <c r="D2704" s="10"/>
      <c r="E2704" s="10"/>
      <c r="F2704" s="11"/>
      <c r="G2704" s="11"/>
      <c r="H2704" s="12"/>
      <c r="I2704" s="10"/>
      <c r="J2704" s="10"/>
      <c r="K2704" s="10"/>
      <c r="L2704" s="4"/>
    </row>
    <row r="2705" spans="1:12" x14ac:dyDescent="0.25">
      <c r="A2705" s="10"/>
      <c r="B2705" s="10"/>
      <c r="C2705" s="10"/>
      <c r="D2705" s="10"/>
      <c r="E2705" s="10"/>
      <c r="F2705" s="11"/>
      <c r="G2705" s="11"/>
      <c r="H2705" s="12"/>
      <c r="I2705" s="10"/>
      <c r="J2705" s="10"/>
      <c r="K2705" s="10"/>
      <c r="L2705" s="4"/>
    </row>
    <row r="2706" spans="1:12" x14ac:dyDescent="0.25">
      <c r="A2706" s="10"/>
      <c r="B2706" s="10"/>
      <c r="C2706" s="10"/>
      <c r="D2706" s="10"/>
      <c r="E2706" s="10"/>
      <c r="F2706" s="11"/>
      <c r="G2706" s="11"/>
      <c r="H2706" s="12"/>
      <c r="I2706" s="10"/>
      <c r="J2706" s="10"/>
      <c r="K2706" s="10"/>
      <c r="L2706" s="4"/>
    </row>
    <row r="2707" spans="1:12" x14ac:dyDescent="0.25">
      <c r="A2707" s="10"/>
      <c r="B2707" s="10"/>
      <c r="C2707" s="10"/>
      <c r="D2707" s="10"/>
      <c r="E2707" s="10"/>
      <c r="F2707" s="11"/>
      <c r="G2707" s="11"/>
      <c r="H2707" s="12"/>
      <c r="I2707" s="10"/>
      <c r="J2707" s="10"/>
      <c r="K2707" s="10"/>
      <c r="L2707" s="4"/>
    </row>
    <row r="2708" spans="1:12" x14ac:dyDescent="0.25">
      <c r="A2708" s="10"/>
      <c r="B2708" s="10"/>
      <c r="C2708" s="10"/>
      <c r="D2708" s="10"/>
      <c r="E2708" s="10"/>
      <c r="F2708" s="11"/>
      <c r="G2708" s="11"/>
      <c r="H2708" s="12"/>
      <c r="I2708" s="10"/>
      <c r="J2708" s="10"/>
      <c r="K2708" s="10"/>
      <c r="L2708" s="4"/>
    </row>
    <row r="2709" spans="1:12" x14ac:dyDescent="0.25">
      <c r="A2709" s="10"/>
      <c r="B2709" s="10"/>
      <c r="C2709" s="10"/>
      <c r="D2709" s="10"/>
      <c r="E2709" s="10"/>
      <c r="F2709" s="11"/>
      <c r="G2709" s="11"/>
      <c r="H2709" s="12"/>
      <c r="I2709" s="10"/>
      <c r="J2709" s="10"/>
      <c r="K2709" s="10"/>
      <c r="L2709" s="4"/>
    </row>
    <row r="2710" spans="1:12" x14ac:dyDescent="0.25">
      <c r="A2710" s="10"/>
      <c r="B2710" s="10"/>
      <c r="C2710" s="10"/>
      <c r="D2710" s="10"/>
      <c r="E2710" s="10"/>
      <c r="F2710" s="11"/>
      <c r="G2710" s="11"/>
      <c r="H2710" s="12"/>
      <c r="I2710" s="10"/>
      <c r="J2710" s="10"/>
      <c r="K2710" s="4"/>
      <c r="L2710" s="4"/>
    </row>
    <row r="2711" spans="1:12" x14ac:dyDescent="0.25">
      <c r="A2711" s="10"/>
      <c r="B2711" s="10"/>
      <c r="C2711" s="10"/>
      <c r="D2711" s="10"/>
      <c r="E2711" s="10"/>
      <c r="F2711" s="11"/>
      <c r="G2711" s="11"/>
      <c r="H2711" s="12"/>
      <c r="I2711" s="10"/>
      <c r="J2711" s="10"/>
      <c r="K2711" s="4"/>
      <c r="L2711" s="4"/>
    </row>
    <row r="2712" spans="1:12" x14ac:dyDescent="0.25">
      <c r="A2712" s="10"/>
      <c r="B2712" s="10"/>
      <c r="C2712" s="10"/>
      <c r="D2712" s="10"/>
      <c r="E2712" s="10"/>
      <c r="F2712" s="11"/>
      <c r="G2712" s="11"/>
      <c r="H2712" s="12"/>
      <c r="I2712" s="10"/>
      <c r="J2712" s="10"/>
      <c r="K2712" s="4"/>
      <c r="L2712" s="4"/>
    </row>
    <row r="2713" spans="1:12" x14ac:dyDescent="0.25">
      <c r="A2713" s="10"/>
      <c r="B2713" s="10"/>
      <c r="C2713" s="10"/>
      <c r="D2713" s="10"/>
      <c r="E2713" s="10"/>
      <c r="F2713" s="11"/>
      <c r="G2713" s="11"/>
      <c r="H2713" s="12"/>
      <c r="I2713" s="10"/>
      <c r="J2713" s="10"/>
      <c r="K2713" s="4"/>
      <c r="L2713" s="4"/>
    </row>
    <row r="2714" spans="1:12" x14ac:dyDescent="0.25">
      <c r="A2714" s="10"/>
      <c r="B2714" s="10"/>
      <c r="C2714" s="10"/>
      <c r="D2714" s="10"/>
      <c r="E2714" s="10"/>
      <c r="F2714" s="11"/>
      <c r="G2714" s="11"/>
      <c r="H2714" s="12"/>
      <c r="I2714" s="10"/>
      <c r="J2714" s="10"/>
      <c r="K2714" s="4"/>
      <c r="L2714" s="4"/>
    </row>
    <row r="2715" spans="1:12" x14ac:dyDescent="0.25">
      <c r="A2715" s="10"/>
      <c r="B2715" s="10"/>
      <c r="C2715" s="10"/>
      <c r="D2715" s="10"/>
      <c r="E2715" s="10"/>
      <c r="F2715" s="11"/>
      <c r="G2715" s="11"/>
      <c r="H2715" s="12"/>
      <c r="I2715" s="10"/>
      <c r="J2715" s="10"/>
      <c r="K2715" s="4"/>
      <c r="L2715" s="4"/>
    </row>
    <row r="2716" spans="1:12" x14ac:dyDescent="0.25">
      <c r="A2716" s="10"/>
      <c r="B2716" s="10"/>
      <c r="C2716" s="10"/>
      <c r="D2716" s="10"/>
      <c r="E2716" s="10"/>
      <c r="F2716" s="11"/>
      <c r="G2716" s="11"/>
      <c r="H2716" s="12"/>
      <c r="I2716" s="10"/>
      <c r="J2716" s="10"/>
      <c r="K2716" s="4"/>
      <c r="L2716" s="4"/>
    </row>
    <row r="2717" spans="1:12" x14ac:dyDescent="0.25">
      <c r="A2717" s="10"/>
      <c r="B2717" s="10"/>
      <c r="C2717" s="10"/>
      <c r="D2717" s="10"/>
      <c r="E2717" s="10"/>
      <c r="F2717" s="11"/>
      <c r="G2717" s="11"/>
      <c r="H2717" s="12"/>
      <c r="I2717" s="10"/>
      <c r="J2717" s="10"/>
      <c r="K2717" s="4"/>
      <c r="L2717" s="4"/>
    </row>
    <row r="2718" spans="1:12" x14ac:dyDescent="0.25">
      <c r="A2718" s="10"/>
      <c r="B2718" s="10"/>
      <c r="C2718" s="10"/>
      <c r="D2718" s="10"/>
      <c r="E2718" s="10"/>
      <c r="F2718" s="11"/>
      <c r="G2718" s="11"/>
      <c r="H2718" s="12"/>
      <c r="I2718" s="10"/>
      <c r="J2718" s="10"/>
      <c r="K2718" s="4"/>
      <c r="L2718" s="4"/>
    </row>
    <row r="2719" spans="1:12" x14ac:dyDescent="0.25">
      <c r="A2719" s="10"/>
      <c r="B2719" s="10"/>
      <c r="C2719" s="10"/>
      <c r="D2719" s="10"/>
      <c r="E2719" s="10"/>
      <c r="F2719" s="11"/>
      <c r="G2719" s="11"/>
      <c r="H2719" s="12"/>
      <c r="I2719" s="10"/>
      <c r="J2719" s="10"/>
      <c r="K2719" s="4"/>
      <c r="L2719" s="4"/>
    </row>
    <row r="2720" spans="1:12" x14ac:dyDescent="0.25">
      <c r="A2720" s="10"/>
      <c r="B2720" s="10"/>
      <c r="C2720" s="10"/>
      <c r="D2720" s="10"/>
      <c r="E2720" s="10"/>
      <c r="F2720" s="11"/>
      <c r="G2720" s="11"/>
      <c r="H2720" s="12"/>
      <c r="I2720" s="10"/>
      <c r="J2720" s="10"/>
      <c r="K2720" s="4"/>
      <c r="L2720" s="4"/>
    </row>
    <row r="2721" spans="1:12" x14ac:dyDescent="0.25">
      <c r="A2721" s="10"/>
      <c r="B2721" s="10"/>
      <c r="C2721" s="10"/>
      <c r="D2721" s="10"/>
      <c r="E2721" s="10"/>
      <c r="F2721" s="11"/>
      <c r="G2721" s="11"/>
      <c r="H2721" s="12"/>
      <c r="I2721" s="10"/>
      <c r="J2721" s="10"/>
      <c r="K2721" s="4"/>
      <c r="L2721" s="4"/>
    </row>
    <row r="2722" spans="1:12" x14ac:dyDescent="0.25">
      <c r="A2722" s="10"/>
      <c r="B2722" s="10"/>
      <c r="C2722" s="10"/>
      <c r="D2722" s="10"/>
      <c r="E2722" s="10"/>
      <c r="F2722" s="11"/>
      <c r="G2722" s="11"/>
      <c r="H2722" s="12"/>
      <c r="I2722" s="10"/>
      <c r="J2722" s="10"/>
      <c r="K2722" s="4"/>
      <c r="L2722" s="4"/>
    </row>
    <row r="2723" spans="1:12" x14ac:dyDescent="0.25">
      <c r="A2723" s="10"/>
      <c r="B2723" s="10"/>
      <c r="C2723" s="10"/>
      <c r="D2723" s="10"/>
      <c r="E2723" s="10"/>
      <c r="F2723" s="11"/>
      <c r="G2723" s="11"/>
      <c r="H2723" s="12"/>
      <c r="I2723" s="10"/>
      <c r="J2723" s="10"/>
      <c r="K2723" s="4"/>
      <c r="L2723" s="4"/>
    </row>
    <row r="2724" spans="1:12" x14ac:dyDescent="0.25">
      <c r="A2724" s="10"/>
      <c r="B2724" s="10"/>
      <c r="C2724" s="10"/>
      <c r="D2724" s="10"/>
      <c r="E2724" s="10"/>
      <c r="F2724" s="11"/>
      <c r="G2724" s="11"/>
      <c r="H2724" s="12"/>
      <c r="I2724" s="10"/>
      <c r="J2724" s="10"/>
      <c r="K2724" s="4"/>
      <c r="L2724" s="4"/>
    </row>
    <row r="2725" spans="1:12" x14ac:dyDescent="0.25">
      <c r="A2725" s="10"/>
      <c r="B2725" s="10"/>
      <c r="C2725" s="10"/>
      <c r="D2725" s="10"/>
      <c r="E2725" s="10"/>
      <c r="F2725" s="11"/>
      <c r="G2725" s="11"/>
      <c r="H2725" s="12"/>
      <c r="I2725" s="10"/>
      <c r="J2725" s="10"/>
      <c r="K2725" s="4"/>
      <c r="L2725" s="4"/>
    </row>
    <row r="2726" spans="1:12" x14ac:dyDescent="0.25">
      <c r="A2726" s="10"/>
      <c r="B2726" s="10"/>
      <c r="C2726" s="10"/>
      <c r="D2726" s="10"/>
      <c r="E2726" s="10"/>
      <c r="F2726" s="11"/>
      <c r="G2726" s="11"/>
      <c r="H2726" s="12"/>
      <c r="I2726" s="10"/>
      <c r="J2726" s="10"/>
      <c r="K2726" s="4"/>
      <c r="L2726" s="4"/>
    </row>
    <row r="2727" spans="1:12" x14ac:dyDescent="0.25">
      <c r="A2727" s="10"/>
      <c r="B2727" s="10"/>
      <c r="C2727" s="10"/>
      <c r="D2727" s="10"/>
      <c r="E2727" s="10"/>
      <c r="F2727" s="11"/>
      <c r="G2727" s="11"/>
      <c r="H2727" s="12"/>
      <c r="I2727" s="10"/>
      <c r="J2727" s="10"/>
      <c r="K2727" s="4"/>
      <c r="L2727" s="4"/>
    </row>
    <row r="2728" spans="1:12" x14ac:dyDescent="0.25">
      <c r="A2728" s="10"/>
      <c r="B2728" s="10"/>
      <c r="C2728" s="10"/>
      <c r="D2728" s="10"/>
      <c r="E2728" s="10"/>
      <c r="F2728" s="11"/>
      <c r="G2728" s="11"/>
      <c r="H2728" s="12"/>
      <c r="I2728" s="10"/>
      <c r="J2728" s="10"/>
      <c r="K2728" s="4"/>
      <c r="L2728" s="4"/>
    </row>
    <row r="2729" spans="1:12" x14ac:dyDescent="0.25">
      <c r="A2729" s="10"/>
      <c r="B2729" s="10"/>
      <c r="C2729" s="10"/>
      <c r="D2729" s="10"/>
      <c r="E2729" s="10"/>
      <c r="F2729" s="11"/>
      <c r="G2729" s="11"/>
      <c r="H2729" s="12"/>
      <c r="I2729" s="10"/>
      <c r="J2729" s="10"/>
      <c r="K2729" s="4"/>
      <c r="L2729" s="4"/>
    </row>
    <row r="2730" spans="1:12" x14ac:dyDescent="0.25">
      <c r="A2730" s="10"/>
      <c r="B2730" s="10"/>
      <c r="C2730" s="10"/>
      <c r="D2730" s="10"/>
      <c r="E2730" s="10"/>
      <c r="F2730" s="11"/>
      <c r="G2730" s="11"/>
      <c r="H2730" s="12"/>
      <c r="I2730" s="10"/>
      <c r="J2730" s="10"/>
      <c r="K2730" s="4"/>
      <c r="L2730" s="4"/>
    </row>
    <row r="2731" spans="1:12" x14ac:dyDescent="0.25">
      <c r="A2731" s="10"/>
      <c r="B2731" s="10"/>
      <c r="C2731" s="10"/>
      <c r="D2731" s="10"/>
      <c r="E2731" s="10"/>
      <c r="F2731" s="11"/>
      <c r="G2731" s="11"/>
      <c r="H2731" s="12"/>
      <c r="I2731" s="10"/>
      <c r="J2731" s="10"/>
      <c r="K2731" s="4"/>
      <c r="L2731" s="4"/>
    </row>
    <row r="2732" spans="1:12" x14ac:dyDescent="0.25">
      <c r="A2732" s="10"/>
      <c r="B2732" s="10"/>
      <c r="C2732" s="10"/>
      <c r="D2732" s="10"/>
      <c r="E2732" s="10"/>
      <c r="F2732" s="11"/>
      <c r="G2732" s="11"/>
      <c r="H2732" s="12"/>
      <c r="I2732" s="10"/>
      <c r="J2732" s="10"/>
      <c r="K2732" s="4"/>
      <c r="L2732" s="4"/>
    </row>
    <row r="2733" spans="1:12" x14ac:dyDescent="0.25">
      <c r="A2733" s="10"/>
      <c r="B2733" s="10"/>
      <c r="C2733" s="10"/>
      <c r="D2733" s="10"/>
      <c r="E2733" s="10"/>
      <c r="F2733" s="11"/>
      <c r="G2733" s="11"/>
      <c r="H2733" s="12"/>
      <c r="I2733" s="10"/>
      <c r="J2733" s="10"/>
      <c r="K2733" s="4"/>
      <c r="L2733" s="4"/>
    </row>
    <row r="2734" spans="1:12" x14ac:dyDescent="0.25">
      <c r="A2734" s="10"/>
      <c r="B2734" s="10"/>
      <c r="C2734" s="10"/>
      <c r="D2734" s="10"/>
      <c r="E2734" s="10"/>
      <c r="F2734" s="11"/>
      <c r="G2734" s="11"/>
      <c r="H2734" s="12"/>
      <c r="I2734" s="10"/>
      <c r="J2734" s="10"/>
      <c r="K2734" s="4"/>
      <c r="L2734" s="4"/>
    </row>
    <row r="2735" spans="1:12" x14ac:dyDescent="0.25">
      <c r="A2735" s="10"/>
      <c r="B2735" s="10"/>
      <c r="C2735" s="10"/>
      <c r="D2735" s="10"/>
      <c r="E2735" s="10"/>
      <c r="F2735" s="11"/>
      <c r="G2735" s="11"/>
      <c r="H2735" s="12"/>
      <c r="I2735" s="10"/>
      <c r="J2735" s="10"/>
      <c r="K2735" s="4"/>
      <c r="L2735" s="4"/>
    </row>
    <row r="2736" spans="1:12" x14ac:dyDescent="0.25">
      <c r="A2736" s="10"/>
      <c r="B2736" s="10"/>
      <c r="C2736" s="10"/>
      <c r="D2736" s="10"/>
      <c r="E2736" s="10"/>
      <c r="F2736" s="11"/>
      <c r="G2736" s="11"/>
      <c r="H2736" s="12"/>
      <c r="I2736" s="10"/>
      <c r="J2736" s="10"/>
      <c r="K2736" s="4"/>
      <c r="L2736" s="4"/>
    </row>
    <row r="2737" spans="1:12" x14ac:dyDescent="0.25">
      <c r="A2737" s="10"/>
      <c r="B2737" s="10"/>
      <c r="C2737" s="10"/>
      <c r="D2737" s="10"/>
      <c r="E2737" s="10"/>
      <c r="F2737" s="11"/>
      <c r="G2737" s="11"/>
      <c r="H2737" s="12"/>
      <c r="I2737" s="10"/>
      <c r="J2737" s="10"/>
      <c r="K2737" s="4"/>
      <c r="L2737" s="4"/>
    </row>
    <row r="2738" spans="1:12" x14ac:dyDescent="0.25">
      <c r="A2738" s="10"/>
      <c r="B2738" s="10"/>
      <c r="C2738" s="10"/>
      <c r="D2738" s="10"/>
      <c r="E2738" s="10"/>
      <c r="F2738" s="11"/>
      <c r="G2738" s="11"/>
      <c r="H2738" s="12"/>
      <c r="I2738" s="10"/>
      <c r="J2738" s="10"/>
      <c r="K2738" s="4"/>
      <c r="L2738" s="4"/>
    </row>
    <row r="2739" spans="1:12" x14ac:dyDescent="0.25">
      <c r="A2739" s="10"/>
      <c r="B2739" s="10"/>
      <c r="C2739" s="10"/>
      <c r="D2739" s="10"/>
      <c r="E2739" s="10"/>
      <c r="F2739" s="11"/>
      <c r="G2739" s="11"/>
      <c r="H2739" s="12"/>
      <c r="I2739" s="10"/>
      <c r="J2739" s="10"/>
      <c r="K2739" s="4"/>
      <c r="L2739" s="4"/>
    </row>
    <row r="2740" spans="1:12" x14ac:dyDescent="0.25">
      <c r="A2740" s="10"/>
      <c r="B2740" s="10"/>
      <c r="C2740" s="10"/>
      <c r="D2740" s="10"/>
      <c r="E2740" s="10"/>
      <c r="F2740" s="11"/>
      <c r="G2740" s="11"/>
      <c r="H2740" s="12"/>
      <c r="I2740" s="10"/>
      <c r="J2740" s="10"/>
      <c r="K2740" s="4"/>
      <c r="L2740" s="4"/>
    </row>
    <row r="2741" spans="1:12" x14ac:dyDescent="0.25">
      <c r="A2741" s="10"/>
      <c r="B2741" s="10"/>
      <c r="C2741" s="10"/>
      <c r="D2741" s="10"/>
      <c r="E2741" s="10"/>
      <c r="F2741" s="11"/>
      <c r="G2741" s="11"/>
      <c r="H2741" s="12"/>
      <c r="I2741" s="10"/>
      <c r="J2741" s="10"/>
      <c r="K2741" s="4"/>
      <c r="L2741" s="4"/>
    </row>
    <row r="2742" spans="1:12" x14ac:dyDescent="0.25">
      <c r="A2742" s="10"/>
      <c r="B2742" s="10"/>
      <c r="C2742" s="10"/>
      <c r="D2742" s="10"/>
      <c r="E2742" s="10"/>
      <c r="F2742" s="11"/>
      <c r="G2742" s="11"/>
      <c r="H2742" s="12"/>
      <c r="I2742" s="10"/>
      <c r="J2742" s="10"/>
      <c r="K2742" s="10"/>
      <c r="L2742" s="4"/>
    </row>
    <row r="2743" spans="1:12" x14ac:dyDescent="0.25">
      <c r="A2743" s="10"/>
      <c r="B2743" s="10"/>
      <c r="C2743" s="10"/>
      <c r="D2743" s="10"/>
      <c r="E2743" s="10"/>
      <c r="F2743" s="11"/>
      <c r="G2743" s="11"/>
      <c r="H2743" s="12"/>
      <c r="I2743" s="10"/>
      <c r="J2743" s="10"/>
      <c r="K2743" s="10"/>
      <c r="L2743" s="4"/>
    </row>
    <row r="2744" spans="1:12" x14ac:dyDescent="0.25">
      <c r="A2744" s="10"/>
      <c r="B2744" s="10"/>
      <c r="C2744" s="10"/>
      <c r="D2744" s="10"/>
      <c r="E2744" s="10"/>
      <c r="F2744" s="11"/>
      <c r="G2744" s="11"/>
      <c r="H2744" s="12"/>
      <c r="I2744" s="10"/>
      <c r="J2744" s="10"/>
      <c r="K2744" s="10"/>
      <c r="L2744" s="4"/>
    </row>
    <row r="2745" spans="1:12" x14ac:dyDescent="0.25">
      <c r="A2745" s="10"/>
      <c r="B2745" s="10"/>
      <c r="C2745" s="10"/>
      <c r="D2745" s="10"/>
      <c r="E2745" s="10"/>
      <c r="F2745" s="11"/>
      <c r="G2745" s="11"/>
      <c r="H2745" s="12"/>
      <c r="I2745" s="10"/>
      <c r="J2745" s="10"/>
      <c r="K2745" s="10"/>
      <c r="L2745" s="4"/>
    </row>
    <row r="2746" spans="1:12" x14ac:dyDescent="0.25">
      <c r="A2746" s="10"/>
      <c r="B2746" s="10"/>
      <c r="C2746" s="10"/>
      <c r="D2746" s="10"/>
      <c r="E2746" s="10"/>
      <c r="F2746" s="11"/>
      <c r="G2746" s="11"/>
      <c r="H2746" s="12"/>
      <c r="I2746" s="10"/>
      <c r="J2746" s="10"/>
      <c r="K2746" s="10"/>
      <c r="L2746" s="4"/>
    </row>
    <row r="2747" spans="1:12" x14ac:dyDescent="0.25">
      <c r="A2747" s="10"/>
      <c r="B2747" s="10"/>
      <c r="C2747" s="10"/>
      <c r="D2747" s="10"/>
      <c r="E2747" s="10"/>
      <c r="F2747" s="11"/>
      <c r="G2747" s="11"/>
      <c r="H2747" s="12"/>
      <c r="I2747" s="10"/>
      <c r="J2747" s="10"/>
      <c r="K2747" s="10"/>
      <c r="L2747" s="4"/>
    </row>
    <row r="2748" spans="1:12" x14ac:dyDescent="0.25">
      <c r="A2748" s="10"/>
      <c r="B2748" s="10"/>
      <c r="C2748" s="10"/>
      <c r="D2748" s="10"/>
      <c r="E2748" s="10"/>
      <c r="F2748" s="11"/>
      <c r="G2748" s="11"/>
      <c r="H2748" s="12"/>
      <c r="I2748" s="10"/>
      <c r="J2748" s="10"/>
      <c r="K2748" s="10"/>
      <c r="L2748" s="4"/>
    </row>
    <row r="2749" spans="1:12" x14ac:dyDescent="0.25">
      <c r="A2749" s="10"/>
      <c r="B2749" s="10"/>
      <c r="C2749" s="10"/>
      <c r="D2749" s="10"/>
      <c r="E2749" s="10"/>
      <c r="F2749" s="11"/>
      <c r="G2749" s="11"/>
      <c r="H2749" s="12"/>
      <c r="I2749" s="10"/>
      <c r="J2749" s="10"/>
      <c r="K2749" s="10"/>
      <c r="L2749" s="4"/>
    </row>
    <row r="2750" spans="1:12" x14ac:dyDescent="0.25">
      <c r="A2750" s="10"/>
      <c r="B2750" s="10"/>
      <c r="C2750" s="10"/>
      <c r="D2750" s="10"/>
      <c r="E2750" s="10"/>
      <c r="F2750" s="11"/>
      <c r="G2750" s="11"/>
      <c r="H2750" s="12"/>
      <c r="I2750" s="10"/>
      <c r="J2750" s="10"/>
      <c r="K2750" s="10"/>
      <c r="L2750" s="4"/>
    </row>
    <row r="2751" spans="1:12" x14ac:dyDescent="0.25">
      <c r="A2751" s="10"/>
      <c r="B2751" s="10"/>
      <c r="C2751" s="10"/>
      <c r="D2751" s="10"/>
      <c r="E2751" s="10"/>
      <c r="F2751" s="11"/>
      <c r="G2751" s="11"/>
      <c r="H2751" s="12"/>
      <c r="I2751" s="10"/>
      <c r="J2751" s="10"/>
      <c r="K2751" s="10"/>
      <c r="L2751" s="4"/>
    </row>
    <row r="2752" spans="1:12" x14ac:dyDescent="0.25">
      <c r="A2752" s="10"/>
      <c r="B2752" s="10"/>
      <c r="C2752" s="10"/>
      <c r="D2752" s="10"/>
      <c r="E2752" s="10"/>
      <c r="F2752" s="11"/>
      <c r="G2752" s="11"/>
      <c r="H2752" s="12"/>
      <c r="I2752" s="10"/>
      <c r="J2752" s="10"/>
      <c r="K2752" s="10"/>
      <c r="L2752" s="4"/>
    </row>
    <row r="2753" spans="1:12" x14ac:dyDescent="0.25">
      <c r="A2753" s="10"/>
      <c r="B2753" s="10"/>
      <c r="C2753" s="10"/>
      <c r="D2753" s="10"/>
      <c r="E2753" s="10"/>
      <c r="F2753" s="11"/>
      <c r="G2753" s="11"/>
      <c r="H2753" s="12"/>
      <c r="I2753" s="10"/>
      <c r="J2753" s="10"/>
      <c r="K2753" s="10"/>
      <c r="L2753" s="4"/>
    </row>
    <row r="2754" spans="1:12" x14ac:dyDescent="0.25">
      <c r="A2754" s="10"/>
      <c r="B2754" s="10"/>
      <c r="C2754" s="10"/>
      <c r="D2754" s="10"/>
      <c r="E2754" s="10"/>
      <c r="F2754" s="11"/>
      <c r="G2754" s="11"/>
      <c r="H2754" s="12"/>
      <c r="I2754" s="10"/>
      <c r="J2754" s="10"/>
      <c r="K2754" s="10"/>
      <c r="L2754" s="4"/>
    </row>
    <row r="2755" spans="1:12" x14ac:dyDescent="0.25">
      <c r="A2755" s="10"/>
      <c r="B2755" s="10"/>
      <c r="C2755" s="10"/>
      <c r="D2755" s="10"/>
      <c r="E2755" s="10"/>
      <c r="F2755" s="11"/>
      <c r="G2755" s="11"/>
      <c r="H2755" s="12"/>
      <c r="I2755" s="10"/>
      <c r="J2755" s="10"/>
      <c r="K2755" s="10"/>
      <c r="L2755" s="4"/>
    </row>
    <row r="2756" spans="1:12" x14ac:dyDescent="0.25">
      <c r="A2756" s="10"/>
      <c r="B2756" s="10"/>
      <c r="C2756" s="10"/>
      <c r="D2756" s="10"/>
      <c r="E2756" s="10"/>
      <c r="F2756" s="11"/>
      <c r="G2756" s="11"/>
      <c r="H2756" s="12"/>
      <c r="I2756" s="10"/>
      <c r="J2756" s="10"/>
      <c r="K2756" s="10"/>
      <c r="L2756" s="4"/>
    </row>
    <row r="2757" spans="1:12" x14ac:dyDescent="0.25">
      <c r="A2757" s="10"/>
      <c r="B2757" s="10"/>
      <c r="C2757" s="10"/>
      <c r="D2757" s="10"/>
      <c r="E2757" s="10"/>
      <c r="F2757" s="11"/>
      <c r="G2757" s="11"/>
      <c r="H2757" s="12"/>
      <c r="I2757" s="10"/>
      <c r="J2757" s="10"/>
      <c r="K2757" s="10"/>
      <c r="L2757" s="4"/>
    </row>
    <row r="2758" spans="1:12" x14ac:dyDescent="0.25">
      <c r="A2758" s="10"/>
      <c r="B2758" s="10"/>
      <c r="C2758" s="10"/>
      <c r="D2758" s="10"/>
      <c r="E2758" s="10"/>
      <c r="F2758" s="11"/>
      <c r="G2758" s="11"/>
      <c r="H2758" s="12"/>
      <c r="I2758" s="10"/>
      <c r="J2758" s="10"/>
      <c r="K2758" s="4"/>
      <c r="L2758" s="4"/>
    </row>
    <row r="2759" spans="1:12" x14ac:dyDescent="0.25">
      <c r="A2759" s="10"/>
      <c r="B2759" s="10"/>
      <c r="C2759" s="10"/>
      <c r="D2759" s="10"/>
      <c r="E2759" s="10"/>
      <c r="F2759" s="11"/>
      <c r="G2759" s="11"/>
      <c r="H2759" s="12"/>
      <c r="I2759" s="10"/>
      <c r="J2759" s="10"/>
      <c r="K2759" s="4"/>
      <c r="L2759" s="4"/>
    </row>
    <row r="2760" spans="1:12" x14ac:dyDescent="0.25">
      <c r="A2760" s="10"/>
      <c r="B2760" s="10"/>
      <c r="C2760" s="10"/>
      <c r="D2760" s="10"/>
      <c r="E2760" s="10"/>
      <c r="F2760" s="11"/>
      <c r="G2760" s="11"/>
      <c r="H2760" s="12"/>
      <c r="I2760" s="10"/>
      <c r="J2760" s="10"/>
      <c r="K2760" s="4"/>
      <c r="L2760" s="4"/>
    </row>
    <row r="2761" spans="1:12" x14ac:dyDescent="0.25">
      <c r="A2761" s="10"/>
      <c r="B2761" s="10"/>
      <c r="C2761" s="10"/>
      <c r="D2761" s="10"/>
      <c r="E2761" s="10"/>
      <c r="F2761" s="11"/>
      <c r="G2761" s="11"/>
      <c r="H2761" s="12"/>
      <c r="I2761" s="10"/>
      <c r="J2761" s="10"/>
      <c r="K2761" s="4"/>
      <c r="L2761" s="4"/>
    </row>
    <row r="2762" spans="1:12" x14ac:dyDescent="0.25">
      <c r="A2762" s="10"/>
      <c r="B2762" s="10"/>
      <c r="C2762" s="10"/>
      <c r="D2762" s="10"/>
      <c r="E2762" s="10"/>
      <c r="F2762" s="11"/>
      <c r="G2762" s="11"/>
      <c r="H2762" s="12"/>
      <c r="I2762" s="10"/>
      <c r="J2762" s="10"/>
      <c r="K2762" s="4"/>
      <c r="L2762" s="4"/>
    </row>
    <row r="2763" spans="1:12" x14ac:dyDescent="0.25">
      <c r="A2763" s="10"/>
      <c r="B2763" s="10"/>
      <c r="C2763" s="10"/>
      <c r="D2763" s="10"/>
      <c r="E2763" s="10"/>
      <c r="F2763" s="11"/>
      <c r="G2763" s="11"/>
      <c r="H2763" s="12"/>
      <c r="I2763" s="10"/>
      <c r="J2763" s="10"/>
      <c r="K2763" s="4"/>
      <c r="L2763" s="4"/>
    </row>
    <row r="2764" spans="1:12" x14ac:dyDescent="0.25">
      <c r="A2764" s="10"/>
      <c r="B2764" s="10"/>
      <c r="C2764" s="10"/>
      <c r="D2764" s="10"/>
      <c r="E2764" s="10"/>
      <c r="F2764" s="11"/>
      <c r="G2764" s="11"/>
      <c r="H2764" s="12"/>
      <c r="I2764" s="10"/>
      <c r="J2764" s="10"/>
      <c r="K2764" s="4"/>
      <c r="L2764" s="4"/>
    </row>
    <row r="2765" spans="1:12" x14ac:dyDescent="0.25">
      <c r="A2765" s="10"/>
      <c r="B2765" s="10"/>
      <c r="C2765" s="10"/>
      <c r="D2765" s="10"/>
      <c r="E2765" s="10"/>
      <c r="F2765" s="11"/>
      <c r="G2765" s="11"/>
      <c r="H2765" s="12"/>
      <c r="I2765" s="10"/>
      <c r="J2765" s="10"/>
      <c r="K2765" s="4"/>
      <c r="L2765" s="4"/>
    </row>
    <row r="2766" spans="1:12" x14ac:dyDescent="0.25">
      <c r="A2766" s="10"/>
      <c r="B2766" s="10"/>
      <c r="C2766" s="10"/>
      <c r="D2766" s="10"/>
      <c r="E2766" s="10"/>
      <c r="F2766" s="11"/>
      <c r="G2766" s="11"/>
      <c r="H2766" s="12"/>
      <c r="I2766" s="10"/>
      <c r="J2766" s="10"/>
      <c r="K2766" s="4"/>
      <c r="L2766" s="4"/>
    </row>
    <row r="2767" spans="1:12" x14ac:dyDescent="0.25">
      <c r="A2767" s="10"/>
      <c r="B2767" s="10"/>
      <c r="C2767" s="10"/>
      <c r="D2767" s="10"/>
      <c r="E2767" s="10"/>
      <c r="F2767" s="11"/>
      <c r="G2767" s="11"/>
      <c r="H2767" s="12"/>
      <c r="I2767" s="10"/>
      <c r="J2767" s="10"/>
      <c r="K2767" s="4"/>
      <c r="L2767" s="4"/>
    </row>
    <row r="2768" spans="1:12" x14ac:dyDescent="0.25">
      <c r="A2768" s="10"/>
      <c r="B2768" s="10"/>
      <c r="C2768" s="10"/>
      <c r="D2768" s="10"/>
      <c r="E2768" s="10"/>
      <c r="F2768" s="11"/>
      <c r="G2768" s="11"/>
      <c r="H2768" s="12"/>
      <c r="I2768" s="10"/>
      <c r="J2768" s="10"/>
      <c r="K2768" s="4"/>
      <c r="L2768" s="4"/>
    </row>
    <row r="2769" spans="1:12" x14ac:dyDescent="0.25">
      <c r="A2769" s="10"/>
      <c r="B2769" s="10"/>
      <c r="C2769" s="10"/>
      <c r="D2769" s="10"/>
      <c r="E2769" s="10"/>
      <c r="F2769" s="11"/>
      <c r="G2769" s="11"/>
      <c r="H2769" s="12"/>
      <c r="I2769" s="10"/>
      <c r="J2769" s="10"/>
      <c r="K2769" s="4"/>
      <c r="L2769" s="4"/>
    </row>
    <row r="2770" spans="1:12" x14ac:dyDescent="0.25">
      <c r="A2770" s="10"/>
      <c r="B2770" s="10"/>
      <c r="C2770" s="10"/>
      <c r="D2770" s="10"/>
      <c r="E2770" s="10"/>
      <c r="F2770" s="11"/>
      <c r="G2770" s="11"/>
      <c r="H2770" s="12"/>
      <c r="I2770" s="10"/>
      <c r="J2770" s="10"/>
      <c r="K2770" s="4"/>
      <c r="L2770" s="4"/>
    </row>
    <row r="2771" spans="1:12" x14ac:dyDescent="0.25">
      <c r="A2771" s="10"/>
      <c r="B2771" s="10"/>
      <c r="C2771" s="10"/>
      <c r="D2771" s="10"/>
      <c r="E2771" s="10"/>
      <c r="F2771" s="11"/>
      <c r="G2771" s="11"/>
      <c r="H2771" s="12"/>
      <c r="I2771" s="10"/>
      <c r="J2771" s="10"/>
      <c r="K2771" s="4"/>
      <c r="L2771" s="4"/>
    </row>
    <row r="2772" spans="1:12" x14ac:dyDescent="0.25">
      <c r="A2772" s="10"/>
      <c r="B2772" s="10"/>
      <c r="C2772" s="10"/>
      <c r="D2772" s="10"/>
      <c r="E2772" s="10"/>
      <c r="F2772" s="11"/>
      <c r="G2772" s="11"/>
      <c r="H2772" s="12"/>
      <c r="I2772" s="10"/>
      <c r="J2772" s="10"/>
      <c r="K2772" s="4"/>
      <c r="L2772" s="4"/>
    </row>
    <row r="2773" spans="1:12" x14ac:dyDescent="0.25">
      <c r="A2773" s="10"/>
      <c r="B2773" s="10"/>
      <c r="C2773" s="10"/>
      <c r="D2773" s="10"/>
      <c r="E2773" s="10"/>
      <c r="F2773" s="11"/>
      <c r="G2773" s="11"/>
      <c r="H2773" s="12"/>
      <c r="I2773" s="10"/>
      <c r="J2773" s="10"/>
      <c r="K2773" s="4"/>
      <c r="L2773" s="4"/>
    </row>
    <row r="2774" spans="1:12" x14ac:dyDescent="0.25">
      <c r="A2774" s="10"/>
      <c r="B2774" s="10"/>
      <c r="C2774" s="10"/>
      <c r="D2774" s="10"/>
      <c r="E2774" s="10"/>
      <c r="F2774" s="11"/>
      <c r="G2774" s="11"/>
      <c r="H2774" s="12"/>
      <c r="I2774" s="10"/>
      <c r="J2774" s="10"/>
      <c r="K2774" s="4"/>
      <c r="L2774" s="4"/>
    </row>
    <row r="2775" spans="1:12" x14ac:dyDescent="0.25">
      <c r="A2775" s="10"/>
      <c r="B2775" s="10"/>
      <c r="C2775" s="10"/>
      <c r="D2775" s="10"/>
      <c r="E2775" s="10"/>
      <c r="F2775" s="11"/>
      <c r="G2775" s="11"/>
      <c r="H2775" s="12"/>
      <c r="I2775" s="10"/>
      <c r="J2775" s="10"/>
      <c r="K2775" s="4"/>
      <c r="L2775" s="4"/>
    </row>
    <row r="2776" spans="1:12" x14ac:dyDescent="0.25">
      <c r="A2776" s="10"/>
      <c r="B2776" s="10"/>
      <c r="C2776" s="10"/>
      <c r="D2776" s="10"/>
      <c r="E2776" s="10"/>
      <c r="F2776" s="11"/>
      <c r="G2776" s="11"/>
      <c r="H2776" s="12"/>
      <c r="I2776" s="10"/>
      <c r="J2776" s="10"/>
      <c r="K2776" s="4"/>
      <c r="L2776" s="4"/>
    </row>
    <row r="2777" spans="1:12" x14ac:dyDescent="0.25">
      <c r="A2777" s="10"/>
      <c r="B2777" s="10"/>
      <c r="C2777" s="10"/>
      <c r="D2777" s="10"/>
      <c r="E2777" s="10"/>
      <c r="F2777" s="11"/>
      <c r="G2777" s="11"/>
      <c r="H2777" s="12"/>
      <c r="I2777" s="10"/>
      <c r="J2777" s="10"/>
      <c r="K2777" s="4"/>
      <c r="L2777" s="4"/>
    </row>
    <row r="2778" spans="1:12" x14ac:dyDescent="0.25">
      <c r="A2778" s="10"/>
      <c r="B2778" s="10"/>
      <c r="C2778" s="10"/>
      <c r="D2778" s="10"/>
      <c r="E2778" s="10"/>
      <c r="F2778" s="11"/>
      <c r="G2778" s="11"/>
      <c r="H2778" s="12"/>
      <c r="I2778" s="10"/>
      <c r="J2778" s="10"/>
      <c r="K2778" s="4"/>
      <c r="L2778" s="4"/>
    </row>
    <row r="2779" spans="1:12" x14ac:dyDescent="0.25">
      <c r="A2779" s="10"/>
      <c r="B2779" s="10"/>
      <c r="C2779" s="10"/>
      <c r="D2779" s="10"/>
      <c r="E2779" s="10"/>
      <c r="F2779" s="11"/>
      <c r="G2779" s="11"/>
      <c r="H2779" s="12"/>
      <c r="I2779" s="10"/>
      <c r="J2779" s="10"/>
      <c r="K2779" s="4"/>
      <c r="L2779" s="4"/>
    </row>
    <row r="2780" spans="1:12" x14ac:dyDescent="0.25">
      <c r="A2780" s="10"/>
      <c r="B2780" s="10"/>
      <c r="C2780" s="10"/>
      <c r="D2780" s="10"/>
      <c r="E2780" s="10"/>
      <c r="F2780" s="11"/>
      <c r="G2780" s="11"/>
      <c r="H2780" s="12"/>
      <c r="I2780" s="10"/>
      <c r="J2780" s="10"/>
      <c r="K2780" s="4"/>
      <c r="L2780" s="4"/>
    </row>
    <row r="2781" spans="1:12" x14ac:dyDescent="0.25">
      <c r="A2781" s="10"/>
      <c r="B2781" s="10"/>
      <c r="C2781" s="10"/>
      <c r="D2781" s="10"/>
      <c r="E2781" s="10"/>
      <c r="F2781" s="11"/>
      <c r="G2781" s="11"/>
      <c r="H2781" s="12"/>
      <c r="I2781" s="10"/>
      <c r="J2781" s="10"/>
      <c r="K2781" s="4"/>
      <c r="L2781" s="4"/>
    </row>
    <row r="2782" spans="1:12" x14ac:dyDescent="0.25">
      <c r="A2782" s="10"/>
      <c r="B2782" s="10"/>
      <c r="C2782" s="10"/>
      <c r="D2782" s="10"/>
      <c r="E2782" s="10"/>
      <c r="F2782" s="11"/>
      <c r="G2782" s="11"/>
      <c r="H2782" s="12"/>
      <c r="I2782" s="10"/>
      <c r="J2782" s="10"/>
      <c r="K2782" s="4"/>
      <c r="L2782" s="4"/>
    </row>
    <row r="2783" spans="1:12" x14ac:dyDescent="0.25">
      <c r="A2783" s="13"/>
      <c r="B2783" s="13"/>
      <c r="C2783" s="13"/>
      <c r="D2783" s="13"/>
      <c r="E2783" s="13"/>
      <c r="F2783" s="14"/>
      <c r="G2783" s="14"/>
      <c r="H2783" s="15"/>
      <c r="I2783" s="13"/>
      <c r="J2783" s="13"/>
      <c r="K2783" s="4"/>
      <c r="L2783" s="4"/>
    </row>
    <row r="2784" spans="1:12" x14ac:dyDescent="0.25">
      <c r="A2784" s="13"/>
      <c r="B2784" s="13"/>
      <c r="C2784" s="13"/>
      <c r="D2784" s="13"/>
      <c r="E2784" s="13"/>
      <c r="F2784" s="14"/>
      <c r="G2784" s="14"/>
      <c r="H2784" s="15"/>
      <c r="I2784" s="13"/>
      <c r="J2784" s="13"/>
      <c r="K2784" s="4"/>
      <c r="L2784" s="4"/>
    </row>
    <row r="2785" spans="1:12" x14ac:dyDescent="0.25">
      <c r="A2785" s="13"/>
      <c r="B2785" s="13"/>
      <c r="C2785" s="13"/>
      <c r="D2785" s="13"/>
      <c r="E2785" s="13"/>
      <c r="F2785" s="14"/>
      <c r="G2785" s="14"/>
      <c r="H2785" s="15"/>
      <c r="I2785" s="13"/>
      <c r="J2785" s="13"/>
      <c r="K2785" s="4"/>
      <c r="L2785" s="4"/>
    </row>
    <row r="2786" spans="1:12" x14ac:dyDescent="0.25">
      <c r="A2786" s="13"/>
      <c r="B2786" s="13"/>
      <c r="C2786" s="13"/>
      <c r="D2786" s="13"/>
      <c r="E2786" s="13"/>
      <c r="F2786" s="14"/>
      <c r="G2786" s="14"/>
      <c r="H2786" s="15"/>
      <c r="I2786" s="13"/>
      <c r="J2786" s="13"/>
      <c r="K2786" s="4"/>
      <c r="L2786" s="4"/>
    </row>
    <row r="2787" spans="1:12" x14ac:dyDescent="0.25">
      <c r="A2787" s="13"/>
      <c r="B2787" s="13"/>
      <c r="C2787" s="13"/>
      <c r="D2787" s="13"/>
      <c r="E2787" s="13"/>
      <c r="F2787" s="14"/>
      <c r="G2787" s="14"/>
      <c r="H2787" s="15"/>
      <c r="I2787" s="13"/>
      <c r="J2787" s="13"/>
      <c r="K2787" s="4"/>
      <c r="L2787" s="4"/>
    </row>
    <row r="2788" spans="1:12" x14ac:dyDescent="0.25">
      <c r="A2788" s="13"/>
      <c r="B2788" s="13"/>
      <c r="C2788" s="13"/>
      <c r="D2788" s="13"/>
      <c r="E2788" s="13"/>
      <c r="F2788" s="14"/>
      <c r="G2788" s="14"/>
      <c r="H2788" s="15"/>
      <c r="I2788" s="13"/>
      <c r="J2788" s="13"/>
      <c r="K2788" s="4"/>
      <c r="L2788" s="4"/>
    </row>
    <row r="2789" spans="1:12" x14ac:dyDescent="0.25">
      <c r="A2789" s="13"/>
      <c r="B2789" s="13"/>
      <c r="C2789" s="13"/>
      <c r="D2789" s="13"/>
      <c r="E2789" s="13"/>
      <c r="F2789" s="14"/>
      <c r="G2789" s="14"/>
      <c r="H2789" s="15"/>
      <c r="I2789" s="13"/>
      <c r="J2789" s="13"/>
      <c r="K2789" s="4"/>
      <c r="L2789" s="4"/>
    </row>
    <row r="2790" spans="1:12" x14ac:dyDescent="0.25">
      <c r="A2790" s="13"/>
      <c r="B2790" s="13"/>
      <c r="C2790" s="13"/>
      <c r="D2790" s="13"/>
      <c r="E2790" s="13"/>
      <c r="F2790" s="14"/>
      <c r="G2790" s="14"/>
      <c r="H2790" s="15"/>
      <c r="I2790" s="13"/>
      <c r="J2790" s="13"/>
      <c r="K2790" s="4"/>
      <c r="L2790" s="4"/>
    </row>
    <row r="2791" spans="1:12" x14ac:dyDescent="0.25">
      <c r="A2791" s="13"/>
      <c r="B2791" s="13"/>
      <c r="C2791" s="13"/>
      <c r="D2791" s="13"/>
      <c r="E2791" s="13"/>
      <c r="F2791" s="14"/>
      <c r="G2791" s="14"/>
      <c r="H2791" s="15"/>
      <c r="I2791" s="13"/>
      <c r="J2791" s="13"/>
      <c r="K2791" s="4"/>
      <c r="L2791" s="4"/>
    </row>
    <row r="2792" spans="1:12" x14ac:dyDescent="0.25">
      <c r="A2792" s="13"/>
      <c r="B2792" s="13"/>
      <c r="C2792" s="13"/>
      <c r="D2792" s="13"/>
      <c r="E2792" s="13"/>
      <c r="F2792" s="14"/>
      <c r="G2792" s="14"/>
      <c r="H2792" s="15"/>
      <c r="I2792" s="13"/>
      <c r="J2792" s="13"/>
      <c r="K2792" s="4"/>
      <c r="L2792" s="4"/>
    </row>
    <row r="2793" spans="1:12" x14ac:dyDescent="0.25">
      <c r="A2793" s="13"/>
      <c r="B2793" s="13"/>
      <c r="C2793" s="13"/>
      <c r="D2793" s="13"/>
      <c r="E2793" s="13"/>
      <c r="F2793" s="14"/>
      <c r="G2793" s="14"/>
      <c r="H2793" s="15"/>
      <c r="I2793" s="13"/>
      <c r="J2793" s="13"/>
      <c r="K2793" s="4"/>
      <c r="L2793" s="4"/>
    </row>
    <row r="2794" spans="1:12" x14ac:dyDescent="0.25">
      <c r="A2794" s="13"/>
      <c r="B2794" s="13"/>
      <c r="C2794" s="13"/>
      <c r="D2794" s="13"/>
      <c r="E2794" s="13"/>
      <c r="F2794" s="14"/>
      <c r="G2794" s="14"/>
      <c r="H2794" s="15"/>
      <c r="I2794" s="13"/>
      <c r="J2794" s="13"/>
      <c r="K2794" s="4"/>
      <c r="L2794" s="4"/>
    </row>
    <row r="2795" spans="1:12" x14ac:dyDescent="0.25">
      <c r="A2795" s="13"/>
      <c r="B2795" s="13"/>
      <c r="C2795" s="13"/>
      <c r="D2795" s="13"/>
      <c r="E2795" s="13"/>
      <c r="F2795" s="14"/>
      <c r="G2795" s="14"/>
      <c r="H2795" s="15"/>
      <c r="I2795" s="13"/>
      <c r="J2795" s="13"/>
      <c r="K2795" s="4"/>
      <c r="L2795" s="4"/>
    </row>
    <row r="2796" spans="1:12" x14ac:dyDescent="0.25">
      <c r="A2796" s="13"/>
      <c r="B2796" s="13"/>
      <c r="C2796" s="13"/>
      <c r="D2796" s="13"/>
      <c r="E2796" s="13"/>
      <c r="F2796" s="14"/>
      <c r="G2796" s="14"/>
      <c r="H2796" s="15"/>
      <c r="I2796" s="13"/>
      <c r="J2796" s="13"/>
      <c r="K2796" s="4"/>
      <c r="L2796" s="4"/>
    </row>
    <row r="2797" spans="1:12" x14ac:dyDescent="0.25">
      <c r="A2797" s="13"/>
      <c r="B2797" s="13"/>
      <c r="C2797" s="13"/>
      <c r="D2797" s="13"/>
      <c r="E2797" s="13"/>
      <c r="F2797" s="14"/>
      <c r="G2797" s="14"/>
      <c r="H2797" s="15"/>
      <c r="I2797" s="13"/>
      <c r="J2797" s="13"/>
      <c r="K2797" s="4"/>
      <c r="L2797" s="4"/>
    </row>
    <row r="2798" spans="1:12" x14ac:dyDescent="0.25">
      <c r="A2798" s="13"/>
      <c r="B2798" s="13"/>
      <c r="C2798" s="13"/>
      <c r="D2798" s="13"/>
      <c r="E2798" s="13"/>
      <c r="F2798" s="14"/>
      <c r="G2798" s="14"/>
      <c r="H2798" s="15"/>
      <c r="I2798" s="13"/>
      <c r="J2798" s="13"/>
      <c r="K2798" s="4"/>
      <c r="L2798" s="4"/>
    </row>
    <row r="2799" spans="1:12" x14ac:dyDescent="0.25">
      <c r="A2799" s="13"/>
      <c r="B2799" s="13"/>
      <c r="C2799" s="13"/>
      <c r="D2799" s="13"/>
      <c r="E2799" s="13"/>
      <c r="F2799" s="14"/>
      <c r="G2799" s="14"/>
      <c r="H2799" s="15"/>
      <c r="I2799" s="13"/>
      <c r="J2799" s="13"/>
      <c r="K2799" s="13"/>
      <c r="L2799" s="4"/>
    </row>
    <row r="2800" spans="1:12" x14ac:dyDescent="0.25">
      <c r="A2800" s="13"/>
      <c r="B2800" s="13"/>
      <c r="C2800" s="13"/>
      <c r="D2800" s="13"/>
      <c r="E2800" s="13"/>
      <c r="F2800" s="14"/>
      <c r="G2800" s="14"/>
      <c r="H2800" s="15"/>
      <c r="I2800" s="13"/>
      <c r="J2800" s="13"/>
      <c r="K2800" s="13"/>
      <c r="L2800" s="4"/>
    </row>
    <row r="2801" spans="1:12" x14ac:dyDescent="0.25">
      <c r="A2801" s="13"/>
      <c r="B2801" s="13"/>
      <c r="C2801" s="13"/>
      <c r="D2801" s="13"/>
      <c r="E2801" s="13"/>
      <c r="F2801" s="14"/>
      <c r="G2801" s="14"/>
      <c r="H2801" s="15"/>
      <c r="I2801" s="13"/>
      <c r="J2801" s="13"/>
      <c r="K2801" s="13"/>
      <c r="L2801" s="4"/>
    </row>
    <row r="2802" spans="1:12" x14ac:dyDescent="0.25">
      <c r="A2802" s="13"/>
      <c r="B2802" s="13"/>
      <c r="C2802" s="13"/>
      <c r="D2802" s="13"/>
      <c r="E2802" s="13"/>
      <c r="F2802" s="14"/>
      <c r="G2802" s="14"/>
      <c r="H2802" s="15"/>
      <c r="I2802" s="13"/>
      <c r="J2802" s="13"/>
      <c r="K2802" s="13"/>
      <c r="L2802" s="4"/>
    </row>
    <row r="2803" spans="1:12" x14ac:dyDescent="0.25">
      <c r="A2803" s="13"/>
      <c r="B2803" s="13"/>
      <c r="C2803" s="13"/>
      <c r="D2803" s="13"/>
      <c r="E2803" s="13"/>
      <c r="F2803" s="14"/>
      <c r="G2803" s="14"/>
      <c r="H2803" s="15"/>
      <c r="I2803" s="13"/>
      <c r="J2803" s="13"/>
      <c r="K2803" s="13"/>
      <c r="L2803" s="4"/>
    </row>
    <row r="2804" spans="1:12" x14ac:dyDescent="0.25">
      <c r="A2804" s="13"/>
      <c r="B2804" s="13"/>
      <c r="C2804" s="13"/>
      <c r="D2804" s="13"/>
      <c r="E2804" s="13"/>
      <c r="F2804" s="14"/>
      <c r="G2804" s="14"/>
      <c r="H2804" s="15"/>
      <c r="I2804" s="13"/>
      <c r="J2804" s="13"/>
      <c r="K2804" s="13"/>
      <c r="L2804" s="4"/>
    </row>
    <row r="2805" spans="1:12" x14ac:dyDescent="0.25">
      <c r="A2805" s="13"/>
      <c r="B2805" s="13"/>
      <c r="C2805" s="13"/>
      <c r="D2805" s="13"/>
      <c r="E2805" s="13"/>
      <c r="F2805" s="14"/>
      <c r="G2805" s="14"/>
      <c r="H2805" s="15"/>
      <c r="I2805" s="13"/>
      <c r="J2805" s="13"/>
      <c r="K2805" s="13"/>
      <c r="L2805" s="4"/>
    </row>
    <row r="2806" spans="1:12" x14ac:dyDescent="0.25">
      <c r="A2806" s="13"/>
      <c r="B2806" s="13"/>
      <c r="C2806" s="13"/>
      <c r="D2806" s="13"/>
      <c r="E2806" s="13"/>
      <c r="F2806" s="14"/>
      <c r="G2806" s="14"/>
      <c r="H2806" s="15"/>
      <c r="I2806" s="13"/>
      <c r="J2806" s="13"/>
      <c r="K2806" s="13"/>
      <c r="L2806" s="4"/>
    </row>
    <row r="2807" spans="1:12" x14ac:dyDescent="0.25">
      <c r="A2807" s="13"/>
      <c r="B2807" s="13"/>
      <c r="C2807" s="13"/>
      <c r="D2807" s="13"/>
      <c r="E2807" s="13"/>
      <c r="F2807" s="14"/>
      <c r="G2807" s="14"/>
      <c r="H2807" s="15"/>
      <c r="I2807" s="13"/>
      <c r="J2807" s="13"/>
      <c r="K2807" s="13"/>
      <c r="L2807" s="4"/>
    </row>
    <row r="2808" spans="1:12" x14ac:dyDescent="0.25">
      <c r="A2808" s="13"/>
      <c r="B2808" s="13"/>
      <c r="C2808" s="13"/>
      <c r="D2808" s="13"/>
      <c r="E2808" s="13"/>
      <c r="F2808" s="14"/>
      <c r="G2808" s="14"/>
      <c r="H2808" s="15"/>
      <c r="I2808" s="13"/>
      <c r="J2808" s="13"/>
      <c r="K2808" s="13"/>
      <c r="L2808" s="4"/>
    </row>
    <row r="2809" spans="1:12" x14ac:dyDescent="0.25">
      <c r="A2809" s="13"/>
      <c r="B2809" s="13"/>
      <c r="C2809" s="13"/>
      <c r="D2809" s="13"/>
      <c r="E2809" s="13"/>
      <c r="F2809" s="14"/>
      <c r="G2809" s="14"/>
      <c r="H2809" s="15"/>
      <c r="I2809" s="13"/>
      <c r="J2809" s="13"/>
      <c r="K2809" s="13"/>
      <c r="L2809" s="4"/>
    </row>
    <row r="2810" spans="1:12" x14ac:dyDescent="0.25">
      <c r="A2810" s="13"/>
      <c r="B2810" s="13"/>
      <c r="C2810" s="13"/>
      <c r="D2810" s="13"/>
      <c r="E2810" s="13"/>
      <c r="F2810" s="14"/>
      <c r="G2810" s="14"/>
      <c r="H2810" s="15"/>
      <c r="I2810" s="13"/>
      <c r="J2810" s="13"/>
      <c r="K2810" s="13"/>
      <c r="L2810" s="4"/>
    </row>
    <row r="2811" spans="1:12" x14ac:dyDescent="0.25">
      <c r="A2811" s="13"/>
      <c r="B2811" s="13"/>
      <c r="C2811" s="13"/>
      <c r="D2811" s="13"/>
      <c r="E2811" s="13"/>
      <c r="F2811" s="14"/>
      <c r="G2811" s="14"/>
      <c r="H2811" s="15"/>
      <c r="I2811" s="13"/>
      <c r="J2811" s="13"/>
      <c r="K2811" s="13"/>
      <c r="L2811" s="4"/>
    </row>
    <row r="2812" spans="1:12" x14ac:dyDescent="0.25">
      <c r="A2812" s="13"/>
      <c r="B2812" s="13"/>
      <c r="C2812" s="13"/>
      <c r="D2812" s="13"/>
      <c r="E2812" s="13"/>
      <c r="F2812" s="14"/>
      <c r="G2812" s="14"/>
      <c r="H2812" s="15"/>
      <c r="I2812" s="13"/>
      <c r="J2812" s="13"/>
      <c r="K2812" s="13"/>
      <c r="L2812" s="4"/>
    </row>
    <row r="2813" spans="1:12" x14ac:dyDescent="0.25">
      <c r="A2813" s="13"/>
      <c r="B2813" s="13"/>
      <c r="C2813" s="13"/>
      <c r="D2813" s="13"/>
      <c r="E2813" s="13"/>
      <c r="F2813" s="14"/>
      <c r="G2813" s="14"/>
      <c r="H2813" s="15"/>
      <c r="I2813" s="13"/>
      <c r="J2813" s="13"/>
      <c r="K2813" s="13"/>
      <c r="L2813" s="4"/>
    </row>
    <row r="2814" spans="1:12" x14ac:dyDescent="0.25">
      <c r="A2814" s="13"/>
      <c r="B2814" s="13"/>
      <c r="C2814" s="13"/>
      <c r="D2814" s="13"/>
      <c r="E2814" s="13"/>
      <c r="F2814" s="14"/>
      <c r="G2814" s="14"/>
      <c r="H2814" s="15"/>
      <c r="I2814" s="13"/>
      <c r="J2814" s="13"/>
      <c r="K2814" s="13"/>
      <c r="L2814" s="4"/>
    </row>
    <row r="2815" spans="1:12" x14ac:dyDescent="0.25">
      <c r="A2815" s="13"/>
      <c r="B2815" s="13"/>
      <c r="C2815" s="13"/>
      <c r="D2815" s="13"/>
      <c r="E2815" s="13"/>
      <c r="F2815" s="14"/>
      <c r="G2815" s="14"/>
      <c r="H2815" s="15"/>
      <c r="I2815" s="13"/>
      <c r="J2815" s="13"/>
      <c r="K2815" s="4"/>
      <c r="L2815" s="4"/>
    </row>
    <row r="2816" spans="1:12" x14ac:dyDescent="0.25">
      <c r="A2816" s="13"/>
      <c r="B2816" s="13"/>
      <c r="C2816" s="13"/>
      <c r="D2816" s="13"/>
      <c r="E2816" s="13"/>
      <c r="F2816" s="14"/>
      <c r="G2816" s="14"/>
      <c r="H2816" s="15"/>
      <c r="I2816" s="13"/>
      <c r="J2816" s="13"/>
      <c r="K2816" s="4"/>
      <c r="L2816" s="4"/>
    </row>
    <row r="2817" spans="1:12" x14ac:dyDescent="0.25">
      <c r="A2817" s="13"/>
      <c r="B2817" s="13"/>
      <c r="C2817" s="13"/>
      <c r="D2817" s="13"/>
      <c r="E2817" s="13"/>
      <c r="F2817" s="14"/>
      <c r="G2817" s="14"/>
      <c r="H2817" s="15"/>
      <c r="I2817" s="13"/>
      <c r="J2817" s="13"/>
      <c r="K2817" s="4"/>
      <c r="L2817" s="4"/>
    </row>
    <row r="2818" spans="1:12" x14ac:dyDescent="0.25">
      <c r="A2818" s="13"/>
      <c r="B2818" s="13"/>
      <c r="C2818" s="13"/>
      <c r="D2818" s="13"/>
      <c r="E2818" s="13"/>
      <c r="F2818" s="14"/>
      <c r="G2818" s="14"/>
      <c r="H2818" s="15"/>
      <c r="I2818" s="13"/>
      <c r="J2818" s="13"/>
      <c r="K2818" s="4"/>
      <c r="L2818" s="4"/>
    </row>
    <row r="2819" spans="1:12" x14ac:dyDescent="0.25">
      <c r="A2819" s="13"/>
      <c r="B2819" s="13"/>
      <c r="C2819" s="13"/>
      <c r="D2819" s="13"/>
      <c r="E2819" s="13"/>
      <c r="F2819" s="14"/>
      <c r="G2819" s="14"/>
      <c r="H2819" s="15"/>
      <c r="I2819" s="13"/>
      <c r="J2819" s="13"/>
      <c r="K2819" s="4"/>
      <c r="L2819" s="4"/>
    </row>
    <row r="2820" spans="1:12" x14ac:dyDescent="0.25">
      <c r="A2820" s="13"/>
      <c r="B2820" s="13"/>
      <c r="C2820" s="13"/>
      <c r="D2820" s="13"/>
      <c r="E2820" s="13"/>
      <c r="F2820" s="14"/>
      <c r="G2820" s="14"/>
      <c r="H2820" s="15"/>
      <c r="I2820" s="13"/>
      <c r="J2820" s="13"/>
      <c r="K2820" s="4"/>
      <c r="L2820" s="4"/>
    </row>
    <row r="2821" spans="1:12" x14ac:dyDescent="0.25">
      <c r="A2821" s="13"/>
      <c r="B2821" s="13"/>
      <c r="C2821" s="13"/>
      <c r="D2821" s="13"/>
      <c r="E2821" s="13"/>
      <c r="F2821" s="14"/>
      <c r="G2821" s="14"/>
      <c r="H2821" s="15"/>
      <c r="I2821" s="13"/>
      <c r="J2821" s="13"/>
      <c r="K2821" s="4"/>
      <c r="L2821" s="4"/>
    </row>
    <row r="2822" spans="1:12" x14ac:dyDescent="0.25">
      <c r="A2822" s="13"/>
      <c r="B2822" s="13"/>
      <c r="C2822" s="13"/>
      <c r="D2822" s="13"/>
      <c r="E2822" s="13"/>
      <c r="F2822" s="14"/>
      <c r="G2822" s="14"/>
      <c r="H2822" s="15"/>
      <c r="I2822" s="13"/>
      <c r="J2822" s="13"/>
      <c r="K2822" s="4"/>
      <c r="L2822" s="4"/>
    </row>
    <row r="2823" spans="1:12" x14ac:dyDescent="0.25">
      <c r="A2823" s="13"/>
      <c r="B2823" s="13"/>
      <c r="C2823" s="13"/>
      <c r="D2823" s="13"/>
      <c r="E2823" s="13"/>
      <c r="F2823" s="14"/>
      <c r="G2823" s="14"/>
      <c r="H2823" s="15"/>
      <c r="I2823" s="13"/>
      <c r="J2823" s="13"/>
      <c r="K2823" s="4"/>
      <c r="L2823" s="4"/>
    </row>
    <row r="2824" spans="1:12" x14ac:dyDescent="0.25">
      <c r="A2824" s="13"/>
      <c r="B2824" s="13"/>
      <c r="C2824" s="13"/>
      <c r="D2824" s="13"/>
      <c r="E2824" s="13"/>
      <c r="F2824" s="14"/>
      <c r="G2824" s="14"/>
      <c r="H2824" s="15"/>
      <c r="I2824" s="13"/>
      <c r="J2824" s="13"/>
      <c r="K2824" s="4"/>
      <c r="L2824" s="4"/>
    </row>
    <row r="2825" spans="1:12" x14ac:dyDescent="0.25">
      <c r="A2825" s="13"/>
      <c r="B2825" s="13"/>
      <c r="C2825" s="13"/>
      <c r="D2825" s="13"/>
      <c r="E2825" s="13"/>
      <c r="F2825" s="14"/>
      <c r="G2825" s="14"/>
      <c r="H2825" s="15"/>
      <c r="I2825" s="13"/>
      <c r="J2825" s="13"/>
      <c r="K2825" s="4"/>
      <c r="L2825" s="4"/>
    </row>
    <row r="2826" spans="1:12" x14ac:dyDescent="0.25">
      <c r="A2826" s="13"/>
      <c r="B2826" s="13"/>
      <c r="C2826" s="13"/>
      <c r="D2826" s="13"/>
      <c r="E2826" s="13"/>
      <c r="F2826" s="14"/>
      <c r="G2826" s="14"/>
      <c r="H2826" s="15"/>
      <c r="I2826" s="13"/>
      <c r="J2826" s="13"/>
      <c r="K2826" s="4"/>
      <c r="L2826" s="4"/>
    </row>
    <row r="2827" spans="1:12" x14ac:dyDescent="0.25">
      <c r="A2827" s="13"/>
      <c r="B2827" s="13"/>
      <c r="C2827" s="13"/>
      <c r="D2827" s="13"/>
      <c r="E2827" s="13"/>
      <c r="F2827" s="14"/>
      <c r="G2827" s="14"/>
      <c r="H2827" s="15"/>
      <c r="I2827" s="13"/>
      <c r="J2827" s="13"/>
      <c r="K2827" s="4"/>
      <c r="L2827" s="4"/>
    </row>
    <row r="2828" spans="1:12" x14ac:dyDescent="0.25">
      <c r="A2828" s="13"/>
      <c r="B2828" s="13"/>
      <c r="C2828" s="13"/>
      <c r="D2828" s="13"/>
      <c r="E2828" s="13"/>
      <c r="F2828" s="14"/>
      <c r="G2828" s="14"/>
      <c r="H2828" s="15"/>
      <c r="I2828" s="13"/>
      <c r="J2828" s="13"/>
      <c r="K2828" s="4"/>
      <c r="L2828" s="4"/>
    </row>
    <row r="2829" spans="1:12" x14ac:dyDescent="0.25">
      <c r="A2829" s="13"/>
      <c r="B2829" s="13"/>
      <c r="C2829" s="13"/>
      <c r="D2829" s="13"/>
      <c r="E2829" s="13"/>
      <c r="F2829" s="14"/>
      <c r="G2829" s="14"/>
      <c r="H2829" s="15"/>
      <c r="I2829" s="13"/>
      <c r="J2829" s="13"/>
      <c r="K2829" s="4"/>
      <c r="L2829" s="4"/>
    </row>
    <row r="2830" spans="1:12" x14ac:dyDescent="0.25">
      <c r="A2830" s="13"/>
      <c r="B2830" s="13"/>
      <c r="C2830" s="13"/>
      <c r="D2830" s="13"/>
      <c r="E2830" s="13"/>
      <c r="F2830" s="14"/>
      <c r="G2830" s="14"/>
      <c r="H2830" s="15"/>
      <c r="I2830" s="13"/>
      <c r="J2830" s="13"/>
      <c r="K2830" s="4"/>
      <c r="L2830" s="4"/>
    </row>
    <row r="2831" spans="1:12" x14ac:dyDescent="0.25">
      <c r="A2831" s="13"/>
      <c r="B2831" s="13"/>
      <c r="C2831" s="13"/>
      <c r="D2831" s="13"/>
      <c r="E2831" s="13"/>
      <c r="F2831" s="14"/>
      <c r="G2831" s="14"/>
      <c r="H2831" s="15"/>
      <c r="I2831" s="13"/>
      <c r="J2831" s="13"/>
      <c r="K2831" s="13"/>
      <c r="L2831" s="4"/>
    </row>
    <row r="2832" spans="1:12" x14ac:dyDescent="0.25">
      <c r="A2832" s="13"/>
      <c r="B2832" s="13"/>
      <c r="C2832" s="13"/>
      <c r="D2832" s="13"/>
      <c r="E2832" s="13"/>
      <c r="F2832" s="14"/>
      <c r="G2832" s="14"/>
      <c r="H2832" s="15"/>
      <c r="I2832" s="13"/>
      <c r="J2832" s="13"/>
      <c r="K2832" s="13"/>
      <c r="L2832" s="4"/>
    </row>
    <row r="2833" spans="1:12" x14ac:dyDescent="0.25">
      <c r="A2833" s="13"/>
      <c r="B2833" s="13"/>
      <c r="C2833" s="13"/>
      <c r="D2833" s="13"/>
      <c r="E2833" s="13"/>
      <c r="F2833" s="14"/>
      <c r="G2833" s="14"/>
      <c r="H2833" s="15"/>
      <c r="I2833" s="13"/>
      <c r="J2833" s="13"/>
      <c r="K2833" s="13"/>
      <c r="L2833" s="4"/>
    </row>
    <row r="2834" spans="1:12" x14ac:dyDescent="0.25">
      <c r="A2834" s="13"/>
      <c r="B2834" s="13"/>
      <c r="C2834" s="13"/>
      <c r="D2834" s="13"/>
      <c r="E2834" s="13"/>
      <c r="F2834" s="14"/>
      <c r="G2834" s="14"/>
      <c r="H2834" s="15"/>
      <c r="I2834" s="13"/>
      <c r="J2834" s="13"/>
      <c r="K2834" s="13"/>
      <c r="L2834" s="4"/>
    </row>
    <row r="2835" spans="1:12" x14ac:dyDescent="0.25">
      <c r="A2835" s="13"/>
      <c r="B2835" s="13"/>
      <c r="C2835" s="13"/>
      <c r="D2835" s="13"/>
      <c r="E2835" s="13"/>
      <c r="F2835" s="14"/>
      <c r="G2835" s="14"/>
      <c r="H2835" s="15"/>
      <c r="I2835" s="13"/>
      <c r="J2835" s="13"/>
      <c r="K2835" s="13"/>
      <c r="L2835" s="4"/>
    </row>
    <row r="2836" spans="1:12" x14ac:dyDescent="0.25">
      <c r="A2836" s="13"/>
      <c r="B2836" s="13"/>
      <c r="C2836" s="13"/>
      <c r="D2836" s="13"/>
      <c r="E2836" s="13"/>
      <c r="F2836" s="14"/>
      <c r="G2836" s="14"/>
      <c r="H2836" s="15"/>
      <c r="I2836" s="13"/>
      <c r="J2836" s="13"/>
      <c r="K2836" s="13"/>
      <c r="L2836" s="4"/>
    </row>
    <row r="2837" spans="1:12" x14ac:dyDescent="0.25">
      <c r="A2837" s="13"/>
      <c r="B2837" s="13"/>
      <c r="C2837" s="13"/>
      <c r="D2837" s="13"/>
      <c r="E2837" s="13"/>
      <c r="F2837" s="14"/>
      <c r="G2837" s="14"/>
      <c r="H2837" s="15"/>
      <c r="I2837" s="13"/>
      <c r="J2837" s="13"/>
      <c r="K2837" s="13"/>
      <c r="L2837" s="4"/>
    </row>
    <row r="2838" spans="1:12" x14ac:dyDescent="0.25">
      <c r="A2838" s="13"/>
      <c r="B2838" s="13"/>
      <c r="C2838" s="13"/>
      <c r="D2838" s="13"/>
      <c r="E2838" s="13"/>
      <c r="F2838" s="14"/>
      <c r="G2838" s="14"/>
      <c r="H2838" s="15"/>
      <c r="I2838" s="13"/>
      <c r="J2838" s="13"/>
      <c r="K2838" s="13"/>
      <c r="L2838" s="4"/>
    </row>
    <row r="2839" spans="1:12" x14ac:dyDescent="0.25">
      <c r="A2839" s="13"/>
      <c r="B2839" s="13"/>
      <c r="C2839" s="13"/>
      <c r="D2839" s="13"/>
      <c r="E2839" s="13"/>
      <c r="F2839" s="14"/>
      <c r="G2839" s="14"/>
      <c r="H2839" s="15"/>
      <c r="I2839" s="13"/>
      <c r="J2839" s="13"/>
      <c r="K2839" s="13"/>
      <c r="L2839" s="4"/>
    </row>
    <row r="2840" spans="1:12" x14ac:dyDescent="0.25">
      <c r="A2840" s="13"/>
      <c r="B2840" s="13"/>
      <c r="C2840" s="13"/>
      <c r="D2840" s="13"/>
      <c r="E2840" s="13"/>
      <c r="F2840" s="14"/>
      <c r="G2840" s="14"/>
      <c r="H2840" s="15"/>
      <c r="I2840" s="13"/>
      <c r="J2840" s="13"/>
      <c r="K2840" s="13"/>
      <c r="L2840" s="4"/>
    </row>
    <row r="2841" spans="1:12" x14ac:dyDescent="0.25">
      <c r="A2841" s="13"/>
      <c r="B2841" s="13"/>
      <c r="C2841" s="13"/>
      <c r="D2841" s="13"/>
      <c r="E2841" s="13"/>
      <c r="F2841" s="14"/>
      <c r="G2841" s="14"/>
      <c r="H2841" s="15"/>
      <c r="I2841" s="13"/>
      <c r="J2841" s="13"/>
      <c r="K2841" s="13"/>
      <c r="L2841" s="4"/>
    </row>
    <row r="2842" spans="1:12" x14ac:dyDescent="0.25">
      <c r="A2842" s="16"/>
      <c r="B2842" s="16"/>
      <c r="C2842" s="16"/>
      <c r="D2842" s="16"/>
      <c r="E2842" s="16"/>
      <c r="F2842" s="17"/>
      <c r="G2842" s="17"/>
      <c r="H2842" s="18"/>
      <c r="I2842" s="16"/>
      <c r="J2842" s="16"/>
      <c r="K2842" s="4"/>
      <c r="L2842" s="4"/>
    </row>
    <row r="2843" spans="1:12" x14ac:dyDescent="0.25">
      <c r="A2843" s="16"/>
      <c r="B2843" s="16"/>
      <c r="C2843" s="16"/>
      <c r="D2843" s="16"/>
      <c r="E2843" s="16"/>
      <c r="F2843" s="17"/>
      <c r="G2843" s="17"/>
      <c r="H2843" s="18"/>
      <c r="I2843" s="16"/>
      <c r="J2843" s="16"/>
      <c r="K2843" s="4"/>
      <c r="L2843" s="4"/>
    </row>
    <row r="2844" spans="1:12" x14ac:dyDescent="0.25">
      <c r="A2844" s="16"/>
      <c r="B2844" s="16"/>
      <c r="C2844" s="16"/>
      <c r="D2844" s="16"/>
      <c r="E2844" s="16"/>
      <c r="F2844" s="17"/>
      <c r="G2844" s="17"/>
      <c r="H2844" s="18"/>
      <c r="I2844" s="16"/>
      <c r="J2844" s="16"/>
      <c r="K2844" s="4"/>
      <c r="L2844" s="4"/>
    </row>
    <row r="2845" spans="1:12" x14ac:dyDescent="0.25">
      <c r="A2845" s="16"/>
      <c r="B2845" s="16"/>
      <c r="C2845" s="16"/>
      <c r="D2845" s="16"/>
      <c r="E2845" s="16"/>
      <c r="F2845" s="17"/>
      <c r="G2845" s="17"/>
      <c r="H2845" s="18"/>
      <c r="I2845" s="16"/>
      <c r="J2845" s="16"/>
      <c r="K2845" s="4"/>
      <c r="L2845" s="4"/>
    </row>
    <row r="2846" spans="1:12" x14ac:dyDescent="0.25">
      <c r="A2846" s="16"/>
      <c r="B2846" s="16"/>
      <c r="C2846" s="16"/>
      <c r="D2846" s="16"/>
      <c r="E2846" s="16"/>
      <c r="F2846" s="17"/>
      <c r="G2846" s="17"/>
      <c r="H2846" s="18"/>
      <c r="I2846" s="16"/>
      <c r="J2846" s="16"/>
      <c r="K2846" s="4"/>
      <c r="L2846" s="4"/>
    </row>
    <row r="2847" spans="1:12" x14ac:dyDescent="0.25">
      <c r="A2847" s="16"/>
      <c r="B2847" s="16"/>
      <c r="C2847" s="16"/>
      <c r="D2847" s="16"/>
      <c r="E2847" s="16"/>
      <c r="F2847" s="17"/>
      <c r="G2847" s="17"/>
      <c r="H2847" s="18"/>
      <c r="I2847" s="16"/>
      <c r="J2847" s="16"/>
      <c r="K2847" s="4"/>
      <c r="L2847" s="4"/>
    </row>
    <row r="2848" spans="1:12" x14ac:dyDescent="0.25">
      <c r="A2848" s="16"/>
      <c r="B2848" s="16"/>
      <c r="C2848" s="16"/>
      <c r="D2848" s="16"/>
      <c r="E2848" s="16"/>
      <c r="F2848" s="17"/>
      <c r="G2848" s="17"/>
      <c r="H2848" s="18"/>
      <c r="I2848" s="16"/>
      <c r="J2848" s="16"/>
      <c r="K2848" s="4"/>
      <c r="L2848" s="4"/>
    </row>
    <row r="2849" spans="1:12" x14ac:dyDescent="0.25">
      <c r="A2849" s="16"/>
      <c r="B2849" s="16"/>
      <c r="C2849" s="16"/>
      <c r="D2849" s="16"/>
      <c r="E2849" s="16"/>
      <c r="F2849" s="17"/>
      <c r="G2849" s="17"/>
      <c r="H2849" s="18"/>
      <c r="I2849" s="16"/>
      <c r="J2849" s="16"/>
      <c r="K2849" s="4"/>
      <c r="L2849" s="4"/>
    </row>
    <row r="2850" spans="1:12" x14ac:dyDescent="0.25">
      <c r="A2850" s="16"/>
      <c r="B2850" s="16"/>
      <c r="C2850" s="16"/>
      <c r="D2850" s="16"/>
      <c r="E2850" s="16"/>
      <c r="F2850" s="17"/>
      <c r="G2850" s="17"/>
      <c r="H2850" s="18"/>
      <c r="I2850" s="16"/>
      <c r="J2850" s="16"/>
      <c r="K2850" s="4"/>
      <c r="L2850" s="4"/>
    </row>
    <row r="2851" spans="1:12" x14ac:dyDescent="0.25">
      <c r="A2851" s="16"/>
      <c r="B2851" s="16"/>
      <c r="C2851" s="16"/>
      <c r="D2851" s="16"/>
      <c r="E2851" s="16"/>
      <c r="F2851" s="17"/>
      <c r="G2851" s="17"/>
      <c r="H2851" s="18"/>
      <c r="I2851" s="16"/>
      <c r="J2851" s="16"/>
      <c r="K2851" s="4"/>
      <c r="L2851" s="4"/>
    </row>
    <row r="2852" spans="1:12" x14ac:dyDescent="0.25">
      <c r="A2852" s="16"/>
      <c r="B2852" s="16"/>
      <c r="C2852" s="16"/>
      <c r="D2852" s="16"/>
      <c r="E2852" s="16"/>
      <c r="F2852" s="17"/>
      <c r="G2852" s="17"/>
      <c r="H2852" s="18"/>
      <c r="I2852" s="16"/>
      <c r="J2852" s="16"/>
      <c r="K2852" s="4"/>
      <c r="L2852" s="4"/>
    </row>
    <row r="2853" spans="1:12" x14ac:dyDescent="0.25">
      <c r="A2853" s="16"/>
      <c r="B2853" s="16"/>
      <c r="C2853" s="16"/>
      <c r="D2853" s="16"/>
      <c r="E2853" s="16"/>
      <c r="F2853" s="17"/>
      <c r="G2853" s="17"/>
      <c r="H2853" s="18"/>
      <c r="I2853" s="16"/>
      <c r="J2853" s="16"/>
      <c r="K2853" s="4"/>
      <c r="L2853" s="4"/>
    </row>
    <row r="2854" spans="1:12" x14ac:dyDescent="0.25">
      <c r="A2854" s="16"/>
      <c r="B2854" s="16"/>
      <c r="C2854" s="16"/>
      <c r="D2854" s="16"/>
      <c r="E2854" s="16"/>
      <c r="F2854" s="17"/>
      <c r="G2854" s="17"/>
      <c r="H2854" s="18"/>
      <c r="I2854" s="16"/>
      <c r="J2854" s="16"/>
      <c r="K2854" s="4"/>
      <c r="L2854" s="4"/>
    </row>
    <row r="2855" spans="1:12" x14ac:dyDescent="0.25">
      <c r="A2855" s="16"/>
      <c r="B2855" s="16"/>
      <c r="C2855" s="16"/>
      <c r="D2855" s="16"/>
      <c r="E2855" s="16"/>
      <c r="F2855" s="17"/>
      <c r="G2855" s="17"/>
      <c r="H2855" s="18"/>
      <c r="I2855" s="16"/>
      <c r="J2855" s="16"/>
      <c r="K2855" s="4"/>
      <c r="L2855" s="4"/>
    </row>
    <row r="2856" spans="1:12" x14ac:dyDescent="0.25">
      <c r="A2856" s="16"/>
      <c r="B2856" s="16"/>
      <c r="C2856" s="16"/>
      <c r="D2856" s="16"/>
      <c r="E2856" s="16"/>
      <c r="F2856" s="17"/>
      <c r="G2856" s="17"/>
      <c r="H2856" s="18"/>
      <c r="I2856" s="16"/>
      <c r="J2856" s="16"/>
      <c r="K2856" s="4"/>
      <c r="L2856" s="4"/>
    </row>
    <row r="2857" spans="1:12" x14ac:dyDescent="0.25">
      <c r="A2857" s="16"/>
      <c r="B2857" s="16"/>
      <c r="C2857" s="16"/>
      <c r="D2857" s="16"/>
      <c r="E2857" s="16"/>
      <c r="F2857" s="17"/>
      <c r="G2857" s="17"/>
      <c r="H2857" s="18"/>
      <c r="I2857" s="16"/>
      <c r="J2857" s="16"/>
      <c r="K2857" s="4"/>
      <c r="L2857" s="4"/>
    </row>
    <row r="2858" spans="1:12" x14ac:dyDescent="0.25">
      <c r="A2858" s="16"/>
      <c r="B2858" s="16"/>
      <c r="C2858" s="16"/>
      <c r="D2858" s="16"/>
      <c r="E2858" s="16"/>
      <c r="F2858" s="17"/>
      <c r="G2858" s="17"/>
      <c r="H2858" s="18"/>
      <c r="I2858" s="16"/>
      <c r="J2858" s="16"/>
      <c r="K2858" s="4"/>
      <c r="L2858" s="4"/>
    </row>
    <row r="2859" spans="1:12" x14ac:dyDescent="0.25">
      <c r="A2859" s="16"/>
      <c r="B2859" s="16"/>
      <c r="C2859" s="16"/>
      <c r="D2859" s="16"/>
      <c r="E2859" s="16"/>
      <c r="F2859" s="17"/>
      <c r="G2859" s="17"/>
      <c r="H2859" s="18"/>
      <c r="I2859" s="16"/>
      <c r="J2859" s="16"/>
      <c r="K2859" s="4"/>
      <c r="L2859" s="4"/>
    </row>
    <row r="2860" spans="1:12" x14ac:dyDescent="0.25">
      <c r="A2860" s="16"/>
      <c r="B2860" s="16"/>
      <c r="C2860" s="16"/>
      <c r="D2860" s="16"/>
      <c r="E2860" s="16"/>
      <c r="F2860" s="17"/>
      <c r="G2860" s="17"/>
      <c r="H2860" s="18"/>
      <c r="I2860" s="16"/>
      <c r="J2860" s="16"/>
      <c r="K2860" s="4"/>
      <c r="L2860" s="4"/>
    </row>
    <row r="2861" spans="1:12" x14ac:dyDescent="0.25">
      <c r="A2861" s="16"/>
      <c r="B2861" s="16"/>
      <c r="C2861" s="16"/>
      <c r="D2861" s="16"/>
      <c r="E2861" s="16"/>
      <c r="F2861" s="17"/>
      <c r="G2861" s="17"/>
      <c r="H2861" s="18"/>
      <c r="I2861" s="16"/>
      <c r="J2861" s="16"/>
      <c r="K2861" s="4"/>
      <c r="L2861" s="4"/>
    </row>
    <row r="2862" spans="1:12" x14ac:dyDescent="0.25">
      <c r="A2862" s="16"/>
      <c r="B2862" s="16"/>
      <c r="C2862" s="16"/>
      <c r="D2862" s="16"/>
      <c r="E2862" s="16"/>
      <c r="F2862" s="17"/>
      <c r="G2862" s="17"/>
      <c r="H2862" s="18"/>
      <c r="I2862" s="16"/>
      <c r="J2862" s="16"/>
      <c r="K2862" s="4"/>
      <c r="L2862" s="4"/>
    </row>
    <row r="2863" spans="1:12" x14ac:dyDescent="0.25">
      <c r="A2863" s="16"/>
      <c r="B2863" s="16"/>
      <c r="C2863" s="16"/>
      <c r="D2863" s="16"/>
      <c r="E2863" s="16"/>
      <c r="F2863" s="17"/>
      <c r="G2863" s="17"/>
      <c r="H2863" s="18"/>
      <c r="I2863" s="16"/>
      <c r="J2863" s="16"/>
      <c r="K2863" s="4"/>
      <c r="L2863" s="4"/>
    </row>
    <row r="2864" spans="1:12" x14ac:dyDescent="0.25">
      <c r="A2864" s="16"/>
      <c r="B2864" s="16"/>
      <c r="C2864" s="16"/>
      <c r="D2864" s="16"/>
      <c r="E2864" s="16"/>
      <c r="F2864" s="17"/>
      <c r="G2864" s="17"/>
      <c r="H2864" s="18"/>
      <c r="I2864" s="16"/>
      <c r="J2864" s="16"/>
      <c r="K2864" s="4"/>
      <c r="L2864" s="4"/>
    </row>
    <row r="2865" spans="1:12" x14ac:dyDescent="0.25">
      <c r="A2865" s="16"/>
      <c r="B2865" s="16"/>
      <c r="C2865" s="16"/>
      <c r="D2865" s="16"/>
      <c r="E2865" s="16"/>
      <c r="F2865" s="17"/>
      <c r="G2865" s="17"/>
      <c r="H2865" s="18"/>
      <c r="I2865" s="16"/>
      <c r="J2865" s="16"/>
      <c r="K2865" s="4"/>
      <c r="L2865" s="4"/>
    </row>
    <row r="2866" spans="1:12" x14ac:dyDescent="0.25">
      <c r="A2866" s="16"/>
      <c r="B2866" s="16"/>
      <c r="C2866" s="16"/>
      <c r="D2866" s="16"/>
      <c r="E2866" s="16"/>
      <c r="F2866" s="17"/>
      <c r="G2866" s="17"/>
      <c r="H2866" s="18"/>
      <c r="I2866" s="16"/>
      <c r="J2866" s="16"/>
      <c r="K2866" s="4"/>
      <c r="L2866" s="4"/>
    </row>
    <row r="2867" spans="1:12" x14ac:dyDescent="0.25">
      <c r="A2867" s="16"/>
      <c r="B2867" s="16"/>
      <c r="C2867" s="16"/>
      <c r="D2867" s="16"/>
      <c r="E2867" s="16"/>
      <c r="F2867" s="17"/>
      <c r="G2867" s="17"/>
      <c r="H2867" s="18"/>
      <c r="I2867" s="16"/>
      <c r="J2867" s="16"/>
      <c r="K2867" s="4"/>
      <c r="L2867" s="4"/>
    </row>
    <row r="2868" spans="1:12" x14ac:dyDescent="0.25">
      <c r="A2868" s="16"/>
      <c r="B2868" s="16"/>
      <c r="C2868" s="16"/>
      <c r="D2868" s="16"/>
      <c r="E2868" s="16"/>
      <c r="F2868" s="17"/>
      <c r="G2868" s="17"/>
      <c r="H2868" s="18"/>
      <c r="I2868" s="16"/>
      <c r="J2868" s="16"/>
      <c r="K2868" s="4"/>
      <c r="L2868" s="4"/>
    </row>
    <row r="2869" spans="1:12" x14ac:dyDescent="0.25">
      <c r="A2869" s="16"/>
      <c r="B2869" s="16"/>
      <c r="C2869" s="16"/>
      <c r="D2869" s="16"/>
      <c r="E2869" s="16"/>
      <c r="F2869" s="17"/>
      <c r="G2869" s="17"/>
      <c r="H2869" s="18"/>
      <c r="I2869" s="16"/>
      <c r="J2869" s="16"/>
      <c r="K2869" s="4"/>
      <c r="L2869" s="4"/>
    </row>
    <row r="2870" spans="1:12" x14ac:dyDescent="0.25">
      <c r="A2870" s="16"/>
      <c r="B2870" s="16"/>
      <c r="C2870" s="16"/>
      <c r="D2870" s="16"/>
      <c r="E2870" s="16"/>
      <c r="F2870" s="17"/>
      <c r="G2870" s="17"/>
      <c r="H2870" s="18"/>
      <c r="I2870" s="16"/>
      <c r="J2870" s="16"/>
      <c r="K2870" s="4"/>
      <c r="L2870" s="4"/>
    </row>
    <row r="2871" spans="1:12" x14ac:dyDescent="0.25">
      <c r="A2871" s="16"/>
      <c r="B2871" s="16"/>
      <c r="C2871" s="16"/>
      <c r="D2871" s="16"/>
      <c r="E2871" s="16"/>
      <c r="F2871" s="17"/>
      <c r="G2871" s="17"/>
      <c r="H2871" s="18"/>
      <c r="I2871" s="16"/>
      <c r="J2871" s="16"/>
      <c r="K2871" s="4"/>
      <c r="L2871" s="4"/>
    </row>
    <row r="2872" spans="1:12" x14ac:dyDescent="0.25">
      <c r="A2872" s="16"/>
      <c r="B2872" s="16"/>
      <c r="C2872" s="16"/>
      <c r="D2872" s="16"/>
      <c r="E2872" s="16"/>
      <c r="F2872" s="17"/>
      <c r="G2872" s="17"/>
      <c r="H2872" s="18"/>
      <c r="I2872" s="16"/>
      <c r="J2872" s="16"/>
      <c r="K2872" s="4"/>
      <c r="L2872" s="4"/>
    </row>
    <row r="2873" spans="1:12" x14ac:dyDescent="0.25">
      <c r="A2873" s="16"/>
      <c r="B2873" s="16"/>
      <c r="C2873" s="16"/>
      <c r="D2873" s="16"/>
      <c r="E2873" s="16"/>
      <c r="F2873" s="17"/>
      <c r="G2873" s="17"/>
      <c r="H2873" s="18"/>
      <c r="I2873" s="16"/>
      <c r="J2873" s="16"/>
      <c r="K2873" s="4"/>
      <c r="L2873" s="4"/>
    </row>
    <row r="2874" spans="1:12" x14ac:dyDescent="0.25">
      <c r="A2874" s="16"/>
      <c r="B2874" s="16"/>
      <c r="C2874" s="16"/>
      <c r="D2874" s="16"/>
      <c r="E2874" s="16"/>
      <c r="F2874" s="17"/>
      <c r="G2874" s="17"/>
      <c r="H2874" s="18"/>
      <c r="I2874" s="16"/>
      <c r="J2874" s="16"/>
      <c r="K2874" s="16"/>
      <c r="L2874" s="4"/>
    </row>
    <row r="2875" spans="1:12" x14ac:dyDescent="0.25">
      <c r="A2875" s="16"/>
      <c r="B2875" s="16"/>
      <c r="C2875" s="16"/>
      <c r="D2875" s="16"/>
      <c r="E2875" s="16"/>
      <c r="F2875" s="17"/>
      <c r="G2875" s="17"/>
      <c r="H2875" s="18"/>
      <c r="I2875" s="16"/>
      <c r="J2875" s="16"/>
      <c r="K2875" s="16"/>
      <c r="L2875" s="4"/>
    </row>
    <row r="2876" spans="1:12" x14ac:dyDescent="0.25">
      <c r="A2876" s="16"/>
      <c r="B2876" s="16"/>
      <c r="C2876" s="16"/>
      <c r="D2876" s="16"/>
      <c r="E2876" s="16"/>
      <c r="F2876" s="17"/>
      <c r="G2876" s="17"/>
      <c r="H2876" s="18"/>
      <c r="I2876" s="16"/>
      <c r="J2876" s="16"/>
      <c r="K2876" s="16"/>
      <c r="L2876" s="4"/>
    </row>
    <row r="2877" spans="1:12" x14ac:dyDescent="0.25">
      <c r="A2877" s="16"/>
      <c r="B2877" s="16"/>
      <c r="C2877" s="16"/>
      <c r="D2877" s="16"/>
      <c r="E2877" s="16"/>
      <c r="F2877" s="17"/>
      <c r="G2877" s="17"/>
      <c r="H2877" s="18"/>
      <c r="I2877" s="16"/>
      <c r="J2877" s="16"/>
      <c r="K2877" s="16"/>
      <c r="L2877" s="4"/>
    </row>
    <row r="2878" spans="1:12" x14ac:dyDescent="0.25">
      <c r="A2878" s="16"/>
      <c r="B2878" s="16"/>
      <c r="C2878" s="16"/>
      <c r="D2878" s="16"/>
      <c r="E2878" s="16"/>
      <c r="F2878" s="17"/>
      <c r="G2878" s="17"/>
      <c r="H2878" s="18"/>
      <c r="I2878" s="16"/>
      <c r="J2878" s="16"/>
      <c r="K2878" s="16"/>
      <c r="L2878" s="4"/>
    </row>
    <row r="2879" spans="1:12" x14ac:dyDescent="0.25">
      <c r="A2879" s="16"/>
      <c r="B2879" s="16"/>
      <c r="C2879" s="16"/>
      <c r="D2879" s="16"/>
      <c r="E2879" s="16"/>
      <c r="F2879" s="17"/>
      <c r="G2879" s="17"/>
      <c r="H2879" s="18"/>
      <c r="I2879" s="16"/>
      <c r="J2879" s="16"/>
      <c r="K2879" s="16"/>
      <c r="L2879" s="4"/>
    </row>
    <row r="2880" spans="1:12" x14ac:dyDescent="0.25">
      <c r="A2880" s="16"/>
      <c r="B2880" s="16"/>
      <c r="C2880" s="16"/>
      <c r="D2880" s="16"/>
      <c r="E2880" s="16"/>
      <c r="F2880" s="17"/>
      <c r="G2880" s="17"/>
      <c r="H2880" s="18"/>
      <c r="I2880" s="16"/>
      <c r="J2880" s="16"/>
      <c r="K2880" s="16"/>
      <c r="L2880" s="4"/>
    </row>
    <row r="2881" spans="1:12" x14ac:dyDescent="0.25">
      <c r="A2881" s="16"/>
      <c r="B2881" s="16"/>
      <c r="C2881" s="16"/>
      <c r="D2881" s="16"/>
      <c r="E2881" s="16"/>
      <c r="F2881" s="17"/>
      <c r="G2881" s="17"/>
      <c r="H2881" s="18"/>
      <c r="I2881" s="16"/>
      <c r="J2881" s="16"/>
      <c r="K2881" s="16"/>
      <c r="L2881" s="4"/>
    </row>
    <row r="2882" spans="1:12" x14ac:dyDescent="0.25">
      <c r="A2882" s="16"/>
      <c r="B2882" s="16"/>
      <c r="C2882" s="16"/>
      <c r="D2882" s="16"/>
      <c r="E2882" s="16"/>
      <c r="F2882" s="17"/>
      <c r="G2882" s="17"/>
      <c r="H2882" s="18"/>
      <c r="I2882" s="16"/>
      <c r="J2882" s="16"/>
      <c r="K2882" s="16"/>
      <c r="L2882" s="4"/>
    </row>
    <row r="2883" spans="1:12" x14ac:dyDescent="0.25">
      <c r="A2883" s="16"/>
      <c r="B2883" s="16"/>
      <c r="C2883" s="16"/>
      <c r="D2883" s="16"/>
      <c r="E2883" s="16"/>
      <c r="F2883" s="17"/>
      <c r="G2883" s="17"/>
      <c r="H2883" s="18"/>
      <c r="I2883" s="16"/>
      <c r="J2883" s="16"/>
      <c r="K2883" s="16"/>
      <c r="L2883" s="4"/>
    </row>
    <row r="2884" spans="1:12" x14ac:dyDescent="0.25">
      <c r="A2884" s="16"/>
      <c r="B2884" s="16"/>
      <c r="C2884" s="16"/>
      <c r="D2884" s="16"/>
      <c r="E2884" s="16"/>
      <c r="F2884" s="17"/>
      <c r="G2884" s="17"/>
      <c r="H2884" s="18"/>
      <c r="I2884" s="16"/>
      <c r="J2884" s="16"/>
      <c r="K2884" s="16"/>
      <c r="L2884" s="4"/>
    </row>
    <row r="2885" spans="1:12" x14ac:dyDescent="0.25">
      <c r="A2885" s="16"/>
      <c r="B2885" s="16"/>
      <c r="C2885" s="16"/>
      <c r="D2885" s="16"/>
      <c r="E2885" s="16"/>
      <c r="F2885" s="17"/>
      <c r="G2885" s="17"/>
      <c r="H2885" s="18"/>
      <c r="I2885" s="16"/>
      <c r="J2885" s="16"/>
      <c r="K2885" s="16"/>
      <c r="L2885" s="4"/>
    </row>
    <row r="2886" spans="1:12" x14ac:dyDescent="0.25">
      <c r="A2886" s="16"/>
      <c r="B2886" s="16"/>
      <c r="C2886" s="16"/>
      <c r="D2886" s="16"/>
      <c r="E2886" s="16"/>
      <c r="F2886" s="17"/>
      <c r="G2886" s="17"/>
      <c r="H2886" s="18"/>
      <c r="I2886" s="16"/>
      <c r="J2886" s="16"/>
      <c r="K2886" s="16"/>
      <c r="L2886" s="4"/>
    </row>
    <row r="2887" spans="1:12" x14ac:dyDescent="0.25">
      <c r="A2887" s="16"/>
      <c r="B2887" s="16"/>
      <c r="C2887" s="16"/>
      <c r="D2887" s="16"/>
      <c r="E2887" s="16"/>
      <c r="F2887" s="17"/>
      <c r="G2887" s="17"/>
      <c r="H2887" s="18"/>
      <c r="I2887" s="16"/>
      <c r="J2887" s="16"/>
      <c r="K2887" s="16"/>
      <c r="L2887" s="4"/>
    </row>
    <row r="2888" spans="1:12" x14ac:dyDescent="0.25">
      <c r="A2888" s="16"/>
      <c r="B2888" s="16"/>
      <c r="C2888" s="16"/>
      <c r="D2888" s="16"/>
      <c r="E2888" s="16"/>
      <c r="F2888" s="17"/>
      <c r="G2888" s="17"/>
      <c r="H2888" s="18"/>
      <c r="I2888" s="16"/>
      <c r="J2888" s="16"/>
      <c r="K2888" s="16"/>
      <c r="L2888" s="4"/>
    </row>
    <row r="2889" spans="1:12" x14ac:dyDescent="0.25">
      <c r="A2889" s="16"/>
      <c r="B2889" s="16"/>
      <c r="C2889" s="16"/>
      <c r="D2889" s="16"/>
      <c r="E2889" s="16"/>
      <c r="F2889" s="17"/>
      <c r="G2889" s="17"/>
      <c r="H2889" s="18"/>
      <c r="I2889" s="16"/>
      <c r="J2889" s="16"/>
      <c r="K2889" s="16"/>
      <c r="L2889" s="4"/>
    </row>
    <row r="2890" spans="1:12" x14ac:dyDescent="0.25">
      <c r="A2890" s="19"/>
      <c r="B2890" s="19"/>
      <c r="C2890" s="19"/>
      <c r="D2890" s="19"/>
      <c r="E2890" s="19"/>
      <c r="F2890" s="20"/>
      <c r="G2890" s="20"/>
      <c r="H2890" s="21"/>
      <c r="I2890" s="19"/>
      <c r="J2890" s="19"/>
      <c r="K2890" s="19"/>
      <c r="L2890" s="4"/>
    </row>
    <row r="2891" spans="1:12" x14ac:dyDescent="0.25">
      <c r="A2891" s="19"/>
      <c r="B2891" s="19"/>
      <c r="C2891" s="19"/>
      <c r="D2891" s="19"/>
      <c r="E2891" s="19"/>
      <c r="F2891" s="20"/>
      <c r="G2891" s="20"/>
      <c r="H2891" s="21"/>
      <c r="I2891" s="19"/>
      <c r="J2891" s="19"/>
      <c r="K2891" s="19"/>
      <c r="L2891" s="4"/>
    </row>
    <row r="2892" spans="1:12" x14ac:dyDescent="0.25">
      <c r="A2892" s="19"/>
      <c r="B2892" s="19"/>
      <c r="C2892" s="19"/>
      <c r="D2892" s="19"/>
      <c r="E2892" s="19"/>
      <c r="F2892" s="20"/>
      <c r="G2892" s="20"/>
      <c r="H2892" s="21"/>
      <c r="I2892" s="19"/>
      <c r="J2892" s="19"/>
      <c r="K2892" s="19"/>
      <c r="L2892" s="4"/>
    </row>
    <row r="2893" spans="1:12" x14ac:dyDescent="0.25">
      <c r="A2893" s="19"/>
      <c r="B2893" s="19"/>
      <c r="C2893" s="19"/>
      <c r="D2893" s="19"/>
      <c r="E2893" s="19"/>
      <c r="F2893" s="20"/>
      <c r="G2893" s="20"/>
      <c r="H2893" s="21"/>
      <c r="I2893" s="19"/>
      <c r="J2893" s="19"/>
      <c r="K2893" s="19"/>
      <c r="L2893" s="4"/>
    </row>
    <row r="2894" spans="1:12" x14ac:dyDescent="0.25">
      <c r="A2894" s="19"/>
      <c r="B2894" s="19"/>
      <c r="C2894" s="19"/>
      <c r="D2894" s="19"/>
      <c r="E2894" s="19"/>
      <c r="F2894" s="20"/>
      <c r="G2894" s="20"/>
      <c r="H2894" s="21"/>
      <c r="I2894" s="19"/>
      <c r="J2894" s="19"/>
      <c r="K2894" s="19"/>
      <c r="L2894" s="4"/>
    </row>
    <row r="2895" spans="1:12" x14ac:dyDescent="0.25">
      <c r="A2895" s="19"/>
      <c r="B2895" s="19"/>
      <c r="C2895" s="19"/>
      <c r="D2895" s="19"/>
      <c r="E2895" s="19"/>
      <c r="F2895" s="20"/>
      <c r="G2895" s="20"/>
      <c r="H2895" s="21"/>
      <c r="I2895" s="19"/>
      <c r="J2895" s="19"/>
      <c r="K2895" s="19"/>
      <c r="L2895" s="4"/>
    </row>
    <row r="2896" spans="1:12" x14ac:dyDescent="0.25">
      <c r="A2896" s="19"/>
      <c r="B2896" s="19"/>
      <c r="C2896" s="19"/>
      <c r="D2896" s="19"/>
      <c r="E2896" s="19"/>
      <c r="F2896" s="20"/>
      <c r="G2896" s="20"/>
      <c r="H2896" s="21"/>
      <c r="I2896" s="19"/>
      <c r="J2896" s="19"/>
      <c r="K2896" s="19"/>
      <c r="L2896" s="4"/>
    </row>
    <row r="2897" spans="1:12" x14ac:dyDescent="0.25">
      <c r="A2897" s="19"/>
      <c r="B2897" s="19"/>
      <c r="C2897" s="19"/>
      <c r="D2897" s="19"/>
      <c r="E2897" s="19"/>
      <c r="F2897" s="20"/>
      <c r="G2897" s="20"/>
      <c r="H2897" s="21"/>
      <c r="I2897" s="19"/>
      <c r="J2897" s="19"/>
      <c r="K2897" s="19"/>
      <c r="L2897" s="4"/>
    </row>
    <row r="2898" spans="1:12" x14ac:dyDescent="0.25">
      <c r="A2898" s="19"/>
      <c r="B2898" s="19"/>
      <c r="C2898" s="19"/>
      <c r="D2898" s="19"/>
      <c r="E2898" s="19"/>
      <c r="F2898" s="20"/>
      <c r="G2898" s="20"/>
      <c r="H2898" s="21"/>
      <c r="I2898" s="19"/>
      <c r="J2898" s="19"/>
      <c r="K2898" s="19"/>
      <c r="L2898" s="4"/>
    </row>
    <row r="2899" spans="1:12" x14ac:dyDescent="0.25">
      <c r="A2899" s="19"/>
      <c r="B2899" s="19"/>
      <c r="C2899" s="19"/>
      <c r="D2899" s="19"/>
      <c r="E2899" s="19"/>
      <c r="F2899" s="20"/>
      <c r="G2899" s="20"/>
      <c r="H2899" s="21"/>
      <c r="I2899" s="19"/>
      <c r="J2899" s="19"/>
      <c r="K2899" s="19"/>
      <c r="L2899" s="4"/>
    </row>
    <row r="2900" spans="1:12" x14ac:dyDescent="0.25">
      <c r="A2900" s="19"/>
      <c r="B2900" s="19"/>
      <c r="C2900" s="19"/>
      <c r="D2900" s="19"/>
      <c r="E2900" s="19"/>
      <c r="F2900" s="20"/>
      <c r="G2900" s="20"/>
      <c r="H2900" s="21"/>
      <c r="I2900" s="19"/>
      <c r="J2900" s="19"/>
      <c r="K2900" s="19"/>
      <c r="L2900" s="4"/>
    </row>
    <row r="2901" spans="1:12" x14ac:dyDescent="0.25">
      <c r="A2901" s="19"/>
      <c r="B2901" s="19"/>
      <c r="C2901" s="19"/>
      <c r="D2901" s="19"/>
      <c r="E2901" s="19"/>
      <c r="F2901" s="20"/>
      <c r="G2901" s="20"/>
      <c r="H2901" s="21"/>
      <c r="I2901" s="19"/>
      <c r="J2901" s="19"/>
      <c r="K2901" s="19"/>
      <c r="L2901" s="4"/>
    </row>
    <row r="2902" spans="1:12" x14ac:dyDescent="0.25">
      <c r="A2902" s="19"/>
      <c r="B2902" s="19"/>
      <c r="C2902" s="19"/>
      <c r="D2902" s="19"/>
      <c r="E2902" s="19"/>
      <c r="F2902" s="20"/>
      <c r="G2902" s="20"/>
      <c r="H2902" s="21"/>
      <c r="I2902" s="19"/>
      <c r="J2902" s="19"/>
      <c r="K2902" s="19"/>
      <c r="L2902" s="4"/>
    </row>
    <row r="2903" spans="1:12" x14ac:dyDescent="0.25">
      <c r="A2903" s="19"/>
      <c r="B2903" s="19"/>
      <c r="C2903" s="19"/>
      <c r="D2903" s="19"/>
      <c r="E2903" s="19"/>
      <c r="F2903" s="20"/>
      <c r="G2903" s="20"/>
      <c r="H2903" s="21"/>
      <c r="I2903" s="19"/>
      <c r="J2903" s="19"/>
      <c r="K2903" s="19"/>
      <c r="L2903" s="4"/>
    </row>
    <row r="2904" spans="1:12" x14ac:dyDescent="0.25">
      <c r="A2904" s="19"/>
      <c r="B2904" s="19"/>
      <c r="C2904" s="19"/>
      <c r="D2904" s="19"/>
      <c r="E2904" s="19"/>
      <c r="F2904" s="20"/>
      <c r="G2904" s="20"/>
      <c r="H2904" s="21"/>
      <c r="I2904" s="19"/>
      <c r="J2904" s="19"/>
      <c r="K2904" s="19"/>
      <c r="L2904" s="4"/>
    </row>
    <row r="2905" spans="1:12" x14ac:dyDescent="0.25">
      <c r="A2905" s="19"/>
      <c r="B2905" s="19"/>
      <c r="C2905" s="19"/>
      <c r="D2905" s="19"/>
      <c r="E2905" s="19"/>
      <c r="F2905" s="20"/>
      <c r="G2905" s="20"/>
      <c r="H2905" s="21"/>
      <c r="I2905" s="19"/>
      <c r="J2905" s="19"/>
      <c r="K2905" s="19"/>
      <c r="L2905" s="4"/>
    </row>
    <row r="2906" spans="1:12" x14ac:dyDescent="0.25">
      <c r="A2906" s="19"/>
      <c r="B2906" s="19"/>
      <c r="C2906" s="19"/>
      <c r="D2906" s="19"/>
      <c r="E2906" s="19"/>
      <c r="F2906" s="20"/>
      <c r="G2906" s="20"/>
      <c r="H2906" s="21"/>
      <c r="I2906" s="19"/>
      <c r="J2906" s="19"/>
      <c r="K2906" s="4"/>
      <c r="L2906" s="4"/>
    </row>
    <row r="2907" spans="1:12" x14ac:dyDescent="0.25">
      <c r="A2907" s="19"/>
      <c r="B2907" s="19"/>
      <c r="C2907" s="19"/>
      <c r="D2907" s="19"/>
      <c r="E2907" s="19"/>
      <c r="F2907" s="20"/>
      <c r="G2907" s="20"/>
      <c r="H2907" s="21"/>
      <c r="I2907" s="19"/>
      <c r="J2907" s="19"/>
      <c r="K2907" s="4"/>
      <c r="L2907" s="4"/>
    </row>
    <row r="2908" spans="1:12" x14ac:dyDescent="0.25">
      <c r="A2908" s="19"/>
      <c r="B2908" s="19"/>
      <c r="C2908" s="19"/>
      <c r="D2908" s="19"/>
      <c r="E2908" s="19"/>
      <c r="F2908" s="20"/>
      <c r="G2908" s="20"/>
      <c r="H2908" s="21"/>
      <c r="I2908" s="19"/>
      <c r="J2908" s="19"/>
      <c r="K2908" s="4"/>
      <c r="L2908" s="4"/>
    </row>
    <row r="2909" spans="1:12" x14ac:dyDescent="0.25">
      <c r="A2909" s="19"/>
      <c r="B2909" s="19"/>
      <c r="C2909" s="19"/>
      <c r="D2909" s="19"/>
      <c r="E2909" s="19"/>
      <c r="F2909" s="20"/>
      <c r="G2909" s="20"/>
      <c r="H2909" s="21"/>
      <c r="I2909" s="19"/>
      <c r="J2909" s="19"/>
      <c r="K2909" s="4"/>
      <c r="L2909" s="4"/>
    </row>
    <row r="2910" spans="1:12" x14ac:dyDescent="0.25">
      <c r="A2910" s="19"/>
      <c r="B2910" s="19"/>
      <c r="C2910" s="19"/>
      <c r="D2910" s="19"/>
      <c r="E2910" s="19"/>
      <c r="F2910" s="20"/>
      <c r="G2910" s="20"/>
      <c r="H2910" s="21"/>
      <c r="I2910" s="19"/>
      <c r="J2910" s="19"/>
      <c r="K2910" s="4"/>
      <c r="L2910" s="4"/>
    </row>
    <row r="2911" spans="1:12" x14ac:dyDescent="0.25">
      <c r="A2911" s="19"/>
      <c r="B2911" s="19"/>
      <c r="C2911" s="19"/>
      <c r="D2911" s="19"/>
      <c r="E2911" s="19"/>
      <c r="F2911" s="20"/>
      <c r="G2911" s="20"/>
      <c r="H2911" s="21"/>
      <c r="I2911" s="19"/>
      <c r="J2911" s="19"/>
      <c r="K2911" s="4"/>
      <c r="L2911" s="4"/>
    </row>
    <row r="2912" spans="1:12" x14ac:dyDescent="0.25">
      <c r="A2912" s="19"/>
      <c r="B2912" s="19"/>
      <c r="C2912" s="19"/>
      <c r="D2912" s="19"/>
      <c r="E2912" s="19"/>
      <c r="F2912" s="20"/>
      <c r="G2912" s="20"/>
      <c r="H2912" s="21"/>
      <c r="I2912" s="19"/>
      <c r="J2912" s="19"/>
      <c r="K2912" s="4"/>
      <c r="L2912" s="4"/>
    </row>
    <row r="2913" spans="1:12" x14ac:dyDescent="0.25">
      <c r="A2913" s="19"/>
      <c r="B2913" s="19"/>
      <c r="C2913" s="19"/>
      <c r="D2913" s="19"/>
      <c r="E2913" s="19"/>
      <c r="F2913" s="20"/>
      <c r="G2913" s="20"/>
      <c r="H2913" s="21"/>
      <c r="I2913" s="19"/>
      <c r="J2913" s="19"/>
      <c r="K2913" s="4"/>
      <c r="L2913" s="4"/>
    </row>
    <row r="2914" spans="1:12" x14ac:dyDescent="0.25">
      <c r="A2914" s="19"/>
      <c r="B2914" s="19"/>
      <c r="C2914" s="19"/>
      <c r="D2914" s="19"/>
      <c r="E2914" s="19"/>
      <c r="F2914" s="20"/>
      <c r="G2914" s="20"/>
      <c r="H2914" s="21"/>
      <c r="I2914" s="19"/>
      <c r="J2914" s="19"/>
      <c r="K2914" s="4"/>
      <c r="L2914" s="4"/>
    </row>
    <row r="2915" spans="1:12" x14ac:dyDescent="0.25">
      <c r="A2915" s="19"/>
      <c r="B2915" s="19"/>
      <c r="C2915" s="19"/>
      <c r="D2915" s="19"/>
      <c r="E2915" s="19"/>
      <c r="F2915" s="20"/>
      <c r="G2915" s="20"/>
      <c r="H2915" s="21"/>
      <c r="I2915" s="19"/>
      <c r="J2915" s="19"/>
      <c r="K2915" s="4"/>
      <c r="L2915" s="4"/>
    </row>
    <row r="2916" spans="1:12" x14ac:dyDescent="0.25">
      <c r="A2916" s="19"/>
      <c r="B2916" s="19"/>
      <c r="C2916" s="19"/>
      <c r="D2916" s="19"/>
      <c r="E2916" s="19"/>
      <c r="F2916" s="20"/>
      <c r="G2916" s="20"/>
      <c r="H2916" s="21"/>
      <c r="I2916" s="19"/>
      <c r="J2916" s="19"/>
      <c r="K2916" s="4"/>
      <c r="L2916" s="4"/>
    </row>
    <row r="2917" spans="1:12" x14ac:dyDescent="0.25">
      <c r="A2917" s="19"/>
      <c r="B2917" s="19"/>
      <c r="C2917" s="19"/>
      <c r="D2917" s="19"/>
      <c r="E2917" s="19"/>
      <c r="F2917" s="20"/>
      <c r="G2917" s="20"/>
      <c r="H2917" s="21"/>
      <c r="I2917" s="19"/>
      <c r="J2917" s="19"/>
      <c r="K2917" s="4"/>
      <c r="L2917" s="4"/>
    </row>
    <row r="2918" spans="1:12" x14ac:dyDescent="0.25">
      <c r="A2918" s="19"/>
      <c r="B2918" s="19"/>
      <c r="C2918" s="19"/>
      <c r="D2918" s="19"/>
      <c r="E2918" s="19"/>
      <c r="F2918" s="20"/>
      <c r="G2918" s="20"/>
      <c r="H2918" s="21"/>
      <c r="I2918" s="19"/>
      <c r="J2918" s="19"/>
      <c r="K2918" s="4"/>
      <c r="L2918" s="4"/>
    </row>
    <row r="2919" spans="1:12" x14ac:dyDescent="0.25">
      <c r="A2919" s="19"/>
      <c r="B2919" s="19"/>
      <c r="C2919" s="19"/>
      <c r="D2919" s="19"/>
      <c r="E2919" s="19"/>
      <c r="F2919" s="20"/>
      <c r="G2919" s="20"/>
      <c r="H2919" s="21"/>
      <c r="I2919" s="19"/>
      <c r="J2919" s="19"/>
      <c r="K2919" s="4"/>
      <c r="L2919" s="4"/>
    </row>
    <row r="2920" spans="1:12" x14ac:dyDescent="0.25">
      <c r="A2920" s="19"/>
      <c r="B2920" s="19"/>
      <c r="C2920" s="19"/>
      <c r="D2920" s="19"/>
      <c r="E2920" s="19"/>
      <c r="F2920" s="20"/>
      <c r="G2920" s="20"/>
      <c r="H2920" s="21"/>
      <c r="I2920" s="19"/>
      <c r="J2920" s="19"/>
      <c r="K2920" s="4"/>
      <c r="L2920" s="4"/>
    </row>
    <row r="2921" spans="1:12" x14ac:dyDescent="0.25">
      <c r="A2921" s="19"/>
      <c r="B2921" s="19"/>
      <c r="C2921" s="19"/>
      <c r="D2921" s="19"/>
      <c r="E2921" s="19"/>
      <c r="F2921" s="20"/>
      <c r="G2921" s="20"/>
      <c r="H2921" s="21"/>
      <c r="I2921" s="19"/>
      <c r="J2921" s="19"/>
      <c r="K2921" s="4"/>
      <c r="L2921" s="4"/>
    </row>
    <row r="2922" spans="1:12" x14ac:dyDescent="0.25">
      <c r="A2922" s="19"/>
      <c r="B2922" s="19"/>
      <c r="C2922" s="19"/>
      <c r="D2922" s="19"/>
      <c r="E2922" s="19"/>
      <c r="F2922" s="20"/>
      <c r="G2922" s="20"/>
      <c r="H2922" s="21"/>
      <c r="I2922" s="19"/>
      <c r="J2922" s="19"/>
      <c r="K2922" s="4"/>
      <c r="L2922" s="4"/>
    </row>
    <row r="2923" spans="1:12" x14ac:dyDescent="0.25">
      <c r="A2923" s="19"/>
      <c r="B2923" s="19"/>
      <c r="C2923" s="19"/>
      <c r="D2923" s="19"/>
      <c r="E2923" s="19"/>
      <c r="F2923" s="20"/>
      <c r="G2923" s="20"/>
      <c r="H2923" s="21"/>
      <c r="I2923" s="19"/>
      <c r="J2923" s="19"/>
      <c r="K2923" s="4"/>
      <c r="L2923" s="4"/>
    </row>
    <row r="2924" spans="1:12" x14ac:dyDescent="0.25">
      <c r="A2924" s="19"/>
      <c r="B2924" s="19"/>
      <c r="C2924" s="19"/>
      <c r="D2924" s="19"/>
      <c r="E2924" s="19"/>
      <c r="F2924" s="20"/>
      <c r="G2924" s="20"/>
      <c r="H2924" s="21"/>
      <c r="I2924" s="19"/>
      <c r="J2924" s="19"/>
      <c r="K2924" s="4"/>
      <c r="L2924" s="4"/>
    </row>
    <row r="2925" spans="1:12" x14ac:dyDescent="0.25">
      <c r="A2925" s="19"/>
      <c r="B2925" s="19"/>
      <c r="C2925" s="19"/>
      <c r="D2925" s="19"/>
      <c r="E2925" s="19"/>
      <c r="F2925" s="20"/>
      <c r="G2925" s="20"/>
      <c r="H2925" s="21"/>
      <c r="I2925" s="19"/>
      <c r="J2925" s="19"/>
      <c r="K2925" s="4"/>
      <c r="L2925" s="4"/>
    </row>
    <row r="2926" spans="1:12" x14ac:dyDescent="0.25">
      <c r="A2926" s="19"/>
      <c r="B2926" s="19"/>
      <c r="C2926" s="19"/>
      <c r="D2926" s="19"/>
      <c r="E2926" s="19"/>
      <c r="F2926" s="20"/>
      <c r="G2926" s="20"/>
      <c r="H2926" s="21"/>
      <c r="I2926" s="19"/>
      <c r="J2926" s="19"/>
      <c r="K2926" s="4"/>
      <c r="L2926" s="4"/>
    </row>
    <row r="2927" spans="1:12" x14ac:dyDescent="0.25">
      <c r="A2927" s="19"/>
      <c r="B2927" s="19"/>
      <c r="C2927" s="19"/>
      <c r="D2927" s="19"/>
      <c r="E2927" s="19"/>
      <c r="F2927" s="20"/>
      <c r="G2927" s="20"/>
      <c r="H2927" s="21"/>
      <c r="I2927" s="19"/>
      <c r="J2927" s="19"/>
      <c r="K2927" s="4"/>
      <c r="L2927" s="4"/>
    </row>
    <row r="2928" spans="1:12" x14ac:dyDescent="0.25">
      <c r="A2928" s="19"/>
      <c r="B2928" s="19"/>
      <c r="C2928" s="19"/>
      <c r="D2928" s="19"/>
      <c r="E2928" s="19"/>
      <c r="F2928" s="20"/>
      <c r="G2928" s="20"/>
      <c r="H2928" s="21"/>
      <c r="I2928" s="19"/>
      <c r="J2928" s="19"/>
      <c r="K2928" s="4"/>
      <c r="L2928" s="4"/>
    </row>
    <row r="2929" spans="1:12" x14ac:dyDescent="0.25">
      <c r="A2929" s="19"/>
      <c r="B2929" s="19"/>
      <c r="C2929" s="19"/>
      <c r="D2929" s="19"/>
      <c r="E2929" s="19"/>
      <c r="F2929" s="20"/>
      <c r="G2929" s="20"/>
      <c r="H2929" s="21"/>
      <c r="I2929" s="19"/>
      <c r="J2929" s="19"/>
      <c r="K2929" s="4"/>
      <c r="L2929" s="4"/>
    </row>
    <row r="2930" spans="1:12" x14ac:dyDescent="0.25">
      <c r="A2930" s="19"/>
      <c r="B2930" s="19"/>
      <c r="C2930" s="19"/>
      <c r="D2930" s="19"/>
      <c r="E2930" s="19"/>
      <c r="F2930" s="20"/>
      <c r="G2930" s="20"/>
      <c r="H2930" s="21"/>
      <c r="I2930" s="19"/>
      <c r="J2930" s="19"/>
      <c r="K2930" s="4"/>
      <c r="L2930" s="4"/>
    </row>
    <row r="2931" spans="1:12" x14ac:dyDescent="0.25">
      <c r="A2931" s="19"/>
      <c r="B2931" s="19"/>
      <c r="C2931" s="19"/>
      <c r="D2931" s="19"/>
      <c r="E2931" s="19"/>
      <c r="F2931" s="20"/>
      <c r="G2931" s="20"/>
      <c r="H2931" s="21"/>
      <c r="I2931" s="19"/>
      <c r="J2931" s="19"/>
      <c r="K2931" s="4"/>
      <c r="L2931" s="4"/>
    </row>
    <row r="2932" spans="1:12" x14ac:dyDescent="0.25">
      <c r="A2932" s="19"/>
      <c r="B2932" s="19"/>
      <c r="C2932" s="19"/>
      <c r="D2932" s="19"/>
      <c r="E2932" s="19"/>
      <c r="F2932" s="20"/>
      <c r="G2932" s="20"/>
      <c r="H2932" s="21"/>
      <c r="I2932" s="19"/>
      <c r="J2932" s="19"/>
      <c r="K2932" s="4"/>
      <c r="L2932" s="4"/>
    </row>
    <row r="2933" spans="1:12" x14ac:dyDescent="0.25">
      <c r="A2933" s="19"/>
      <c r="B2933" s="19"/>
      <c r="C2933" s="19"/>
      <c r="D2933" s="19"/>
      <c r="E2933" s="19"/>
      <c r="F2933" s="20"/>
      <c r="G2933" s="20"/>
      <c r="H2933" s="21"/>
      <c r="I2933" s="19"/>
      <c r="J2933" s="19"/>
      <c r="K2933" s="4"/>
      <c r="L2933" s="4"/>
    </row>
    <row r="2934" spans="1:12" x14ac:dyDescent="0.25">
      <c r="A2934" s="19"/>
      <c r="B2934" s="19"/>
      <c r="C2934" s="19"/>
      <c r="D2934" s="19"/>
      <c r="E2934" s="19"/>
      <c r="F2934" s="20"/>
      <c r="G2934" s="20"/>
      <c r="H2934" s="21"/>
      <c r="I2934" s="19"/>
      <c r="J2934" s="19"/>
      <c r="K2934" s="4"/>
      <c r="L2934" s="4"/>
    </row>
    <row r="2935" spans="1:12" x14ac:dyDescent="0.25">
      <c r="A2935" s="19"/>
      <c r="B2935" s="19"/>
      <c r="C2935" s="19"/>
      <c r="D2935" s="19"/>
      <c r="E2935" s="19"/>
      <c r="F2935" s="20"/>
      <c r="G2935" s="20"/>
      <c r="H2935" s="21"/>
      <c r="I2935" s="19"/>
      <c r="J2935" s="19"/>
      <c r="K2935" s="4"/>
      <c r="L2935" s="4"/>
    </row>
    <row r="2936" spans="1:12" x14ac:dyDescent="0.25">
      <c r="A2936" s="19"/>
      <c r="B2936" s="19"/>
      <c r="C2936" s="19"/>
      <c r="D2936" s="19"/>
      <c r="E2936" s="19"/>
      <c r="F2936" s="20"/>
      <c r="G2936" s="20"/>
      <c r="H2936" s="21"/>
      <c r="I2936" s="19"/>
      <c r="J2936" s="19"/>
      <c r="K2936" s="4"/>
      <c r="L2936" s="4"/>
    </row>
    <row r="2937" spans="1:12" x14ac:dyDescent="0.25">
      <c r="A2937" s="19"/>
      <c r="B2937" s="19"/>
      <c r="C2937" s="19"/>
      <c r="D2937" s="19"/>
      <c r="E2937" s="19"/>
      <c r="F2937" s="20"/>
      <c r="G2937" s="20"/>
      <c r="H2937" s="21"/>
      <c r="I2937" s="19"/>
      <c r="J2937" s="19"/>
      <c r="K2937" s="4"/>
      <c r="L2937" s="4"/>
    </row>
    <row r="2938" spans="1:12" x14ac:dyDescent="0.25">
      <c r="A2938" s="19"/>
      <c r="B2938" s="19"/>
      <c r="C2938" s="19"/>
      <c r="D2938" s="19"/>
      <c r="E2938" s="19"/>
      <c r="F2938" s="20"/>
      <c r="G2938" s="20"/>
      <c r="H2938" s="21"/>
      <c r="I2938" s="19"/>
      <c r="J2938" s="19"/>
      <c r="K2938" s="4"/>
      <c r="L2938" s="4"/>
    </row>
    <row r="2939" spans="1:12" x14ac:dyDescent="0.25">
      <c r="A2939" s="19"/>
      <c r="B2939" s="19"/>
      <c r="C2939" s="19"/>
      <c r="D2939" s="19"/>
      <c r="E2939" s="19"/>
      <c r="F2939" s="20"/>
      <c r="G2939" s="20"/>
      <c r="H2939" s="21"/>
      <c r="I2939" s="19"/>
      <c r="J2939" s="19"/>
      <c r="K2939" s="4"/>
      <c r="L2939" s="4"/>
    </row>
    <row r="2940" spans="1:12" x14ac:dyDescent="0.25">
      <c r="A2940" s="19"/>
      <c r="B2940" s="19"/>
      <c r="C2940" s="19"/>
      <c r="D2940" s="19"/>
      <c r="E2940" s="19"/>
      <c r="F2940" s="20"/>
      <c r="G2940" s="20"/>
      <c r="H2940" s="21"/>
      <c r="I2940" s="19"/>
      <c r="J2940" s="19"/>
      <c r="K2940" s="4"/>
      <c r="L2940" s="4"/>
    </row>
    <row r="2941" spans="1:12" x14ac:dyDescent="0.25">
      <c r="A2941" s="19"/>
      <c r="B2941" s="19"/>
      <c r="C2941" s="19"/>
      <c r="D2941" s="19"/>
      <c r="E2941" s="19"/>
      <c r="F2941" s="20"/>
      <c r="G2941" s="20"/>
      <c r="H2941" s="21"/>
      <c r="I2941" s="19"/>
      <c r="J2941" s="19"/>
      <c r="K2941" s="4"/>
      <c r="L2941" s="4"/>
    </row>
    <row r="2942" spans="1:12" x14ac:dyDescent="0.25">
      <c r="A2942" s="19"/>
      <c r="B2942" s="19"/>
      <c r="C2942" s="19"/>
      <c r="D2942" s="19"/>
      <c r="E2942" s="19"/>
      <c r="F2942" s="20"/>
      <c r="G2942" s="20"/>
      <c r="H2942" s="21"/>
      <c r="I2942" s="19"/>
      <c r="J2942" s="19"/>
      <c r="K2942" s="4"/>
      <c r="L2942" s="4"/>
    </row>
    <row r="2943" spans="1:12" x14ac:dyDescent="0.25">
      <c r="A2943" s="19"/>
      <c r="B2943" s="19"/>
      <c r="C2943" s="19"/>
      <c r="D2943" s="19"/>
      <c r="E2943" s="19"/>
      <c r="F2943" s="20"/>
      <c r="G2943" s="20"/>
      <c r="H2943" s="21"/>
      <c r="I2943" s="19"/>
      <c r="J2943" s="19"/>
      <c r="K2943" s="4"/>
      <c r="L2943" s="4"/>
    </row>
    <row r="2944" spans="1:12" x14ac:dyDescent="0.25">
      <c r="A2944" s="19"/>
      <c r="B2944" s="19"/>
      <c r="C2944" s="19"/>
      <c r="D2944" s="19"/>
      <c r="E2944" s="19"/>
      <c r="F2944" s="20"/>
      <c r="G2944" s="20"/>
      <c r="H2944" s="21"/>
      <c r="I2944" s="19"/>
      <c r="J2944" s="19"/>
      <c r="K2944" s="4"/>
      <c r="L2944" s="4"/>
    </row>
    <row r="2945" spans="1:12" x14ac:dyDescent="0.25">
      <c r="A2945" s="19"/>
      <c r="B2945" s="19"/>
      <c r="C2945" s="19"/>
      <c r="D2945" s="19"/>
      <c r="E2945" s="19"/>
      <c r="F2945" s="20"/>
      <c r="G2945" s="20"/>
      <c r="H2945" s="21"/>
      <c r="I2945" s="19"/>
      <c r="J2945" s="19"/>
      <c r="K2945" s="4"/>
      <c r="L2945" s="4"/>
    </row>
    <row r="2946" spans="1:12" x14ac:dyDescent="0.25">
      <c r="A2946" s="19"/>
      <c r="B2946" s="19"/>
      <c r="C2946" s="19"/>
      <c r="D2946" s="19"/>
      <c r="E2946" s="19"/>
      <c r="F2946" s="20"/>
      <c r="G2946" s="20"/>
      <c r="H2946" s="21"/>
      <c r="I2946" s="19"/>
      <c r="J2946" s="19"/>
      <c r="K2946" s="4"/>
      <c r="L2946" s="4"/>
    </row>
    <row r="2947" spans="1:12" x14ac:dyDescent="0.25">
      <c r="A2947" s="19"/>
      <c r="B2947" s="19"/>
      <c r="C2947" s="19"/>
      <c r="D2947" s="19"/>
      <c r="E2947" s="19"/>
      <c r="F2947" s="20"/>
      <c r="G2947" s="20"/>
      <c r="H2947" s="21"/>
      <c r="I2947" s="19"/>
      <c r="J2947" s="19"/>
      <c r="K2947" s="4"/>
      <c r="L2947" s="4"/>
    </row>
    <row r="2948" spans="1:12" x14ac:dyDescent="0.25">
      <c r="A2948" s="19"/>
      <c r="B2948" s="19"/>
      <c r="C2948" s="19"/>
      <c r="D2948" s="19"/>
      <c r="E2948" s="19"/>
      <c r="F2948" s="20"/>
      <c r="G2948" s="20"/>
      <c r="H2948" s="21"/>
      <c r="I2948" s="19"/>
      <c r="J2948" s="19"/>
      <c r="K2948" s="4"/>
      <c r="L2948" s="4"/>
    </row>
    <row r="2949" spans="1:12" x14ac:dyDescent="0.25">
      <c r="A2949" s="19"/>
      <c r="B2949" s="19"/>
      <c r="C2949" s="19"/>
      <c r="D2949" s="19"/>
      <c r="E2949" s="19"/>
      <c r="F2949" s="20"/>
      <c r="G2949" s="20"/>
      <c r="H2949" s="21"/>
      <c r="I2949" s="19"/>
      <c r="J2949" s="19"/>
      <c r="K2949" s="4"/>
      <c r="L2949" s="4"/>
    </row>
    <row r="2950" spans="1:12" x14ac:dyDescent="0.25">
      <c r="A2950" s="19"/>
      <c r="B2950" s="19"/>
      <c r="C2950" s="19"/>
      <c r="D2950" s="19"/>
      <c r="E2950" s="19"/>
      <c r="F2950" s="20"/>
      <c r="G2950" s="20"/>
      <c r="H2950" s="21"/>
      <c r="I2950" s="19"/>
      <c r="J2950" s="19"/>
      <c r="K2950" s="4"/>
      <c r="L2950" s="4"/>
    </row>
    <row r="2951" spans="1:12" x14ac:dyDescent="0.25">
      <c r="A2951" s="19"/>
      <c r="B2951" s="19"/>
      <c r="C2951" s="19"/>
      <c r="D2951" s="19"/>
      <c r="E2951" s="19"/>
      <c r="F2951" s="20"/>
      <c r="G2951" s="20"/>
      <c r="H2951" s="21"/>
      <c r="I2951" s="19"/>
      <c r="J2951" s="19"/>
      <c r="K2951" s="4"/>
      <c r="L2951" s="4"/>
    </row>
    <row r="2952" spans="1:12" x14ac:dyDescent="0.25">
      <c r="A2952" s="19"/>
      <c r="B2952" s="19"/>
      <c r="C2952" s="19"/>
      <c r="D2952" s="19"/>
      <c r="E2952" s="19"/>
      <c r="F2952" s="20"/>
      <c r="G2952" s="20"/>
      <c r="H2952" s="21"/>
      <c r="I2952" s="19"/>
      <c r="J2952" s="19"/>
      <c r="K2952" s="4"/>
      <c r="L2952" s="4"/>
    </row>
    <row r="2953" spans="1:12" x14ac:dyDescent="0.25">
      <c r="A2953" s="19"/>
      <c r="B2953" s="19"/>
      <c r="C2953" s="19"/>
      <c r="D2953" s="19"/>
      <c r="E2953" s="19"/>
      <c r="F2953" s="20"/>
      <c r="G2953" s="20"/>
      <c r="H2953" s="21"/>
      <c r="I2953" s="19"/>
      <c r="J2953" s="19"/>
      <c r="K2953" s="4"/>
      <c r="L2953" s="4"/>
    </row>
    <row r="2954" spans="1:12" x14ac:dyDescent="0.25">
      <c r="A2954" s="19"/>
      <c r="B2954" s="19"/>
      <c r="C2954" s="19"/>
      <c r="D2954" s="19"/>
      <c r="E2954" s="19"/>
      <c r="F2954" s="20"/>
      <c r="G2954" s="20"/>
      <c r="H2954" s="21"/>
      <c r="I2954" s="19"/>
      <c r="J2954" s="19"/>
      <c r="K2954" s="4"/>
      <c r="L2954" s="4"/>
    </row>
    <row r="2955" spans="1:12" x14ac:dyDescent="0.25">
      <c r="A2955" s="19"/>
      <c r="B2955" s="19"/>
      <c r="C2955" s="19"/>
      <c r="D2955" s="19"/>
      <c r="E2955" s="19"/>
      <c r="F2955" s="20"/>
      <c r="G2955" s="20"/>
      <c r="H2955" s="21"/>
      <c r="I2955" s="19"/>
      <c r="J2955" s="19"/>
      <c r="K2955" s="4"/>
      <c r="L2955" s="4"/>
    </row>
    <row r="2956" spans="1:12" x14ac:dyDescent="0.25">
      <c r="A2956" s="19"/>
      <c r="B2956" s="19"/>
      <c r="C2956" s="19"/>
      <c r="D2956" s="19"/>
      <c r="E2956" s="19"/>
      <c r="F2956" s="20"/>
      <c r="G2956" s="20"/>
      <c r="H2956" s="21"/>
      <c r="I2956" s="19"/>
      <c r="J2956" s="19"/>
      <c r="K2956" s="4"/>
      <c r="L2956" s="4"/>
    </row>
    <row r="2957" spans="1:12" x14ac:dyDescent="0.25">
      <c r="A2957" s="19"/>
      <c r="B2957" s="19"/>
      <c r="C2957" s="19"/>
      <c r="D2957" s="19"/>
      <c r="E2957" s="19"/>
      <c r="F2957" s="20"/>
      <c r="G2957" s="20"/>
      <c r="H2957" s="21"/>
      <c r="I2957" s="19"/>
      <c r="J2957" s="19"/>
      <c r="K2957" s="4"/>
      <c r="L2957" s="4"/>
    </row>
    <row r="2958" spans="1:12" x14ac:dyDescent="0.25">
      <c r="A2958" s="19"/>
      <c r="B2958" s="19"/>
      <c r="C2958" s="19"/>
      <c r="D2958" s="19"/>
      <c r="E2958" s="19"/>
      <c r="F2958" s="20"/>
      <c r="G2958" s="20"/>
      <c r="H2958" s="21"/>
      <c r="I2958" s="19"/>
      <c r="J2958" s="19"/>
      <c r="K2958" s="4"/>
      <c r="L2958" s="4"/>
    </row>
    <row r="2959" spans="1:12" x14ac:dyDescent="0.25">
      <c r="A2959" s="19"/>
      <c r="B2959" s="19"/>
      <c r="C2959" s="19"/>
      <c r="D2959" s="19"/>
      <c r="E2959" s="19"/>
      <c r="F2959" s="20"/>
      <c r="G2959" s="20"/>
      <c r="H2959" s="21"/>
      <c r="I2959" s="19"/>
      <c r="J2959" s="19"/>
      <c r="K2959" s="4"/>
      <c r="L2959" s="4"/>
    </row>
    <row r="2960" spans="1:12" x14ac:dyDescent="0.25">
      <c r="A2960" s="19"/>
      <c r="B2960" s="19"/>
      <c r="C2960" s="19"/>
      <c r="D2960" s="19"/>
      <c r="E2960" s="19"/>
      <c r="F2960" s="20"/>
      <c r="G2960" s="20"/>
      <c r="H2960" s="21"/>
      <c r="I2960" s="19"/>
      <c r="J2960" s="19"/>
      <c r="K2960" s="4"/>
      <c r="L2960" s="4"/>
    </row>
    <row r="2961" spans="1:12" x14ac:dyDescent="0.25">
      <c r="A2961" s="19"/>
      <c r="B2961" s="19"/>
      <c r="C2961" s="19"/>
      <c r="D2961" s="19"/>
      <c r="E2961" s="19"/>
      <c r="F2961" s="20"/>
      <c r="G2961" s="20"/>
      <c r="H2961" s="21"/>
      <c r="I2961" s="19"/>
      <c r="J2961" s="19"/>
      <c r="K2961" s="4"/>
      <c r="L2961" s="4"/>
    </row>
    <row r="2962" spans="1:12" x14ac:dyDescent="0.25">
      <c r="A2962" s="19"/>
      <c r="B2962" s="19"/>
      <c r="C2962" s="19"/>
      <c r="D2962" s="19"/>
      <c r="E2962" s="19"/>
      <c r="F2962" s="20"/>
      <c r="G2962" s="20"/>
      <c r="H2962" s="21"/>
      <c r="I2962" s="19"/>
      <c r="J2962" s="19"/>
      <c r="K2962" s="4"/>
      <c r="L2962" s="4"/>
    </row>
    <row r="2963" spans="1:12" x14ac:dyDescent="0.25">
      <c r="A2963" s="19"/>
      <c r="B2963" s="19"/>
      <c r="C2963" s="19"/>
      <c r="D2963" s="19"/>
      <c r="E2963" s="19"/>
      <c r="F2963" s="20"/>
      <c r="G2963" s="20"/>
      <c r="H2963" s="21"/>
      <c r="I2963" s="19"/>
      <c r="J2963" s="19"/>
      <c r="K2963" s="4"/>
      <c r="L2963" s="4"/>
    </row>
    <row r="2964" spans="1:12" x14ac:dyDescent="0.25">
      <c r="A2964" s="19"/>
      <c r="B2964" s="19"/>
      <c r="C2964" s="19"/>
      <c r="D2964" s="19"/>
      <c r="E2964" s="19"/>
      <c r="F2964" s="20"/>
      <c r="G2964" s="20"/>
      <c r="H2964" s="21"/>
      <c r="I2964" s="19"/>
      <c r="J2964" s="19"/>
      <c r="K2964" s="4"/>
      <c r="L2964" s="4"/>
    </row>
    <row r="2965" spans="1:12" x14ac:dyDescent="0.25">
      <c r="A2965" s="19"/>
      <c r="B2965" s="19"/>
      <c r="C2965" s="19"/>
      <c r="D2965" s="19"/>
      <c r="E2965" s="19"/>
      <c r="F2965" s="20"/>
      <c r="G2965" s="20"/>
      <c r="H2965" s="21"/>
      <c r="I2965" s="19"/>
      <c r="J2965" s="19"/>
      <c r="K2965" s="4"/>
      <c r="L2965" s="4"/>
    </row>
    <row r="2966" spans="1:12" x14ac:dyDescent="0.25">
      <c r="A2966" s="19"/>
      <c r="B2966" s="19"/>
      <c r="C2966" s="19"/>
      <c r="D2966" s="19"/>
      <c r="E2966" s="19"/>
      <c r="F2966" s="20"/>
      <c r="G2966" s="20"/>
      <c r="H2966" s="21"/>
      <c r="I2966" s="19"/>
      <c r="J2966" s="19"/>
      <c r="K2966" s="4"/>
      <c r="L2966" s="4"/>
    </row>
    <row r="2967" spans="1:12" x14ac:dyDescent="0.25">
      <c r="A2967" s="19"/>
      <c r="B2967" s="19"/>
      <c r="C2967" s="19"/>
      <c r="D2967" s="19"/>
      <c r="E2967" s="19"/>
      <c r="F2967" s="20"/>
      <c r="G2967" s="20"/>
      <c r="H2967" s="21"/>
      <c r="I2967" s="19"/>
      <c r="J2967" s="19"/>
      <c r="K2967" s="4"/>
      <c r="L2967" s="4"/>
    </row>
    <row r="2968" spans="1:12" x14ac:dyDescent="0.25">
      <c r="A2968" s="19"/>
      <c r="B2968" s="19"/>
      <c r="C2968" s="19"/>
      <c r="D2968" s="19"/>
      <c r="E2968" s="19"/>
      <c r="F2968" s="20"/>
      <c r="G2968" s="20"/>
      <c r="H2968" s="21"/>
      <c r="I2968" s="19"/>
      <c r="J2968" s="19"/>
      <c r="K2968" s="4"/>
      <c r="L2968" s="4"/>
    </row>
    <row r="2969" spans="1:12" x14ac:dyDescent="0.25">
      <c r="A2969" s="19"/>
      <c r="B2969" s="19"/>
      <c r="C2969" s="19"/>
      <c r="D2969" s="19"/>
      <c r="E2969" s="19"/>
      <c r="F2969" s="20"/>
      <c r="G2969" s="20"/>
      <c r="H2969" s="21"/>
      <c r="I2969" s="19"/>
      <c r="J2969" s="19"/>
      <c r="K2969" s="4"/>
      <c r="L2969" s="4"/>
    </row>
    <row r="2970" spans="1:12" x14ac:dyDescent="0.25">
      <c r="A2970" s="19"/>
      <c r="B2970" s="19"/>
      <c r="C2970" s="19"/>
      <c r="D2970" s="19"/>
      <c r="E2970" s="19"/>
      <c r="F2970" s="20"/>
      <c r="G2970" s="20"/>
      <c r="H2970" s="21"/>
      <c r="I2970" s="19"/>
      <c r="J2970" s="19"/>
      <c r="K2970" s="4"/>
      <c r="L2970" s="4"/>
    </row>
    <row r="2971" spans="1:12" x14ac:dyDescent="0.25">
      <c r="A2971" s="19"/>
      <c r="B2971" s="19"/>
      <c r="C2971" s="19"/>
      <c r="D2971" s="19"/>
      <c r="E2971" s="19"/>
      <c r="F2971" s="20"/>
      <c r="G2971" s="20"/>
      <c r="H2971" s="21"/>
      <c r="I2971" s="19"/>
      <c r="J2971" s="19"/>
      <c r="K2971" s="4"/>
      <c r="L2971" s="4"/>
    </row>
    <row r="2972" spans="1:12" x14ac:dyDescent="0.25">
      <c r="A2972" s="19"/>
      <c r="B2972" s="19"/>
      <c r="C2972" s="19"/>
      <c r="D2972" s="19"/>
      <c r="E2972" s="19"/>
      <c r="F2972" s="20"/>
      <c r="G2972" s="20"/>
      <c r="H2972" s="21"/>
      <c r="I2972" s="19"/>
      <c r="J2972" s="19"/>
      <c r="K2972" s="4"/>
      <c r="L2972" s="4"/>
    </row>
    <row r="2973" spans="1:12" x14ac:dyDescent="0.25">
      <c r="A2973" s="19"/>
      <c r="B2973" s="19"/>
      <c r="C2973" s="19"/>
      <c r="D2973" s="19"/>
      <c r="E2973" s="19"/>
      <c r="F2973" s="20"/>
      <c r="G2973" s="20"/>
      <c r="H2973" s="21"/>
      <c r="I2973" s="19"/>
      <c r="J2973" s="19"/>
      <c r="K2973" s="4"/>
      <c r="L2973" s="4"/>
    </row>
    <row r="2974" spans="1:12" x14ac:dyDescent="0.25">
      <c r="A2974" s="19"/>
      <c r="B2974" s="19"/>
      <c r="C2974" s="19"/>
      <c r="D2974" s="19"/>
      <c r="E2974" s="19"/>
      <c r="F2974" s="20"/>
      <c r="G2974" s="20"/>
      <c r="H2974" s="21"/>
      <c r="I2974" s="19"/>
      <c r="J2974" s="19"/>
      <c r="K2974" s="4"/>
      <c r="L2974" s="4"/>
    </row>
    <row r="2975" spans="1:12" x14ac:dyDescent="0.25">
      <c r="A2975" s="19"/>
      <c r="B2975" s="19"/>
      <c r="C2975" s="19"/>
      <c r="D2975" s="19"/>
      <c r="E2975" s="19"/>
      <c r="F2975" s="20"/>
      <c r="G2975" s="20"/>
      <c r="H2975" s="21"/>
      <c r="I2975" s="19"/>
      <c r="J2975" s="19"/>
      <c r="K2975" s="4"/>
      <c r="L2975" s="4"/>
    </row>
    <row r="2976" spans="1:12" x14ac:dyDescent="0.25">
      <c r="A2976" s="19"/>
      <c r="B2976" s="19"/>
      <c r="C2976" s="19"/>
      <c r="D2976" s="19"/>
      <c r="E2976" s="19"/>
      <c r="F2976" s="20"/>
      <c r="G2976" s="20"/>
      <c r="H2976" s="21"/>
      <c r="I2976" s="19"/>
      <c r="J2976" s="19"/>
      <c r="K2976" s="4"/>
      <c r="L2976" s="4"/>
    </row>
    <row r="2977" spans="1:12" x14ac:dyDescent="0.25">
      <c r="A2977" s="19"/>
      <c r="B2977" s="19"/>
      <c r="C2977" s="19"/>
      <c r="D2977" s="19"/>
      <c r="E2977" s="19"/>
      <c r="F2977" s="20"/>
      <c r="G2977" s="20"/>
      <c r="H2977" s="21"/>
      <c r="I2977" s="19"/>
      <c r="J2977" s="19"/>
      <c r="K2977" s="4"/>
      <c r="L2977" s="4"/>
    </row>
    <row r="2978" spans="1:12" x14ac:dyDescent="0.25">
      <c r="A2978" s="19"/>
      <c r="B2978" s="19"/>
      <c r="C2978" s="19"/>
      <c r="D2978" s="19"/>
      <c r="E2978" s="19"/>
      <c r="F2978" s="20"/>
      <c r="G2978" s="20"/>
      <c r="H2978" s="21"/>
      <c r="I2978" s="19"/>
      <c r="J2978" s="19"/>
      <c r="K2978" s="4"/>
      <c r="L2978" s="4"/>
    </row>
    <row r="2979" spans="1:12" x14ac:dyDescent="0.25">
      <c r="A2979" s="19"/>
      <c r="B2979" s="19"/>
      <c r="C2979" s="19"/>
      <c r="D2979" s="19"/>
      <c r="E2979" s="19"/>
      <c r="F2979" s="20"/>
      <c r="G2979" s="20"/>
      <c r="H2979" s="21"/>
      <c r="I2979" s="19"/>
      <c r="J2979" s="19"/>
      <c r="K2979" s="4"/>
      <c r="L2979" s="4"/>
    </row>
    <row r="2980" spans="1:12" x14ac:dyDescent="0.25">
      <c r="A2980" s="19"/>
      <c r="B2980" s="19"/>
      <c r="C2980" s="19"/>
      <c r="D2980" s="19"/>
      <c r="E2980" s="19"/>
      <c r="F2980" s="20"/>
      <c r="G2980" s="20"/>
      <c r="H2980" s="21"/>
      <c r="I2980" s="19"/>
      <c r="J2980" s="19"/>
      <c r="K2980" s="4"/>
      <c r="L2980" s="4"/>
    </row>
    <row r="2981" spans="1:12" x14ac:dyDescent="0.25">
      <c r="A2981" s="19"/>
      <c r="B2981" s="19"/>
      <c r="C2981" s="19"/>
      <c r="D2981" s="19"/>
      <c r="E2981" s="19"/>
      <c r="F2981" s="20"/>
      <c r="G2981" s="20"/>
      <c r="H2981" s="21"/>
      <c r="I2981" s="19"/>
      <c r="J2981" s="19"/>
      <c r="K2981" s="4"/>
      <c r="L2981" s="4"/>
    </row>
    <row r="2982" spans="1:12" x14ac:dyDescent="0.25">
      <c r="A2982" s="19"/>
      <c r="B2982" s="19"/>
      <c r="C2982" s="19"/>
      <c r="D2982" s="19"/>
      <c r="E2982" s="19"/>
      <c r="F2982" s="20"/>
      <c r="G2982" s="20"/>
      <c r="H2982" s="21"/>
      <c r="I2982" s="19"/>
      <c r="J2982" s="19"/>
      <c r="K2982" s="4"/>
      <c r="L2982" s="4"/>
    </row>
    <row r="2983" spans="1:12" x14ac:dyDescent="0.25">
      <c r="A2983" s="19"/>
      <c r="B2983" s="19"/>
      <c r="C2983" s="19"/>
      <c r="D2983" s="19"/>
      <c r="E2983" s="19"/>
      <c r="F2983" s="20"/>
      <c r="G2983" s="20"/>
      <c r="H2983" s="21"/>
      <c r="I2983" s="19"/>
      <c r="J2983" s="19"/>
      <c r="K2983" s="4"/>
      <c r="L2983" s="4"/>
    </row>
    <row r="2984" spans="1:12" x14ac:dyDescent="0.25">
      <c r="A2984" s="19"/>
      <c r="B2984" s="19"/>
      <c r="C2984" s="19"/>
      <c r="D2984" s="19"/>
      <c r="E2984" s="19"/>
      <c r="F2984" s="20"/>
      <c r="G2984" s="20"/>
      <c r="H2984" s="21"/>
      <c r="I2984" s="19"/>
      <c r="J2984" s="19"/>
      <c r="K2984" s="4"/>
      <c r="L2984" s="4"/>
    </row>
    <row r="2985" spans="1:12" x14ac:dyDescent="0.25">
      <c r="A2985" s="19"/>
      <c r="B2985" s="19"/>
      <c r="C2985" s="19"/>
      <c r="D2985" s="19"/>
      <c r="E2985" s="19"/>
      <c r="F2985" s="20"/>
      <c r="G2985" s="20"/>
      <c r="H2985" s="21"/>
      <c r="I2985" s="19"/>
      <c r="J2985" s="19"/>
      <c r="K2985" s="4"/>
      <c r="L2985" s="4"/>
    </row>
    <row r="2986" spans="1:12" x14ac:dyDescent="0.25">
      <c r="A2986" s="19"/>
      <c r="B2986" s="19"/>
      <c r="C2986" s="19"/>
      <c r="D2986" s="19"/>
      <c r="E2986" s="19"/>
      <c r="F2986" s="20"/>
      <c r="G2986" s="20"/>
      <c r="H2986" s="21"/>
      <c r="I2986" s="19"/>
      <c r="J2986" s="19"/>
      <c r="K2986" s="4"/>
      <c r="L2986" s="4"/>
    </row>
    <row r="2987" spans="1:12" x14ac:dyDescent="0.25">
      <c r="A2987" s="19"/>
      <c r="B2987" s="19"/>
      <c r="C2987" s="19"/>
      <c r="D2987" s="19"/>
      <c r="E2987" s="19"/>
      <c r="F2987" s="20"/>
      <c r="G2987" s="20"/>
      <c r="H2987" s="21"/>
      <c r="I2987" s="19"/>
      <c r="J2987" s="19"/>
      <c r="K2987" s="4"/>
      <c r="L2987" s="4"/>
    </row>
    <row r="2988" spans="1:12" x14ac:dyDescent="0.25">
      <c r="A2988" s="19"/>
      <c r="B2988" s="19"/>
      <c r="C2988" s="19"/>
      <c r="D2988" s="19"/>
      <c r="E2988" s="19"/>
      <c r="F2988" s="20"/>
      <c r="G2988" s="20"/>
      <c r="H2988" s="21"/>
      <c r="I2988" s="19"/>
      <c r="J2988" s="19"/>
      <c r="K2988" s="4"/>
      <c r="L2988" s="4"/>
    </row>
    <row r="2989" spans="1:12" x14ac:dyDescent="0.25">
      <c r="A2989" s="19"/>
      <c r="B2989" s="19"/>
      <c r="C2989" s="19"/>
      <c r="D2989" s="19"/>
      <c r="E2989" s="19"/>
      <c r="F2989" s="20"/>
      <c r="G2989" s="20"/>
      <c r="H2989" s="21"/>
      <c r="I2989" s="19"/>
      <c r="J2989" s="19"/>
      <c r="K2989" s="4"/>
      <c r="L2989" s="4"/>
    </row>
    <row r="2990" spans="1:12" x14ac:dyDescent="0.25">
      <c r="A2990" s="19"/>
      <c r="B2990" s="19"/>
      <c r="C2990" s="19"/>
      <c r="D2990" s="19"/>
      <c r="E2990" s="19"/>
      <c r="F2990" s="20"/>
      <c r="G2990" s="20"/>
      <c r="H2990" s="21"/>
      <c r="I2990" s="19"/>
      <c r="J2990" s="19"/>
      <c r="K2990" s="4"/>
      <c r="L2990" s="4"/>
    </row>
    <row r="2991" spans="1:12" x14ac:dyDescent="0.25">
      <c r="A2991" s="19"/>
      <c r="B2991" s="19"/>
      <c r="C2991" s="19"/>
      <c r="D2991" s="19"/>
      <c r="E2991" s="19"/>
      <c r="F2991" s="20"/>
      <c r="G2991" s="20"/>
      <c r="H2991" s="21"/>
      <c r="I2991" s="19"/>
      <c r="J2991" s="19"/>
      <c r="K2991" s="4"/>
      <c r="L2991" s="4"/>
    </row>
    <row r="2992" spans="1:12" x14ac:dyDescent="0.25">
      <c r="A2992" s="19"/>
      <c r="B2992" s="19"/>
      <c r="C2992" s="19"/>
      <c r="D2992" s="19"/>
      <c r="E2992" s="19"/>
      <c r="F2992" s="20"/>
      <c r="G2992" s="20"/>
      <c r="H2992" s="21"/>
      <c r="I2992" s="19"/>
      <c r="J2992" s="19"/>
      <c r="K2992" s="4"/>
      <c r="L2992" s="4"/>
    </row>
    <row r="2993" spans="1:12" x14ac:dyDescent="0.25">
      <c r="A2993" s="19"/>
      <c r="B2993" s="19"/>
      <c r="C2993" s="19"/>
      <c r="D2993" s="19"/>
      <c r="E2993" s="19"/>
      <c r="F2993" s="20"/>
      <c r="G2993" s="20"/>
      <c r="H2993" s="21"/>
      <c r="I2993" s="19"/>
      <c r="J2993" s="19"/>
      <c r="K2993" s="4"/>
      <c r="L2993" s="4"/>
    </row>
    <row r="2994" spans="1:12" x14ac:dyDescent="0.25">
      <c r="A2994" s="19"/>
      <c r="B2994" s="19"/>
      <c r="C2994" s="19"/>
      <c r="D2994" s="19"/>
      <c r="E2994" s="19"/>
      <c r="F2994" s="20"/>
      <c r="G2994" s="20"/>
      <c r="H2994" s="21"/>
      <c r="I2994" s="19"/>
      <c r="J2994" s="19"/>
      <c r="K2994" s="4"/>
      <c r="L2994" s="4"/>
    </row>
    <row r="2995" spans="1:12" x14ac:dyDescent="0.25">
      <c r="A2995" s="19"/>
      <c r="B2995" s="19"/>
      <c r="C2995" s="19"/>
      <c r="D2995" s="19"/>
      <c r="E2995" s="19"/>
      <c r="F2995" s="20"/>
      <c r="G2995" s="20"/>
      <c r="H2995" s="21"/>
      <c r="I2995" s="19"/>
      <c r="J2995" s="19"/>
      <c r="K2995" s="4"/>
      <c r="L2995" s="4"/>
    </row>
    <row r="2996" spans="1:12" x14ac:dyDescent="0.25">
      <c r="A2996" s="19"/>
      <c r="B2996" s="19"/>
      <c r="C2996" s="19"/>
      <c r="D2996" s="19"/>
      <c r="E2996" s="19"/>
      <c r="F2996" s="20"/>
      <c r="G2996" s="20"/>
      <c r="H2996" s="21"/>
      <c r="I2996" s="19"/>
      <c r="J2996" s="19"/>
      <c r="K2996" s="4"/>
      <c r="L2996" s="4"/>
    </row>
    <row r="2997" spans="1:12" x14ac:dyDescent="0.25">
      <c r="A2997" s="19"/>
      <c r="B2997" s="19"/>
      <c r="C2997" s="19"/>
      <c r="D2997" s="19"/>
      <c r="E2997" s="19"/>
      <c r="F2997" s="20"/>
      <c r="G2997" s="20"/>
      <c r="H2997" s="21"/>
      <c r="I2997" s="19"/>
      <c r="J2997" s="19"/>
      <c r="K2997" s="4"/>
      <c r="L2997" s="4"/>
    </row>
    <row r="2998" spans="1:12" x14ac:dyDescent="0.25">
      <c r="A2998" s="19"/>
      <c r="B2998" s="19"/>
      <c r="C2998" s="19"/>
      <c r="D2998" s="19"/>
      <c r="E2998" s="19"/>
      <c r="F2998" s="20"/>
      <c r="G2998" s="20"/>
      <c r="H2998" s="21"/>
      <c r="I2998" s="19"/>
      <c r="J2998" s="19"/>
      <c r="K2998" s="4"/>
      <c r="L2998" s="4"/>
    </row>
    <row r="2999" spans="1:12" x14ac:dyDescent="0.25">
      <c r="A2999" s="19"/>
      <c r="B2999" s="19"/>
      <c r="C2999" s="19"/>
      <c r="D2999" s="19"/>
      <c r="E2999" s="19"/>
      <c r="F2999" s="20"/>
      <c r="G2999" s="20"/>
      <c r="H2999" s="21"/>
      <c r="I2999" s="19"/>
      <c r="J2999" s="19"/>
      <c r="K2999" s="4"/>
      <c r="L2999" s="4"/>
    </row>
    <row r="3000" spans="1:12" x14ac:dyDescent="0.25">
      <c r="A3000" s="19"/>
      <c r="B3000" s="19"/>
      <c r="C3000" s="19"/>
      <c r="D3000" s="19"/>
      <c r="E3000" s="19"/>
      <c r="F3000" s="20"/>
      <c r="G3000" s="20"/>
      <c r="H3000" s="21"/>
      <c r="I3000" s="19"/>
      <c r="J3000" s="19"/>
      <c r="K3000" s="4"/>
      <c r="L3000" s="4"/>
    </row>
    <row r="3001" spans="1:12" x14ac:dyDescent="0.25">
      <c r="A3001" s="19"/>
      <c r="B3001" s="19"/>
      <c r="C3001" s="19"/>
      <c r="D3001" s="19"/>
      <c r="E3001" s="19"/>
      <c r="F3001" s="20"/>
      <c r="G3001" s="20"/>
      <c r="H3001" s="21"/>
      <c r="I3001" s="19"/>
      <c r="J3001" s="19"/>
      <c r="K3001" s="4"/>
      <c r="L3001" s="4"/>
    </row>
    <row r="3002" spans="1:12" x14ac:dyDescent="0.25">
      <c r="A3002" s="19"/>
      <c r="B3002" s="19"/>
      <c r="C3002" s="19"/>
      <c r="D3002" s="19"/>
      <c r="E3002" s="19"/>
      <c r="F3002" s="20"/>
      <c r="G3002" s="20"/>
      <c r="H3002" s="21"/>
      <c r="I3002" s="19"/>
      <c r="J3002" s="19"/>
      <c r="K3002" s="19"/>
      <c r="L3002" s="4"/>
    </row>
    <row r="3003" spans="1:12" x14ac:dyDescent="0.25">
      <c r="A3003" s="19"/>
      <c r="B3003" s="19"/>
      <c r="C3003" s="19"/>
      <c r="D3003" s="19"/>
      <c r="E3003" s="19"/>
      <c r="F3003" s="20"/>
      <c r="G3003" s="20"/>
      <c r="H3003" s="21"/>
      <c r="I3003" s="19"/>
      <c r="J3003" s="19"/>
      <c r="K3003" s="19"/>
      <c r="L3003" s="4"/>
    </row>
    <row r="3004" spans="1:12" x14ac:dyDescent="0.25">
      <c r="A3004" s="19"/>
      <c r="B3004" s="19"/>
      <c r="C3004" s="19"/>
      <c r="D3004" s="19"/>
      <c r="E3004" s="19"/>
      <c r="F3004" s="20"/>
      <c r="G3004" s="20"/>
      <c r="H3004" s="21"/>
      <c r="I3004" s="19"/>
      <c r="J3004" s="19"/>
      <c r="K3004" s="19"/>
      <c r="L3004" s="4"/>
    </row>
    <row r="3005" spans="1:12" x14ac:dyDescent="0.25">
      <c r="A3005" s="19"/>
      <c r="B3005" s="19"/>
      <c r="C3005" s="19"/>
      <c r="D3005" s="19"/>
      <c r="E3005" s="19"/>
      <c r="F3005" s="20"/>
      <c r="G3005" s="20"/>
      <c r="H3005" s="21"/>
      <c r="I3005" s="19"/>
      <c r="J3005" s="19"/>
      <c r="K3005" s="19"/>
      <c r="L3005" s="4"/>
    </row>
    <row r="3006" spans="1:12" x14ac:dyDescent="0.25">
      <c r="A3006" s="19"/>
      <c r="B3006" s="19"/>
      <c r="C3006" s="19"/>
      <c r="D3006" s="19"/>
      <c r="E3006" s="19"/>
      <c r="F3006" s="20"/>
      <c r="G3006" s="20"/>
      <c r="H3006" s="21"/>
      <c r="I3006" s="19"/>
      <c r="J3006" s="19"/>
      <c r="K3006" s="19"/>
      <c r="L3006" s="4"/>
    </row>
    <row r="3007" spans="1:12" x14ac:dyDescent="0.25">
      <c r="A3007" s="19"/>
      <c r="B3007" s="19"/>
      <c r="C3007" s="19"/>
      <c r="D3007" s="19"/>
      <c r="E3007" s="19"/>
      <c r="F3007" s="20"/>
      <c r="G3007" s="20"/>
      <c r="H3007" s="21"/>
      <c r="I3007" s="19"/>
      <c r="J3007" s="19"/>
      <c r="K3007" s="19"/>
      <c r="L3007" s="4"/>
    </row>
    <row r="3008" spans="1:12" x14ac:dyDescent="0.25">
      <c r="A3008" s="19"/>
      <c r="B3008" s="19"/>
      <c r="C3008" s="19"/>
      <c r="D3008" s="19"/>
      <c r="E3008" s="19"/>
      <c r="F3008" s="20"/>
      <c r="G3008" s="20"/>
      <c r="H3008" s="21"/>
      <c r="I3008" s="19"/>
      <c r="J3008" s="19"/>
      <c r="K3008" s="19"/>
      <c r="L3008" s="4"/>
    </row>
    <row r="3009" spans="1:12" x14ac:dyDescent="0.25">
      <c r="A3009" s="19"/>
      <c r="B3009" s="19"/>
      <c r="C3009" s="19"/>
      <c r="D3009" s="19"/>
      <c r="E3009" s="19"/>
      <c r="F3009" s="20"/>
      <c r="G3009" s="20"/>
      <c r="H3009" s="21"/>
      <c r="I3009" s="19"/>
      <c r="J3009" s="19"/>
      <c r="K3009" s="19"/>
      <c r="L3009" s="4"/>
    </row>
    <row r="3010" spans="1:12" x14ac:dyDescent="0.25">
      <c r="A3010" s="19"/>
      <c r="B3010" s="19"/>
      <c r="C3010" s="19"/>
      <c r="D3010" s="19"/>
      <c r="E3010" s="19"/>
      <c r="F3010" s="20"/>
      <c r="G3010" s="20"/>
      <c r="H3010" s="21"/>
      <c r="I3010" s="19"/>
      <c r="J3010" s="19"/>
      <c r="K3010" s="19"/>
      <c r="L3010" s="4"/>
    </row>
    <row r="3011" spans="1:12" x14ac:dyDescent="0.25">
      <c r="A3011" s="19"/>
      <c r="B3011" s="19"/>
      <c r="C3011" s="19"/>
      <c r="D3011" s="19"/>
      <c r="E3011" s="19"/>
      <c r="F3011" s="20"/>
      <c r="G3011" s="20"/>
      <c r="H3011" s="21"/>
      <c r="I3011" s="19"/>
      <c r="J3011" s="19"/>
      <c r="K3011" s="19"/>
      <c r="L3011" s="4"/>
    </row>
    <row r="3012" spans="1:12" x14ac:dyDescent="0.25">
      <c r="A3012" s="19"/>
      <c r="B3012" s="19"/>
      <c r="C3012" s="19"/>
      <c r="D3012" s="19"/>
      <c r="E3012" s="19"/>
      <c r="F3012" s="20"/>
      <c r="G3012" s="20"/>
      <c r="H3012" s="21"/>
      <c r="I3012" s="19"/>
      <c r="J3012" s="19"/>
      <c r="K3012" s="19"/>
      <c r="L3012" s="4"/>
    </row>
    <row r="3013" spans="1:12" x14ac:dyDescent="0.25">
      <c r="A3013" s="19"/>
      <c r="B3013" s="19"/>
      <c r="C3013" s="19"/>
      <c r="D3013" s="19"/>
      <c r="E3013" s="19"/>
      <c r="F3013" s="20"/>
      <c r="G3013" s="20"/>
      <c r="H3013" s="21"/>
      <c r="I3013" s="19"/>
      <c r="J3013" s="19"/>
      <c r="K3013" s="19"/>
      <c r="L3013" s="4"/>
    </row>
    <row r="3014" spans="1:12" x14ac:dyDescent="0.25">
      <c r="A3014" s="19"/>
      <c r="B3014" s="19"/>
      <c r="C3014" s="19"/>
      <c r="D3014" s="19"/>
      <c r="E3014" s="19"/>
      <c r="F3014" s="20"/>
      <c r="G3014" s="20"/>
      <c r="H3014" s="21"/>
      <c r="I3014" s="19"/>
      <c r="J3014" s="19"/>
      <c r="K3014" s="19"/>
      <c r="L3014" s="4"/>
    </row>
    <row r="3015" spans="1:12" x14ac:dyDescent="0.25">
      <c r="A3015" s="19"/>
      <c r="B3015" s="19"/>
      <c r="C3015" s="19"/>
      <c r="D3015" s="19"/>
      <c r="E3015" s="19"/>
      <c r="F3015" s="20"/>
      <c r="G3015" s="20"/>
      <c r="H3015" s="21"/>
      <c r="I3015" s="19"/>
      <c r="J3015" s="19"/>
      <c r="K3015" s="19"/>
      <c r="L3015" s="4"/>
    </row>
    <row r="3016" spans="1:12" x14ac:dyDescent="0.25">
      <c r="A3016" s="19"/>
      <c r="B3016" s="19"/>
      <c r="C3016" s="19"/>
      <c r="D3016" s="19"/>
      <c r="E3016" s="19"/>
      <c r="F3016" s="20"/>
      <c r="G3016" s="20"/>
      <c r="H3016" s="21"/>
      <c r="I3016" s="19"/>
      <c r="J3016" s="19"/>
      <c r="K3016" s="19"/>
      <c r="L3016" s="4"/>
    </row>
    <row r="3017" spans="1:12" x14ac:dyDescent="0.25">
      <c r="A3017" s="19"/>
      <c r="B3017" s="19"/>
      <c r="C3017" s="19"/>
      <c r="D3017" s="19"/>
      <c r="E3017" s="19"/>
      <c r="F3017" s="20"/>
      <c r="G3017" s="20"/>
      <c r="H3017" s="21"/>
      <c r="I3017" s="19"/>
      <c r="J3017" s="19"/>
      <c r="K3017" s="19"/>
      <c r="L3017" s="4"/>
    </row>
    <row r="3018" spans="1:12" x14ac:dyDescent="0.25">
      <c r="A3018" s="19"/>
      <c r="B3018" s="19"/>
      <c r="C3018" s="19"/>
      <c r="D3018" s="19"/>
      <c r="E3018" s="19"/>
      <c r="F3018" s="20"/>
      <c r="G3018" s="20"/>
      <c r="H3018" s="21"/>
      <c r="I3018" s="19"/>
      <c r="J3018" s="19"/>
      <c r="K3018" s="19"/>
      <c r="L3018" s="4"/>
    </row>
    <row r="3019" spans="1:12" x14ac:dyDescent="0.25">
      <c r="A3019" s="19"/>
      <c r="B3019" s="19"/>
      <c r="C3019" s="19"/>
      <c r="D3019" s="19"/>
      <c r="E3019" s="19"/>
      <c r="F3019" s="20"/>
      <c r="G3019" s="20"/>
      <c r="H3019" s="21"/>
      <c r="I3019" s="19"/>
      <c r="J3019" s="19"/>
      <c r="K3019" s="19"/>
      <c r="L3019" s="4"/>
    </row>
    <row r="3020" spans="1:12" x14ac:dyDescent="0.25">
      <c r="A3020" s="19"/>
      <c r="B3020" s="19"/>
      <c r="C3020" s="19"/>
      <c r="D3020" s="19"/>
      <c r="E3020" s="19"/>
      <c r="F3020" s="20"/>
      <c r="G3020" s="20"/>
      <c r="H3020" s="21"/>
      <c r="I3020" s="19"/>
      <c r="J3020" s="19"/>
      <c r="K3020" s="19"/>
      <c r="L3020" s="4"/>
    </row>
    <row r="3021" spans="1:12" x14ac:dyDescent="0.25">
      <c r="A3021" s="19"/>
      <c r="B3021" s="19"/>
      <c r="C3021" s="19"/>
      <c r="D3021" s="19"/>
      <c r="E3021" s="19"/>
      <c r="F3021" s="20"/>
      <c r="G3021" s="20"/>
      <c r="H3021" s="21"/>
      <c r="I3021" s="19"/>
      <c r="J3021" s="19"/>
      <c r="K3021" s="19"/>
      <c r="L3021" s="4"/>
    </row>
    <row r="3022" spans="1:12" x14ac:dyDescent="0.25">
      <c r="A3022" s="19"/>
      <c r="B3022" s="19"/>
      <c r="C3022" s="19"/>
      <c r="D3022" s="19"/>
      <c r="E3022" s="19"/>
      <c r="F3022" s="20"/>
      <c r="G3022" s="20"/>
      <c r="H3022" s="21"/>
      <c r="I3022" s="19"/>
      <c r="J3022" s="19"/>
      <c r="K3022" s="19"/>
      <c r="L3022" s="4"/>
    </row>
    <row r="3023" spans="1:12" x14ac:dyDescent="0.25">
      <c r="A3023" s="19"/>
      <c r="B3023" s="19"/>
      <c r="C3023" s="19"/>
      <c r="D3023" s="19"/>
      <c r="E3023" s="19"/>
      <c r="F3023" s="20"/>
      <c r="G3023" s="20"/>
      <c r="H3023" s="21"/>
      <c r="I3023" s="19"/>
      <c r="J3023" s="19"/>
      <c r="K3023" s="19"/>
      <c r="L3023" s="4"/>
    </row>
    <row r="3024" spans="1:12" x14ac:dyDescent="0.25">
      <c r="A3024" s="19"/>
      <c r="B3024" s="19"/>
      <c r="C3024" s="19"/>
      <c r="D3024" s="19"/>
      <c r="E3024" s="19"/>
      <c r="F3024" s="20"/>
      <c r="G3024" s="20"/>
      <c r="H3024" s="21"/>
      <c r="I3024" s="19"/>
      <c r="J3024" s="19"/>
      <c r="K3024" s="19"/>
      <c r="L3024" s="4"/>
    </row>
    <row r="3025" spans="1:12" x14ac:dyDescent="0.25">
      <c r="A3025" s="19"/>
      <c r="B3025" s="19"/>
      <c r="C3025" s="19"/>
      <c r="D3025" s="19"/>
      <c r="E3025" s="19"/>
      <c r="F3025" s="20"/>
      <c r="G3025" s="20"/>
      <c r="H3025" s="21"/>
      <c r="I3025" s="19"/>
      <c r="J3025" s="19"/>
      <c r="K3025" s="19"/>
      <c r="L3025" s="4"/>
    </row>
    <row r="3026" spans="1:12" x14ac:dyDescent="0.25">
      <c r="A3026" s="19"/>
      <c r="B3026" s="19"/>
      <c r="C3026" s="19"/>
      <c r="D3026" s="19"/>
      <c r="E3026" s="19"/>
      <c r="F3026" s="20"/>
      <c r="G3026" s="20"/>
      <c r="H3026" s="21"/>
      <c r="I3026" s="19"/>
      <c r="J3026" s="19"/>
      <c r="K3026" s="19"/>
      <c r="L3026" s="4"/>
    </row>
    <row r="3027" spans="1:12" x14ac:dyDescent="0.25">
      <c r="A3027" s="19"/>
      <c r="B3027" s="19"/>
      <c r="C3027" s="19"/>
      <c r="D3027" s="19"/>
      <c r="E3027" s="19"/>
      <c r="F3027" s="20"/>
      <c r="G3027" s="20"/>
      <c r="H3027" s="21"/>
      <c r="I3027" s="19"/>
      <c r="J3027" s="19"/>
      <c r="K3027" s="19"/>
      <c r="L3027" s="4"/>
    </row>
    <row r="3028" spans="1:12" x14ac:dyDescent="0.25">
      <c r="A3028" s="19"/>
      <c r="B3028" s="19"/>
      <c r="C3028" s="19"/>
      <c r="D3028" s="19"/>
      <c r="E3028" s="19"/>
      <c r="F3028" s="20"/>
      <c r="G3028" s="20"/>
      <c r="H3028" s="21"/>
      <c r="I3028" s="19"/>
      <c r="J3028" s="19"/>
      <c r="K3028" s="19"/>
      <c r="L3028" s="4"/>
    </row>
    <row r="3029" spans="1:12" x14ac:dyDescent="0.25">
      <c r="A3029" s="19"/>
      <c r="B3029" s="19"/>
      <c r="C3029" s="19"/>
      <c r="D3029" s="19"/>
      <c r="E3029" s="19"/>
      <c r="F3029" s="20"/>
      <c r="G3029" s="20"/>
      <c r="H3029" s="21"/>
      <c r="I3029" s="19"/>
      <c r="J3029" s="19"/>
      <c r="K3029" s="19"/>
      <c r="L3029" s="4"/>
    </row>
    <row r="3030" spans="1:12" x14ac:dyDescent="0.25">
      <c r="A3030" s="19"/>
      <c r="B3030" s="19"/>
      <c r="C3030" s="19"/>
      <c r="D3030" s="19"/>
      <c r="E3030" s="19"/>
      <c r="F3030" s="20"/>
      <c r="G3030" s="20"/>
      <c r="H3030" s="21"/>
      <c r="I3030" s="19"/>
      <c r="J3030" s="19"/>
      <c r="K3030" s="19"/>
      <c r="L3030" s="4"/>
    </row>
    <row r="3031" spans="1:12" x14ac:dyDescent="0.25">
      <c r="A3031" s="19"/>
      <c r="B3031" s="19"/>
      <c r="C3031" s="19"/>
      <c r="D3031" s="19"/>
      <c r="E3031" s="19"/>
      <c r="F3031" s="20"/>
      <c r="G3031" s="20"/>
      <c r="H3031" s="21"/>
      <c r="I3031" s="19"/>
      <c r="J3031" s="19"/>
      <c r="K3031" s="19"/>
      <c r="L3031" s="4"/>
    </row>
    <row r="3032" spans="1:12" x14ac:dyDescent="0.25">
      <c r="A3032" s="19"/>
      <c r="B3032" s="19"/>
      <c r="C3032" s="19"/>
      <c r="D3032" s="19"/>
      <c r="E3032" s="19"/>
      <c r="F3032" s="20"/>
      <c r="G3032" s="20"/>
      <c r="H3032" s="21"/>
      <c r="I3032" s="19"/>
      <c r="J3032" s="19"/>
      <c r="K3032" s="19"/>
      <c r="L3032" s="4"/>
    </row>
    <row r="3033" spans="1:12" x14ac:dyDescent="0.25">
      <c r="A3033" s="19"/>
      <c r="B3033" s="19"/>
      <c r="C3033" s="19"/>
      <c r="D3033" s="19"/>
      <c r="E3033" s="19"/>
      <c r="F3033" s="20"/>
      <c r="G3033" s="20"/>
      <c r="H3033" s="21"/>
      <c r="I3033" s="19"/>
      <c r="J3033" s="19"/>
      <c r="K3033" s="19"/>
      <c r="L3033" s="4"/>
    </row>
    <row r="3034" spans="1:12" x14ac:dyDescent="0.25">
      <c r="A3034" s="19"/>
      <c r="B3034" s="19"/>
      <c r="C3034" s="19"/>
      <c r="D3034" s="19"/>
      <c r="E3034" s="19"/>
      <c r="F3034" s="20"/>
      <c r="G3034" s="20"/>
      <c r="H3034" s="21"/>
      <c r="I3034" s="19"/>
      <c r="J3034" s="19"/>
      <c r="K3034" s="4"/>
      <c r="L3034" s="4"/>
    </row>
    <row r="3035" spans="1:12" x14ac:dyDescent="0.25">
      <c r="A3035" s="19"/>
      <c r="B3035" s="19"/>
      <c r="C3035" s="19"/>
      <c r="D3035" s="19"/>
      <c r="E3035" s="19"/>
      <c r="F3035" s="20"/>
      <c r="G3035" s="20"/>
      <c r="H3035" s="21"/>
      <c r="I3035" s="19"/>
      <c r="J3035" s="19"/>
      <c r="K3035" s="4"/>
      <c r="L3035" s="4"/>
    </row>
    <row r="3036" spans="1:12" x14ac:dyDescent="0.25">
      <c r="A3036" s="19"/>
      <c r="B3036" s="19"/>
      <c r="C3036" s="19"/>
      <c r="D3036" s="19"/>
      <c r="E3036" s="19"/>
      <c r="F3036" s="20"/>
      <c r="G3036" s="20"/>
      <c r="H3036" s="21"/>
      <c r="I3036" s="19"/>
      <c r="J3036" s="19"/>
      <c r="K3036" s="4"/>
      <c r="L3036" s="4"/>
    </row>
    <row r="3037" spans="1:12" x14ac:dyDescent="0.25">
      <c r="A3037" s="19"/>
      <c r="B3037" s="19"/>
      <c r="C3037" s="19"/>
      <c r="D3037" s="19"/>
      <c r="E3037" s="19"/>
      <c r="F3037" s="20"/>
      <c r="G3037" s="20"/>
      <c r="H3037" s="21"/>
      <c r="I3037" s="19"/>
      <c r="J3037" s="19"/>
      <c r="K3037" s="4"/>
      <c r="L3037" s="4"/>
    </row>
    <row r="3038" spans="1:12" x14ac:dyDescent="0.25">
      <c r="A3038" s="19"/>
      <c r="B3038" s="19"/>
      <c r="C3038" s="19"/>
      <c r="D3038" s="19"/>
      <c r="E3038" s="19"/>
      <c r="F3038" s="20"/>
      <c r="G3038" s="20"/>
      <c r="H3038" s="21"/>
      <c r="I3038" s="19"/>
      <c r="J3038" s="19"/>
      <c r="K3038" s="4"/>
      <c r="L3038" s="4"/>
    </row>
    <row r="3039" spans="1:12" x14ac:dyDescent="0.25">
      <c r="A3039" s="19"/>
      <c r="B3039" s="19"/>
      <c r="C3039" s="19"/>
      <c r="D3039" s="19"/>
      <c r="E3039" s="19"/>
      <c r="F3039" s="20"/>
      <c r="G3039" s="20"/>
      <c r="H3039" s="21"/>
      <c r="I3039" s="19"/>
      <c r="J3039" s="19"/>
      <c r="K3039" s="4"/>
      <c r="L3039" s="4"/>
    </row>
    <row r="3040" spans="1:12" x14ac:dyDescent="0.25">
      <c r="A3040" s="19"/>
      <c r="B3040" s="19"/>
      <c r="C3040" s="19"/>
      <c r="D3040" s="19"/>
      <c r="E3040" s="19"/>
      <c r="F3040" s="20"/>
      <c r="G3040" s="20"/>
      <c r="H3040" s="21"/>
      <c r="I3040" s="19"/>
      <c r="J3040" s="19"/>
      <c r="K3040" s="4"/>
      <c r="L3040" s="4"/>
    </row>
    <row r="3041" spans="1:12" x14ac:dyDescent="0.25">
      <c r="A3041" s="19"/>
      <c r="B3041" s="19"/>
      <c r="C3041" s="19"/>
      <c r="D3041" s="19"/>
      <c r="E3041" s="19"/>
      <c r="F3041" s="20"/>
      <c r="G3041" s="20"/>
      <c r="H3041" s="21"/>
      <c r="I3041" s="19"/>
      <c r="J3041" s="19"/>
      <c r="K3041" s="4"/>
      <c r="L3041" s="4"/>
    </row>
    <row r="3042" spans="1:12" x14ac:dyDescent="0.25">
      <c r="A3042" s="19"/>
      <c r="B3042" s="19"/>
      <c r="C3042" s="19"/>
      <c r="D3042" s="19"/>
      <c r="E3042" s="19"/>
      <c r="F3042" s="20"/>
      <c r="G3042" s="20"/>
      <c r="H3042" s="21"/>
      <c r="I3042" s="19"/>
      <c r="J3042" s="19"/>
      <c r="K3042" s="4"/>
      <c r="L3042" s="4"/>
    </row>
    <row r="3043" spans="1:12" x14ac:dyDescent="0.25">
      <c r="A3043" s="19"/>
      <c r="B3043" s="19"/>
      <c r="C3043" s="19"/>
      <c r="D3043" s="19"/>
      <c r="E3043" s="19"/>
      <c r="F3043" s="20"/>
      <c r="G3043" s="20"/>
      <c r="H3043" s="21"/>
      <c r="I3043" s="19"/>
      <c r="J3043" s="19"/>
      <c r="K3043" s="4"/>
      <c r="L3043" s="4"/>
    </row>
    <row r="3044" spans="1:12" x14ac:dyDescent="0.25">
      <c r="A3044" s="19"/>
      <c r="B3044" s="19"/>
      <c r="C3044" s="19"/>
      <c r="D3044" s="19"/>
      <c r="E3044" s="19"/>
      <c r="F3044" s="20"/>
      <c r="G3044" s="20"/>
      <c r="H3044" s="21"/>
      <c r="I3044" s="19"/>
      <c r="J3044" s="19"/>
      <c r="K3044" s="4"/>
      <c r="L3044" s="4"/>
    </row>
    <row r="3045" spans="1:12" x14ac:dyDescent="0.25">
      <c r="A3045" s="19"/>
      <c r="B3045" s="19"/>
      <c r="C3045" s="19"/>
      <c r="D3045" s="19"/>
      <c r="E3045" s="19"/>
      <c r="F3045" s="20"/>
      <c r="G3045" s="20"/>
      <c r="H3045" s="21"/>
      <c r="I3045" s="19"/>
      <c r="J3045" s="19"/>
      <c r="K3045" s="4"/>
      <c r="L3045" s="4"/>
    </row>
    <row r="3046" spans="1:12" x14ac:dyDescent="0.25">
      <c r="A3046" s="19"/>
      <c r="B3046" s="19"/>
      <c r="C3046" s="19"/>
      <c r="D3046" s="19"/>
      <c r="E3046" s="19"/>
      <c r="F3046" s="20"/>
      <c r="G3046" s="20"/>
      <c r="H3046" s="21"/>
      <c r="I3046" s="19"/>
      <c r="J3046" s="19"/>
      <c r="K3046" s="4"/>
      <c r="L3046" s="4"/>
    </row>
    <row r="3047" spans="1:12" x14ac:dyDescent="0.25">
      <c r="A3047" s="19"/>
      <c r="B3047" s="19"/>
      <c r="C3047" s="19"/>
      <c r="D3047" s="19"/>
      <c r="E3047" s="19"/>
      <c r="F3047" s="20"/>
      <c r="G3047" s="20"/>
      <c r="H3047" s="21"/>
      <c r="I3047" s="19"/>
      <c r="J3047" s="19"/>
      <c r="K3047" s="4"/>
      <c r="L3047" s="4"/>
    </row>
    <row r="3048" spans="1:12" x14ac:dyDescent="0.25">
      <c r="A3048" s="19"/>
      <c r="B3048" s="19"/>
      <c r="C3048" s="19"/>
      <c r="D3048" s="19"/>
      <c r="E3048" s="19"/>
      <c r="F3048" s="20"/>
      <c r="G3048" s="20"/>
      <c r="H3048" s="21"/>
      <c r="I3048" s="19"/>
      <c r="J3048" s="19"/>
      <c r="K3048" s="4"/>
      <c r="L3048" s="4"/>
    </row>
    <row r="3049" spans="1:12" x14ac:dyDescent="0.25">
      <c r="A3049" s="19"/>
      <c r="B3049" s="19"/>
      <c r="C3049" s="19"/>
      <c r="D3049" s="19"/>
      <c r="E3049" s="19"/>
      <c r="F3049" s="20"/>
      <c r="G3049" s="20"/>
      <c r="H3049" s="21"/>
      <c r="I3049" s="19"/>
      <c r="J3049" s="19"/>
      <c r="K3049" s="4"/>
      <c r="L3049" s="4"/>
    </row>
    <row r="3050" spans="1:12" x14ac:dyDescent="0.25">
      <c r="A3050" s="19"/>
      <c r="B3050" s="19"/>
      <c r="C3050" s="19"/>
      <c r="D3050" s="19"/>
      <c r="E3050" s="19"/>
      <c r="F3050" s="20"/>
      <c r="G3050" s="20"/>
      <c r="H3050" s="21"/>
      <c r="I3050" s="19"/>
      <c r="J3050" s="19"/>
      <c r="K3050" s="4"/>
      <c r="L3050" s="4"/>
    </row>
    <row r="3051" spans="1:12" x14ac:dyDescent="0.25">
      <c r="A3051" s="19"/>
      <c r="B3051" s="19"/>
      <c r="C3051" s="19"/>
      <c r="D3051" s="19"/>
      <c r="E3051" s="19"/>
      <c r="F3051" s="20"/>
      <c r="G3051" s="20"/>
      <c r="H3051" s="21"/>
      <c r="I3051" s="19"/>
      <c r="J3051" s="19"/>
      <c r="K3051" s="4"/>
      <c r="L3051" s="4"/>
    </row>
    <row r="3052" spans="1:12" x14ac:dyDescent="0.25">
      <c r="A3052" s="22"/>
      <c r="B3052" s="22"/>
      <c r="C3052" s="22"/>
      <c r="D3052" s="22"/>
      <c r="E3052" s="22"/>
      <c r="F3052" s="23"/>
      <c r="G3052" s="23"/>
      <c r="H3052" s="24"/>
      <c r="I3052" s="22"/>
      <c r="J3052" s="22"/>
      <c r="K3052" s="22"/>
      <c r="L3052" s="4"/>
    </row>
    <row r="3053" spans="1:12" x14ac:dyDescent="0.25">
      <c r="A3053" s="22"/>
      <c r="B3053" s="22"/>
      <c r="C3053" s="22"/>
      <c r="D3053" s="22"/>
      <c r="E3053" s="22"/>
      <c r="F3053" s="23"/>
      <c r="G3053" s="23"/>
      <c r="H3053" s="24"/>
      <c r="I3053" s="22"/>
      <c r="J3053" s="22"/>
      <c r="K3053" s="22"/>
      <c r="L3053" s="4"/>
    </row>
    <row r="3054" spans="1:12" x14ac:dyDescent="0.25">
      <c r="A3054" s="22"/>
      <c r="B3054" s="22"/>
      <c r="C3054" s="22"/>
      <c r="D3054" s="22"/>
      <c r="E3054" s="22"/>
      <c r="F3054" s="23"/>
      <c r="G3054" s="23"/>
      <c r="H3054" s="24"/>
      <c r="I3054" s="22"/>
      <c r="J3054" s="22"/>
      <c r="K3054" s="22"/>
      <c r="L3054" s="4"/>
    </row>
    <row r="3055" spans="1:12" x14ac:dyDescent="0.25">
      <c r="A3055" s="22"/>
      <c r="B3055" s="22"/>
      <c r="C3055" s="22"/>
      <c r="D3055" s="22"/>
      <c r="E3055" s="22"/>
      <c r="F3055" s="23"/>
      <c r="G3055" s="23"/>
      <c r="H3055" s="24"/>
      <c r="I3055" s="22"/>
      <c r="J3055" s="22"/>
      <c r="K3055" s="22"/>
      <c r="L3055" s="4"/>
    </row>
    <row r="3056" spans="1:12" x14ac:dyDescent="0.25">
      <c r="A3056" s="22"/>
      <c r="B3056" s="22"/>
      <c r="C3056" s="22"/>
      <c r="D3056" s="22"/>
      <c r="E3056" s="22"/>
      <c r="F3056" s="23"/>
      <c r="G3056" s="23"/>
      <c r="H3056" s="24"/>
      <c r="I3056" s="22"/>
      <c r="J3056" s="22"/>
      <c r="K3056" s="22"/>
      <c r="L3056" s="4"/>
    </row>
    <row r="3057" spans="1:12" x14ac:dyDescent="0.25">
      <c r="A3057" s="25"/>
      <c r="B3057" s="25"/>
      <c r="C3057" s="25"/>
      <c r="D3057" s="25"/>
      <c r="E3057" s="25"/>
      <c r="F3057" s="26"/>
      <c r="G3057" s="26"/>
      <c r="H3057" s="27"/>
      <c r="I3057" s="25"/>
      <c r="J3057" s="25"/>
      <c r="K3057" s="25"/>
      <c r="L3057" s="4"/>
    </row>
    <row r="3058" spans="1:12" x14ac:dyDescent="0.25">
      <c r="A3058" s="25"/>
      <c r="B3058" s="25"/>
      <c r="C3058" s="25"/>
      <c r="D3058" s="25"/>
      <c r="E3058" s="25"/>
      <c r="F3058" s="26"/>
      <c r="G3058" s="26"/>
      <c r="H3058" s="27"/>
      <c r="I3058" s="25"/>
      <c r="J3058" s="25"/>
      <c r="K3058" s="25"/>
      <c r="L3058" s="4"/>
    </row>
    <row r="3059" spans="1:12" x14ac:dyDescent="0.25">
      <c r="A3059" s="25"/>
      <c r="B3059" s="25"/>
      <c r="C3059" s="25"/>
      <c r="D3059" s="25"/>
      <c r="E3059" s="25"/>
      <c r="F3059" s="26"/>
      <c r="G3059" s="26"/>
      <c r="H3059" s="27"/>
      <c r="I3059" s="25"/>
      <c r="J3059" s="25"/>
      <c r="K3059" s="25"/>
      <c r="L3059" s="4"/>
    </row>
    <row r="3060" spans="1:12" x14ac:dyDescent="0.25">
      <c r="A3060" s="25"/>
      <c r="B3060" s="25"/>
      <c r="C3060" s="25"/>
      <c r="D3060" s="25"/>
      <c r="E3060" s="25"/>
      <c r="F3060" s="26"/>
      <c r="G3060" s="26"/>
      <c r="H3060" s="27"/>
      <c r="I3060" s="25"/>
      <c r="J3060" s="25"/>
      <c r="K3060" s="25"/>
      <c r="L3060" s="4"/>
    </row>
    <row r="3061" spans="1:12" x14ac:dyDescent="0.25">
      <c r="A3061" s="25"/>
      <c r="B3061" s="25"/>
      <c r="C3061" s="25"/>
      <c r="D3061" s="25"/>
      <c r="E3061" s="25"/>
      <c r="F3061" s="26"/>
      <c r="G3061" s="26"/>
      <c r="H3061" s="27"/>
      <c r="I3061" s="25"/>
      <c r="J3061" s="25"/>
      <c r="K3061" s="25"/>
      <c r="L3061" s="4"/>
    </row>
    <row r="3062" spans="1:12" x14ac:dyDescent="0.25">
      <c r="A3062" s="25"/>
      <c r="B3062" s="25"/>
      <c r="C3062" s="25"/>
      <c r="D3062" s="25"/>
      <c r="E3062" s="25"/>
      <c r="F3062" s="26"/>
      <c r="G3062" s="26"/>
      <c r="H3062" s="27"/>
      <c r="I3062" s="25"/>
      <c r="J3062" s="25"/>
      <c r="K3062" s="25"/>
      <c r="L3062" s="4"/>
    </row>
    <row r="3063" spans="1:12" x14ac:dyDescent="0.25">
      <c r="A3063" s="25"/>
      <c r="B3063" s="25"/>
      <c r="C3063" s="25"/>
      <c r="D3063" s="25"/>
      <c r="E3063" s="25"/>
      <c r="F3063" s="26"/>
      <c r="G3063" s="26"/>
      <c r="H3063" s="27"/>
      <c r="I3063" s="25"/>
      <c r="J3063" s="25"/>
      <c r="K3063" s="25"/>
      <c r="L3063" s="4"/>
    </row>
    <row r="3064" spans="1:12" x14ac:dyDescent="0.25">
      <c r="A3064" s="25"/>
      <c r="B3064" s="25"/>
      <c r="C3064" s="25"/>
      <c r="D3064" s="25"/>
      <c r="E3064" s="25"/>
      <c r="F3064" s="26"/>
      <c r="G3064" s="26"/>
      <c r="H3064" s="27"/>
      <c r="I3064" s="25"/>
      <c r="J3064" s="25"/>
      <c r="K3064" s="25"/>
      <c r="L3064" s="4"/>
    </row>
    <row r="3065" spans="1:12" x14ac:dyDescent="0.25">
      <c r="A3065" s="25"/>
      <c r="B3065" s="25"/>
      <c r="C3065" s="25"/>
      <c r="D3065" s="25"/>
      <c r="E3065" s="25"/>
      <c r="F3065" s="26"/>
      <c r="G3065" s="26"/>
      <c r="H3065" s="27"/>
      <c r="I3065" s="25"/>
      <c r="J3065" s="25"/>
      <c r="K3065" s="25"/>
      <c r="L3065" s="4"/>
    </row>
    <row r="3066" spans="1:12" x14ac:dyDescent="0.25">
      <c r="A3066" s="25"/>
      <c r="B3066" s="25"/>
      <c r="C3066" s="25"/>
      <c r="D3066" s="25"/>
      <c r="E3066" s="25"/>
      <c r="F3066" s="26"/>
      <c r="G3066" s="26"/>
      <c r="H3066" s="27"/>
      <c r="I3066" s="25"/>
      <c r="J3066" s="25"/>
      <c r="K3066" s="25"/>
      <c r="L3066" s="4"/>
    </row>
    <row r="3067" spans="1:12" x14ac:dyDescent="0.25">
      <c r="A3067" s="25"/>
      <c r="B3067" s="25"/>
      <c r="C3067" s="25"/>
      <c r="D3067" s="25"/>
      <c r="E3067" s="25"/>
      <c r="F3067" s="26"/>
      <c r="G3067" s="26"/>
      <c r="H3067" s="27"/>
      <c r="I3067" s="25"/>
      <c r="J3067" s="25"/>
      <c r="K3067" s="25"/>
      <c r="L3067" s="4"/>
    </row>
    <row r="3068" spans="1:12" x14ac:dyDescent="0.25">
      <c r="A3068" s="25"/>
      <c r="B3068" s="25"/>
      <c r="C3068" s="25"/>
      <c r="D3068" s="25"/>
      <c r="E3068" s="25"/>
      <c r="F3068" s="26"/>
      <c r="G3068" s="26"/>
      <c r="H3068" s="27"/>
      <c r="I3068" s="25"/>
      <c r="J3068" s="25"/>
      <c r="K3068" s="25"/>
      <c r="L3068" s="4"/>
    </row>
    <row r="3069" spans="1:12" x14ac:dyDescent="0.25">
      <c r="A3069" s="25"/>
      <c r="B3069" s="25"/>
      <c r="C3069" s="25"/>
      <c r="D3069" s="25"/>
      <c r="E3069" s="25"/>
      <c r="F3069" s="26"/>
      <c r="G3069" s="26"/>
      <c r="H3069" s="27"/>
      <c r="I3069" s="25"/>
      <c r="J3069" s="25"/>
      <c r="K3069" s="25"/>
      <c r="L3069" s="4"/>
    </row>
    <row r="3070" spans="1:12" x14ac:dyDescent="0.25">
      <c r="A3070" s="25"/>
      <c r="B3070" s="25"/>
      <c r="C3070" s="25"/>
      <c r="D3070" s="25"/>
      <c r="E3070" s="25"/>
      <c r="F3070" s="26"/>
      <c r="G3070" s="26"/>
      <c r="H3070" s="27"/>
      <c r="I3070" s="25"/>
      <c r="J3070" s="25"/>
      <c r="K3070" s="25"/>
      <c r="L3070" s="4"/>
    </row>
    <row r="3071" spans="1:12" x14ac:dyDescent="0.25">
      <c r="A3071" s="25"/>
      <c r="B3071" s="25"/>
      <c r="C3071" s="25"/>
      <c r="D3071" s="25"/>
      <c r="E3071" s="25"/>
      <c r="F3071" s="26"/>
      <c r="G3071" s="26"/>
      <c r="H3071" s="27"/>
      <c r="I3071" s="25"/>
      <c r="J3071" s="25"/>
      <c r="K3071" s="25"/>
      <c r="L3071" s="4"/>
    </row>
    <row r="3072" spans="1:12" x14ac:dyDescent="0.25">
      <c r="A3072" s="25"/>
      <c r="B3072" s="25"/>
      <c r="C3072" s="25"/>
      <c r="D3072" s="25"/>
      <c r="E3072" s="25"/>
      <c r="F3072" s="26"/>
      <c r="G3072" s="26"/>
      <c r="H3072" s="27"/>
      <c r="I3072" s="25"/>
      <c r="J3072" s="25"/>
      <c r="K3072" s="25"/>
      <c r="L3072" s="4"/>
    </row>
    <row r="3073" spans="1:12" x14ac:dyDescent="0.25">
      <c r="A3073" s="25"/>
      <c r="B3073" s="25"/>
      <c r="C3073" s="25"/>
      <c r="D3073" s="25"/>
      <c r="E3073" s="25"/>
      <c r="F3073" s="26"/>
      <c r="G3073" s="26"/>
      <c r="H3073" s="27"/>
      <c r="I3073" s="25"/>
      <c r="J3073" s="25"/>
      <c r="K3073" s="4"/>
      <c r="L3073" s="4"/>
    </row>
    <row r="3074" spans="1:12" x14ac:dyDescent="0.25">
      <c r="A3074" s="25"/>
      <c r="B3074" s="25"/>
      <c r="C3074" s="25"/>
      <c r="D3074" s="25"/>
      <c r="E3074" s="25"/>
      <c r="F3074" s="26"/>
      <c r="G3074" s="26"/>
      <c r="H3074" s="27"/>
      <c r="I3074" s="25"/>
      <c r="J3074" s="25"/>
      <c r="K3074" s="4"/>
      <c r="L3074" s="4"/>
    </row>
    <row r="3075" spans="1:12" x14ac:dyDescent="0.25">
      <c r="A3075" s="25"/>
      <c r="B3075" s="25"/>
      <c r="C3075" s="25"/>
      <c r="D3075" s="25"/>
      <c r="E3075" s="25"/>
      <c r="F3075" s="26"/>
      <c r="G3075" s="26"/>
      <c r="H3075" s="27"/>
      <c r="I3075" s="25"/>
      <c r="J3075" s="25"/>
      <c r="K3075" s="4"/>
      <c r="L3075" s="4"/>
    </row>
    <row r="3076" spans="1:12" x14ac:dyDescent="0.25">
      <c r="A3076" s="25"/>
      <c r="B3076" s="25"/>
      <c r="C3076" s="25"/>
      <c r="D3076" s="25"/>
      <c r="E3076" s="25"/>
      <c r="F3076" s="26"/>
      <c r="G3076" s="26"/>
      <c r="H3076" s="27"/>
      <c r="I3076" s="25"/>
      <c r="J3076" s="25"/>
      <c r="K3076" s="4"/>
      <c r="L3076" s="4"/>
    </row>
    <row r="3077" spans="1:12" x14ac:dyDescent="0.25">
      <c r="A3077" s="25"/>
      <c r="B3077" s="25"/>
      <c r="C3077" s="25"/>
      <c r="D3077" s="25"/>
      <c r="E3077" s="25"/>
      <c r="F3077" s="26"/>
      <c r="G3077" s="26"/>
      <c r="H3077" s="27"/>
      <c r="I3077" s="25"/>
      <c r="J3077" s="25"/>
      <c r="K3077" s="4"/>
      <c r="L3077" s="4"/>
    </row>
    <row r="3078" spans="1:12" x14ac:dyDescent="0.25">
      <c r="A3078" s="25"/>
      <c r="B3078" s="25"/>
      <c r="C3078" s="25"/>
      <c r="D3078" s="25"/>
      <c r="E3078" s="25"/>
      <c r="F3078" s="26"/>
      <c r="G3078" s="26"/>
      <c r="H3078" s="27"/>
      <c r="I3078" s="25"/>
      <c r="J3078" s="25"/>
      <c r="K3078" s="4"/>
      <c r="L3078" s="4"/>
    </row>
    <row r="3079" spans="1:12" x14ac:dyDescent="0.25">
      <c r="A3079" s="25"/>
      <c r="B3079" s="25"/>
      <c r="C3079" s="25"/>
      <c r="D3079" s="25"/>
      <c r="E3079" s="25"/>
      <c r="F3079" s="26"/>
      <c r="G3079" s="26"/>
      <c r="H3079" s="27"/>
      <c r="I3079" s="25"/>
      <c r="J3079" s="25"/>
      <c r="K3079" s="4"/>
      <c r="L3079" s="4"/>
    </row>
    <row r="3080" spans="1:12" x14ac:dyDescent="0.25">
      <c r="A3080" s="25"/>
      <c r="B3080" s="25"/>
      <c r="C3080" s="25"/>
      <c r="D3080" s="25"/>
      <c r="E3080" s="25"/>
      <c r="F3080" s="26"/>
      <c r="G3080" s="26"/>
      <c r="H3080" s="27"/>
      <c r="I3080" s="25"/>
      <c r="J3080" s="25"/>
      <c r="K3080" s="4"/>
      <c r="L3080" s="4"/>
    </row>
    <row r="3081" spans="1:12" x14ac:dyDescent="0.25">
      <c r="A3081" s="25"/>
      <c r="B3081" s="25"/>
      <c r="C3081" s="25"/>
      <c r="D3081" s="25"/>
      <c r="E3081" s="25"/>
      <c r="F3081" s="26"/>
      <c r="G3081" s="26"/>
      <c r="H3081" s="27"/>
      <c r="I3081" s="25"/>
      <c r="J3081" s="25"/>
      <c r="K3081" s="4"/>
      <c r="L3081" s="4"/>
    </row>
    <row r="3082" spans="1:12" x14ac:dyDescent="0.25">
      <c r="A3082" s="25"/>
      <c r="B3082" s="25"/>
      <c r="C3082" s="25"/>
      <c r="D3082" s="25"/>
      <c r="E3082" s="25"/>
      <c r="F3082" s="26"/>
      <c r="G3082" s="26"/>
      <c r="H3082" s="27"/>
      <c r="I3082" s="25"/>
      <c r="J3082" s="25"/>
      <c r="K3082" s="4"/>
      <c r="L3082" s="4"/>
    </row>
    <row r="3083" spans="1:12" x14ac:dyDescent="0.25">
      <c r="A3083" s="25"/>
      <c r="B3083" s="25"/>
      <c r="C3083" s="25"/>
      <c r="D3083" s="25"/>
      <c r="E3083" s="25"/>
      <c r="F3083" s="26"/>
      <c r="G3083" s="26"/>
      <c r="H3083" s="27"/>
      <c r="I3083" s="25"/>
      <c r="J3083" s="25"/>
      <c r="K3083" s="4"/>
      <c r="L3083" s="4"/>
    </row>
    <row r="3084" spans="1:12" x14ac:dyDescent="0.25">
      <c r="A3084" s="25"/>
      <c r="B3084" s="25"/>
      <c r="C3084" s="25"/>
      <c r="D3084" s="25"/>
      <c r="E3084" s="25"/>
      <c r="F3084" s="26"/>
      <c r="G3084" s="26"/>
      <c r="H3084" s="27"/>
      <c r="I3084" s="25"/>
      <c r="J3084" s="25"/>
      <c r="K3084" s="4"/>
      <c r="L3084" s="4"/>
    </row>
    <row r="3085" spans="1:12" x14ac:dyDescent="0.25">
      <c r="A3085" s="25"/>
      <c r="B3085" s="25"/>
      <c r="C3085" s="25"/>
      <c r="D3085" s="25"/>
      <c r="E3085" s="25"/>
      <c r="F3085" s="26"/>
      <c r="G3085" s="26"/>
      <c r="H3085" s="27"/>
      <c r="I3085" s="25"/>
      <c r="J3085" s="25"/>
      <c r="K3085" s="4"/>
      <c r="L3085" s="4"/>
    </row>
    <row r="3086" spans="1:12" x14ac:dyDescent="0.25">
      <c r="A3086" s="25"/>
      <c r="B3086" s="25"/>
      <c r="C3086" s="25"/>
      <c r="D3086" s="25"/>
      <c r="E3086" s="25"/>
      <c r="F3086" s="26"/>
      <c r="G3086" s="26"/>
      <c r="H3086" s="27"/>
      <c r="I3086" s="25"/>
      <c r="J3086" s="25"/>
      <c r="K3086" s="4"/>
      <c r="L3086" s="4"/>
    </row>
    <row r="3087" spans="1:12" x14ac:dyDescent="0.25">
      <c r="A3087" s="25"/>
      <c r="B3087" s="25"/>
      <c r="C3087" s="25"/>
      <c r="D3087" s="25"/>
      <c r="E3087" s="25"/>
      <c r="F3087" s="26"/>
      <c r="G3087" s="26"/>
      <c r="H3087" s="27"/>
      <c r="I3087" s="25"/>
      <c r="J3087" s="25"/>
      <c r="K3087" s="4"/>
      <c r="L3087" s="4"/>
    </row>
    <row r="3088" spans="1:12" x14ac:dyDescent="0.25">
      <c r="A3088" s="25"/>
      <c r="B3088" s="25"/>
      <c r="C3088" s="25"/>
      <c r="D3088" s="25"/>
      <c r="E3088" s="25"/>
      <c r="F3088" s="26"/>
      <c r="G3088" s="26"/>
      <c r="H3088" s="27"/>
      <c r="I3088" s="25"/>
      <c r="J3088" s="25"/>
      <c r="K3088" s="4"/>
      <c r="L3088" s="4"/>
    </row>
    <row r="3089" spans="1:12" x14ac:dyDescent="0.25">
      <c r="A3089" s="25"/>
      <c r="B3089" s="25"/>
      <c r="C3089" s="25"/>
      <c r="D3089" s="25"/>
      <c r="E3089" s="25"/>
      <c r="F3089" s="26"/>
      <c r="G3089" s="26"/>
      <c r="H3089" s="27"/>
      <c r="I3089" s="25"/>
      <c r="J3089" s="25"/>
      <c r="K3089" s="4"/>
      <c r="L3089" s="4"/>
    </row>
    <row r="3090" spans="1:12" x14ac:dyDescent="0.25">
      <c r="A3090" s="25"/>
      <c r="B3090" s="25"/>
      <c r="C3090" s="25"/>
      <c r="D3090" s="25"/>
      <c r="E3090" s="25"/>
      <c r="F3090" s="26"/>
      <c r="G3090" s="26"/>
      <c r="H3090" s="27"/>
      <c r="I3090" s="25"/>
      <c r="J3090" s="25"/>
      <c r="K3090" s="4"/>
      <c r="L3090" s="4"/>
    </row>
    <row r="3091" spans="1:12" x14ac:dyDescent="0.25">
      <c r="A3091" s="25"/>
      <c r="B3091" s="25"/>
      <c r="C3091" s="25"/>
      <c r="D3091" s="25"/>
      <c r="E3091" s="25"/>
      <c r="F3091" s="26"/>
      <c r="G3091" s="26"/>
      <c r="H3091" s="27"/>
      <c r="I3091" s="25"/>
      <c r="J3091" s="25"/>
      <c r="K3091" s="4"/>
      <c r="L3091" s="4"/>
    </row>
    <row r="3092" spans="1:12" x14ac:dyDescent="0.25">
      <c r="A3092" s="25"/>
      <c r="B3092" s="25"/>
      <c r="C3092" s="25"/>
      <c r="D3092" s="25"/>
      <c r="E3092" s="25"/>
      <c r="F3092" s="26"/>
      <c r="G3092" s="26"/>
      <c r="H3092" s="27"/>
      <c r="I3092" s="25"/>
      <c r="J3092" s="25"/>
      <c r="K3092" s="4"/>
      <c r="L3092" s="4"/>
    </row>
    <row r="3093" spans="1:12" x14ac:dyDescent="0.25">
      <c r="A3093" s="25"/>
      <c r="B3093" s="25"/>
      <c r="C3093" s="25"/>
      <c r="D3093" s="25"/>
      <c r="E3093" s="25"/>
      <c r="F3093" s="26"/>
      <c r="G3093" s="26"/>
      <c r="H3093" s="27"/>
      <c r="I3093" s="25"/>
      <c r="J3093" s="25"/>
      <c r="K3093" s="4"/>
      <c r="L3093" s="4"/>
    </row>
    <row r="3094" spans="1:12" x14ac:dyDescent="0.25">
      <c r="A3094" s="25"/>
      <c r="B3094" s="25"/>
      <c r="C3094" s="25"/>
      <c r="D3094" s="25"/>
      <c r="E3094" s="25"/>
      <c r="F3094" s="26"/>
      <c r="G3094" s="26"/>
      <c r="H3094" s="27"/>
      <c r="I3094" s="25"/>
      <c r="J3094" s="25"/>
      <c r="K3094" s="4"/>
      <c r="L3094" s="4"/>
    </row>
    <row r="3095" spans="1:12" x14ac:dyDescent="0.25">
      <c r="A3095" s="25"/>
      <c r="B3095" s="25"/>
      <c r="C3095" s="25"/>
      <c r="D3095" s="25"/>
      <c r="E3095" s="25"/>
      <c r="F3095" s="26"/>
      <c r="G3095" s="26"/>
      <c r="H3095" s="27"/>
      <c r="I3095" s="25"/>
      <c r="J3095" s="25"/>
      <c r="K3095" s="4"/>
      <c r="L3095" s="4"/>
    </row>
    <row r="3096" spans="1:12" x14ac:dyDescent="0.25">
      <c r="A3096" s="25"/>
      <c r="B3096" s="25"/>
      <c r="C3096" s="25"/>
      <c r="D3096" s="25"/>
      <c r="E3096" s="25"/>
      <c r="F3096" s="26"/>
      <c r="G3096" s="26"/>
      <c r="H3096" s="27"/>
      <c r="I3096" s="25"/>
      <c r="J3096" s="25"/>
      <c r="K3096" s="4"/>
      <c r="L3096" s="4"/>
    </row>
    <row r="3097" spans="1:12" x14ac:dyDescent="0.25">
      <c r="A3097" s="25"/>
      <c r="B3097" s="25"/>
      <c r="C3097" s="25"/>
      <c r="D3097" s="25"/>
      <c r="E3097" s="25"/>
      <c r="F3097" s="26"/>
      <c r="G3097" s="26"/>
      <c r="H3097" s="27"/>
      <c r="I3097" s="25"/>
      <c r="J3097" s="25"/>
      <c r="K3097" s="4"/>
      <c r="L3097" s="4"/>
    </row>
    <row r="3098" spans="1:12" x14ac:dyDescent="0.25">
      <c r="A3098" s="25"/>
      <c r="B3098" s="25"/>
      <c r="C3098" s="25"/>
      <c r="D3098" s="25"/>
      <c r="E3098" s="25"/>
      <c r="F3098" s="26"/>
      <c r="G3098" s="26"/>
      <c r="H3098" s="27"/>
      <c r="I3098" s="25"/>
      <c r="J3098" s="25"/>
      <c r="K3098" s="4"/>
      <c r="L3098" s="4"/>
    </row>
    <row r="3099" spans="1:12" x14ac:dyDescent="0.25">
      <c r="A3099" s="25"/>
      <c r="B3099" s="25"/>
      <c r="C3099" s="25"/>
      <c r="D3099" s="25"/>
      <c r="E3099" s="25"/>
      <c r="F3099" s="26"/>
      <c r="G3099" s="26"/>
      <c r="H3099" s="27"/>
      <c r="I3099" s="25"/>
      <c r="J3099" s="25"/>
      <c r="K3099" s="4"/>
      <c r="L3099" s="4"/>
    </row>
    <row r="3100" spans="1:12" x14ac:dyDescent="0.25">
      <c r="A3100" s="25"/>
      <c r="B3100" s="25"/>
      <c r="C3100" s="25"/>
      <c r="D3100" s="25"/>
      <c r="E3100" s="25"/>
      <c r="F3100" s="26"/>
      <c r="G3100" s="26"/>
      <c r="H3100" s="27"/>
      <c r="I3100" s="25"/>
      <c r="J3100" s="25"/>
      <c r="K3100" s="4"/>
      <c r="L3100" s="4"/>
    </row>
    <row r="3101" spans="1:12" x14ac:dyDescent="0.25">
      <c r="A3101" s="25"/>
      <c r="B3101" s="25"/>
      <c r="C3101" s="25"/>
      <c r="D3101" s="25"/>
      <c r="E3101" s="25"/>
      <c r="F3101" s="26"/>
      <c r="G3101" s="26"/>
      <c r="H3101" s="27"/>
      <c r="I3101" s="25"/>
      <c r="J3101" s="25"/>
      <c r="K3101" s="4"/>
      <c r="L3101" s="4"/>
    </row>
    <row r="3102" spans="1:12" x14ac:dyDescent="0.25">
      <c r="A3102" s="25"/>
      <c r="B3102" s="25"/>
      <c r="C3102" s="25"/>
      <c r="D3102" s="25"/>
      <c r="E3102" s="25"/>
      <c r="F3102" s="26"/>
      <c r="G3102" s="26"/>
      <c r="H3102" s="27"/>
      <c r="I3102" s="25"/>
      <c r="J3102" s="25"/>
      <c r="K3102" s="4"/>
      <c r="L3102" s="4"/>
    </row>
    <row r="3103" spans="1:12" x14ac:dyDescent="0.25">
      <c r="A3103" s="25"/>
      <c r="B3103" s="25"/>
      <c r="C3103" s="25"/>
      <c r="D3103" s="25"/>
      <c r="E3103" s="25"/>
      <c r="F3103" s="26"/>
      <c r="G3103" s="26"/>
      <c r="H3103" s="27"/>
      <c r="I3103" s="25"/>
      <c r="J3103" s="25"/>
      <c r="K3103" s="4"/>
      <c r="L3103" s="4"/>
    </row>
    <row r="3104" spans="1:12" x14ac:dyDescent="0.25">
      <c r="A3104" s="25"/>
      <c r="B3104" s="25"/>
      <c r="C3104" s="25"/>
      <c r="D3104" s="25"/>
      <c r="E3104" s="25"/>
      <c r="F3104" s="26"/>
      <c r="G3104" s="26"/>
      <c r="H3104" s="27"/>
      <c r="I3104" s="25"/>
      <c r="J3104" s="25"/>
      <c r="K3104" s="4"/>
      <c r="L3104" s="4"/>
    </row>
    <row r="3105" spans="1:12" x14ac:dyDescent="0.25">
      <c r="A3105" s="25"/>
      <c r="B3105" s="25"/>
      <c r="C3105" s="25"/>
      <c r="D3105" s="25"/>
      <c r="E3105" s="25"/>
      <c r="F3105" s="26"/>
      <c r="G3105" s="26"/>
      <c r="H3105" s="27"/>
      <c r="I3105" s="25"/>
      <c r="J3105" s="25"/>
      <c r="K3105" s="4"/>
      <c r="L3105" s="4"/>
    </row>
    <row r="3106" spans="1:12" x14ac:dyDescent="0.25">
      <c r="A3106" s="25"/>
      <c r="B3106" s="25"/>
      <c r="C3106" s="25"/>
      <c r="D3106" s="25"/>
      <c r="E3106" s="25"/>
      <c r="F3106" s="26"/>
      <c r="G3106" s="26"/>
      <c r="H3106" s="27"/>
      <c r="I3106" s="25"/>
      <c r="J3106" s="25"/>
      <c r="K3106" s="4"/>
      <c r="L3106" s="4"/>
    </row>
    <row r="3107" spans="1:12" x14ac:dyDescent="0.25">
      <c r="A3107" s="25"/>
      <c r="B3107" s="25"/>
      <c r="C3107" s="25"/>
      <c r="D3107" s="25"/>
      <c r="E3107" s="25"/>
      <c r="F3107" s="26"/>
      <c r="G3107" s="26"/>
      <c r="H3107" s="27"/>
      <c r="I3107" s="25"/>
      <c r="J3107" s="25"/>
      <c r="K3107" s="4"/>
      <c r="L3107" s="4"/>
    </row>
    <row r="3108" spans="1:12" x14ac:dyDescent="0.25">
      <c r="A3108" s="25"/>
      <c r="B3108" s="25"/>
      <c r="C3108" s="25"/>
      <c r="D3108" s="25"/>
      <c r="E3108" s="25"/>
      <c r="F3108" s="26"/>
      <c r="G3108" s="26"/>
      <c r="H3108" s="27"/>
      <c r="I3108" s="25"/>
      <c r="J3108" s="25"/>
      <c r="K3108" s="4"/>
      <c r="L3108" s="4"/>
    </row>
    <row r="3109" spans="1:12" x14ac:dyDescent="0.25">
      <c r="A3109" s="25"/>
      <c r="B3109" s="25"/>
      <c r="C3109" s="25"/>
      <c r="D3109" s="25"/>
      <c r="E3109" s="25"/>
      <c r="F3109" s="26"/>
      <c r="G3109" s="26"/>
      <c r="H3109" s="27"/>
      <c r="I3109" s="25"/>
      <c r="J3109" s="25"/>
      <c r="K3109" s="4"/>
      <c r="L3109" s="4"/>
    </row>
    <row r="3110" spans="1:12" x14ac:dyDescent="0.25">
      <c r="A3110" s="25"/>
      <c r="B3110" s="25"/>
      <c r="C3110" s="25"/>
      <c r="D3110" s="25"/>
      <c r="E3110" s="25"/>
      <c r="F3110" s="26"/>
      <c r="G3110" s="26"/>
      <c r="H3110" s="27"/>
      <c r="I3110" s="25"/>
      <c r="J3110" s="25"/>
      <c r="K3110" s="4"/>
      <c r="L3110" s="4"/>
    </row>
    <row r="3111" spans="1:12" x14ac:dyDescent="0.25">
      <c r="A3111" s="25"/>
      <c r="B3111" s="25"/>
      <c r="C3111" s="25"/>
      <c r="D3111" s="25"/>
      <c r="E3111" s="25"/>
      <c r="F3111" s="26"/>
      <c r="G3111" s="26"/>
      <c r="H3111" s="27"/>
      <c r="I3111" s="25"/>
      <c r="J3111" s="25"/>
      <c r="K3111" s="4"/>
      <c r="L3111" s="4"/>
    </row>
    <row r="3112" spans="1:12" x14ac:dyDescent="0.25">
      <c r="A3112" s="25"/>
      <c r="B3112" s="25"/>
      <c r="C3112" s="25"/>
      <c r="D3112" s="25"/>
      <c r="E3112" s="25"/>
      <c r="F3112" s="26"/>
      <c r="G3112" s="26"/>
      <c r="H3112" s="27"/>
      <c r="I3112" s="25"/>
      <c r="J3112" s="25"/>
      <c r="K3112" s="4"/>
      <c r="L3112" s="4"/>
    </row>
    <row r="3113" spans="1:12" x14ac:dyDescent="0.25">
      <c r="A3113" s="25"/>
      <c r="B3113" s="25"/>
      <c r="C3113" s="25"/>
      <c r="D3113" s="25"/>
      <c r="E3113" s="25"/>
      <c r="F3113" s="26"/>
      <c r="G3113" s="26"/>
      <c r="H3113" s="27"/>
      <c r="I3113" s="25"/>
      <c r="J3113" s="25"/>
      <c r="K3113" s="4"/>
      <c r="L3113" s="4"/>
    </row>
    <row r="3114" spans="1:12" x14ac:dyDescent="0.25">
      <c r="A3114" s="25"/>
      <c r="B3114" s="25"/>
      <c r="C3114" s="25"/>
      <c r="D3114" s="25"/>
      <c r="E3114" s="25"/>
      <c r="F3114" s="26"/>
      <c r="G3114" s="26"/>
      <c r="H3114" s="27"/>
      <c r="I3114" s="25"/>
      <c r="J3114" s="25"/>
      <c r="K3114" s="4"/>
      <c r="L3114" s="4"/>
    </row>
    <row r="3115" spans="1:12" x14ac:dyDescent="0.25">
      <c r="A3115" s="25"/>
      <c r="B3115" s="25"/>
      <c r="C3115" s="25"/>
      <c r="D3115" s="25"/>
      <c r="E3115" s="25"/>
      <c r="F3115" s="26"/>
      <c r="G3115" s="26"/>
      <c r="H3115" s="27"/>
      <c r="I3115" s="25"/>
      <c r="J3115" s="25"/>
      <c r="K3115" s="4"/>
      <c r="L3115" s="4"/>
    </row>
    <row r="3116" spans="1:12" x14ac:dyDescent="0.25">
      <c r="A3116" s="25"/>
      <c r="B3116" s="25"/>
      <c r="C3116" s="25"/>
      <c r="D3116" s="25"/>
      <c r="E3116" s="25"/>
      <c r="F3116" s="26"/>
      <c r="G3116" s="26"/>
      <c r="H3116" s="27"/>
      <c r="I3116" s="25"/>
      <c r="J3116" s="25"/>
      <c r="K3116" s="4"/>
      <c r="L3116" s="4"/>
    </row>
    <row r="3117" spans="1:12" x14ac:dyDescent="0.25">
      <c r="A3117" s="25"/>
      <c r="B3117" s="25"/>
      <c r="C3117" s="25"/>
      <c r="D3117" s="25"/>
      <c r="E3117" s="25"/>
      <c r="F3117" s="26"/>
      <c r="G3117" s="26"/>
      <c r="H3117" s="27"/>
      <c r="I3117" s="25"/>
      <c r="J3117" s="25"/>
      <c r="K3117" s="4"/>
      <c r="L3117" s="4"/>
    </row>
    <row r="3118" spans="1:12" x14ac:dyDescent="0.25">
      <c r="A3118" s="25"/>
      <c r="B3118" s="25"/>
      <c r="C3118" s="25"/>
      <c r="D3118" s="25"/>
      <c r="E3118" s="25"/>
      <c r="F3118" s="26"/>
      <c r="G3118" s="26"/>
      <c r="H3118" s="27"/>
      <c r="I3118" s="25"/>
      <c r="J3118" s="25"/>
      <c r="K3118" s="4"/>
      <c r="L3118" s="4"/>
    </row>
    <row r="3119" spans="1:12" x14ac:dyDescent="0.25">
      <c r="A3119" s="25"/>
      <c r="B3119" s="25"/>
      <c r="C3119" s="25"/>
      <c r="D3119" s="25"/>
      <c r="E3119" s="25"/>
      <c r="F3119" s="26"/>
      <c r="G3119" s="26"/>
      <c r="H3119" s="27"/>
      <c r="I3119" s="25"/>
      <c r="J3119" s="25"/>
      <c r="K3119" s="4"/>
      <c r="L3119" s="4"/>
    </row>
    <row r="3120" spans="1:12" x14ac:dyDescent="0.25">
      <c r="A3120" s="25"/>
      <c r="B3120" s="25"/>
      <c r="C3120" s="25"/>
      <c r="D3120" s="25"/>
      <c r="E3120" s="25"/>
      <c r="F3120" s="26"/>
      <c r="G3120" s="26"/>
      <c r="H3120" s="27"/>
      <c r="I3120" s="25"/>
      <c r="J3120" s="25"/>
      <c r="K3120" s="4"/>
      <c r="L3120" s="4"/>
    </row>
    <row r="3121" spans="1:12" x14ac:dyDescent="0.25">
      <c r="A3121" s="25"/>
      <c r="B3121" s="25"/>
      <c r="C3121" s="25"/>
      <c r="D3121" s="25"/>
      <c r="E3121" s="25"/>
      <c r="F3121" s="26"/>
      <c r="G3121" s="26"/>
      <c r="H3121" s="27"/>
      <c r="I3121" s="25"/>
      <c r="J3121" s="25"/>
      <c r="K3121" s="4"/>
      <c r="L3121" s="4"/>
    </row>
    <row r="3122" spans="1:12" x14ac:dyDescent="0.25">
      <c r="A3122" s="25"/>
      <c r="B3122" s="25"/>
      <c r="C3122" s="25"/>
      <c r="D3122" s="25"/>
      <c r="E3122" s="25"/>
      <c r="F3122" s="26"/>
      <c r="G3122" s="26"/>
      <c r="H3122" s="27"/>
      <c r="I3122" s="25"/>
      <c r="J3122" s="25"/>
      <c r="K3122" s="4"/>
      <c r="L3122" s="4"/>
    </row>
    <row r="3123" spans="1:12" x14ac:dyDescent="0.25">
      <c r="A3123" s="25"/>
      <c r="B3123" s="25"/>
      <c r="C3123" s="25"/>
      <c r="D3123" s="25"/>
      <c r="E3123" s="25"/>
      <c r="F3123" s="26"/>
      <c r="G3123" s="26"/>
      <c r="H3123" s="27"/>
      <c r="I3123" s="25"/>
      <c r="J3123" s="25"/>
      <c r="K3123" s="4"/>
      <c r="L3123" s="4"/>
    </row>
    <row r="3124" spans="1:12" x14ac:dyDescent="0.25">
      <c r="A3124" s="25"/>
      <c r="B3124" s="25"/>
      <c r="C3124" s="25"/>
      <c r="D3124" s="25"/>
      <c r="E3124" s="25"/>
      <c r="F3124" s="26"/>
      <c r="G3124" s="26"/>
      <c r="H3124" s="27"/>
      <c r="I3124" s="25"/>
      <c r="J3124" s="25"/>
      <c r="K3124" s="4"/>
      <c r="L3124" s="4"/>
    </row>
    <row r="3125" spans="1:12" x14ac:dyDescent="0.25">
      <c r="A3125" s="25"/>
      <c r="B3125" s="25"/>
      <c r="C3125" s="25"/>
      <c r="D3125" s="25"/>
      <c r="E3125" s="25"/>
      <c r="F3125" s="26"/>
      <c r="G3125" s="26"/>
      <c r="H3125" s="27"/>
      <c r="I3125" s="25"/>
      <c r="J3125" s="25"/>
      <c r="K3125" s="4"/>
      <c r="L3125" s="4"/>
    </row>
    <row r="3126" spans="1:12" x14ac:dyDescent="0.25">
      <c r="A3126" s="25"/>
      <c r="B3126" s="25"/>
      <c r="C3126" s="25"/>
      <c r="D3126" s="25"/>
      <c r="E3126" s="25"/>
      <c r="F3126" s="26"/>
      <c r="G3126" s="26"/>
      <c r="H3126" s="27"/>
      <c r="I3126" s="25"/>
      <c r="J3126" s="25"/>
      <c r="K3126" s="4"/>
      <c r="L3126" s="4"/>
    </row>
    <row r="3127" spans="1:12" x14ac:dyDescent="0.25">
      <c r="A3127" s="25"/>
      <c r="B3127" s="25"/>
      <c r="C3127" s="25"/>
      <c r="D3127" s="25"/>
      <c r="E3127" s="25"/>
      <c r="F3127" s="26"/>
      <c r="G3127" s="26"/>
      <c r="H3127" s="27"/>
      <c r="I3127" s="25"/>
      <c r="J3127" s="25"/>
      <c r="K3127" s="4"/>
      <c r="L3127" s="4"/>
    </row>
    <row r="3128" spans="1:12" x14ac:dyDescent="0.25">
      <c r="A3128" s="25"/>
      <c r="B3128" s="25"/>
      <c r="C3128" s="25"/>
      <c r="D3128" s="25"/>
      <c r="E3128" s="25"/>
      <c r="F3128" s="26"/>
      <c r="G3128" s="26"/>
      <c r="H3128" s="27"/>
      <c r="I3128" s="25"/>
      <c r="J3128" s="25"/>
      <c r="K3128" s="4"/>
      <c r="L3128" s="4"/>
    </row>
    <row r="3129" spans="1:12" x14ac:dyDescent="0.25">
      <c r="A3129" s="25"/>
      <c r="B3129" s="25"/>
      <c r="C3129" s="25"/>
      <c r="D3129" s="25"/>
      <c r="E3129" s="25"/>
      <c r="F3129" s="26"/>
      <c r="G3129" s="26"/>
      <c r="H3129" s="27"/>
      <c r="I3129" s="25"/>
      <c r="J3129" s="25"/>
      <c r="K3129" s="4"/>
      <c r="L3129" s="4"/>
    </row>
    <row r="3130" spans="1:12" x14ac:dyDescent="0.25">
      <c r="A3130" s="25"/>
      <c r="B3130" s="25"/>
      <c r="C3130" s="25"/>
      <c r="D3130" s="25"/>
      <c r="E3130" s="25"/>
      <c r="F3130" s="26"/>
      <c r="G3130" s="26"/>
      <c r="H3130" s="27"/>
      <c r="I3130" s="25"/>
      <c r="J3130" s="25"/>
      <c r="K3130" s="4"/>
      <c r="L3130" s="4"/>
    </row>
    <row r="3131" spans="1:12" x14ac:dyDescent="0.25">
      <c r="A3131" s="25"/>
      <c r="B3131" s="25"/>
      <c r="C3131" s="25"/>
      <c r="D3131" s="25"/>
      <c r="E3131" s="25"/>
      <c r="F3131" s="26"/>
      <c r="G3131" s="26"/>
      <c r="H3131" s="27"/>
      <c r="I3131" s="25"/>
      <c r="J3131" s="25"/>
      <c r="K3131" s="4"/>
      <c r="L3131" s="4"/>
    </row>
    <row r="3132" spans="1:12" x14ac:dyDescent="0.25">
      <c r="A3132" s="25"/>
      <c r="B3132" s="25"/>
      <c r="C3132" s="25"/>
      <c r="D3132" s="25"/>
      <c r="E3132" s="25"/>
      <c r="F3132" s="26"/>
      <c r="G3132" s="26"/>
      <c r="H3132" s="27"/>
      <c r="I3132" s="25"/>
      <c r="J3132" s="25"/>
      <c r="K3132" s="4"/>
      <c r="L3132" s="4"/>
    </row>
    <row r="3133" spans="1:12" x14ac:dyDescent="0.25">
      <c r="A3133" s="25"/>
      <c r="B3133" s="25"/>
      <c r="C3133" s="25"/>
      <c r="D3133" s="25"/>
      <c r="E3133" s="25"/>
      <c r="F3133" s="26"/>
      <c r="G3133" s="26"/>
      <c r="H3133" s="27"/>
      <c r="I3133" s="25"/>
      <c r="J3133" s="25"/>
      <c r="K3133" s="4"/>
      <c r="L3133" s="4"/>
    </row>
    <row r="3134" spans="1:12" x14ac:dyDescent="0.25">
      <c r="A3134" s="25"/>
      <c r="B3134" s="25"/>
      <c r="C3134" s="25"/>
      <c r="D3134" s="25"/>
      <c r="E3134" s="25"/>
      <c r="F3134" s="26"/>
      <c r="G3134" s="26"/>
      <c r="H3134" s="27"/>
      <c r="I3134" s="25"/>
      <c r="J3134" s="25"/>
      <c r="K3134" s="4"/>
      <c r="L3134" s="4"/>
    </row>
    <row r="3135" spans="1:12" x14ac:dyDescent="0.25">
      <c r="A3135" s="25"/>
      <c r="B3135" s="25"/>
      <c r="C3135" s="25"/>
      <c r="D3135" s="25"/>
      <c r="E3135" s="25"/>
      <c r="F3135" s="26"/>
      <c r="G3135" s="26"/>
      <c r="H3135" s="27"/>
      <c r="I3135" s="25"/>
      <c r="J3135" s="25"/>
      <c r="K3135" s="4"/>
      <c r="L3135" s="4"/>
    </row>
    <row r="3136" spans="1:12" x14ac:dyDescent="0.25">
      <c r="A3136" s="25"/>
      <c r="B3136" s="25"/>
      <c r="C3136" s="25"/>
      <c r="D3136" s="25"/>
      <c r="E3136" s="25"/>
      <c r="F3136" s="26"/>
      <c r="G3136" s="26"/>
      <c r="H3136" s="27"/>
      <c r="I3136" s="25"/>
      <c r="J3136" s="25"/>
      <c r="K3136" s="4"/>
      <c r="L3136" s="4"/>
    </row>
    <row r="3137" spans="1:12" x14ac:dyDescent="0.25">
      <c r="A3137" s="25"/>
      <c r="B3137" s="25"/>
      <c r="C3137" s="25"/>
      <c r="D3137" s="25"/>
      <c r="E3137" s="25"/>
      <c r="F3137" s="26"/>
      <c r="G3137" s="26"/>
      <c r="H3137" s="27"/>
      <c r="I3137" s="25"/>
      <c r="J3137" s="25"/>
      <c r="K3137" s="4"/>
      <c r="L3137" s="4"/>
    </row>
    <row r="3138" spans="1:12" x14ac:dyDescent="0.25">
      <c r="A3138" s="25"/>
      <c r="B3138" s="25"/>
      <c r="C3138" s="25"/>
      <c r="D3138" s="25"/>
      <c r="E3138" s="25"/>
      <c r="F3138" s="26"/>
      <c r="G3138" s="26"/>
      <c r="H3138" s="27"/>
      <c r="I3138" s="25"/>
      <c r="J3138" s="25"/>
      <c r="K3138" s="4"/>
      <c r="L3138" s="4"/>
    </row>
    <row r="3139" spans="1:12" x14ac:dyDescent="0.25">
      <c r="A3139" s="25"/>
      <c r="B3139" s="25"/>
      <c r="C3139" s="25"/>
      <c r="D3139" s="25"/>
      <c r="E3139" s="25"/>
      <c r="F3139" s="26"/>
      <c r="G3139" s="26"/>
      <c r="H3139" s="27"/>
      <c r="I3139" s="25"/>
      <c r="J3139" s="25"/>
      <c r="K3139" s="4"/>
      <c r="L3139" s="4"/>
    </row>
    <row r="3140" spans="1:12" x14ac:dyDescent="0.25">
      <c r="A3140" s="25"/>
      <c r="B3140" s="25"/>
      <c r="C3140" s="25"/>
      <c r="D3140" s="25"/>
      <c r="E3140" s="25"/>
      <c r="F3140" s="26"/>
      <c r="G3140" s="26"/>
      <c r="H3140" s="27"/>
      <c r="I3140" s="25"/>
      <c r="J3140" s="25"/>
      <c r="K3140" s="4"/>
      <c r="L3140" s="4"/>
    </row>
    <row r="3141" spans="1:12" x14ac:dyDescent="0.25">
      <c r="A3141" s="25"/>
      <c r="B3141" s="25"/>
      <c r="C3141" s="25"/>
      <c r="D3141" s="25"/>
      <c r="E3141" s="25"/>
      <c r="F3141" s="26"/>
      <c r="G3141" s="26"/>
      <c r="H3141" s="27"/>
      <c r="I3141" s="25"/>
      <c r="J3141" s="25"/>
      <c r="K3141" s="4"/>
      <c r="L3141" s="4"/>
    </row>
    <row r="3142" spans="1:12" x14ac:dyDescent="0.25">
      <c r="A3142" s="25"/>
      <c r="B3142" s="25"/>
      <c r="C3142" s="25"/>
      <c r="D3142" s="25"/>
      <c r="E3142" s="25"/>
      <c r="F3142" s="26"/>
      <c r="G3142" s="26"/>
      <c r="H3142" s="27"/>
      <c r="I3142" s="25"/>
      <c r="J3142" s="25"/>
      <c r="K3142" s="4"/>
      <c r="L3142" s="4"/>
    </row>
    <row r="3143" spans="1:12" x14ac:dyDescent="0.25">
      <c r="A3143" s="25"/>
      <c r="B3143" s="25"/>
      <c r="C3143" s="25"/>
      <c r="D3143" s="25"/>
      <c r="E3143" s="25"/>
      <c r="F3143" s="26"/>
      <c r="G3143" s="26"/>
      <c r="H3143" s="27"/>
      <c r="I3143" s="25"/>
      <c r="J3143" s="25"/>
      <c r="K3143" s="4"/>
      <c r="L3143" s="4"/>
    </row>
    <row r="3144" spans="1:12" x14ac:dyDescent="0.25">
      <c r="A3144" s="25"/>
      <c r="B3144" s="25"/>
      <c r="C3144" s="25"/>
      <c r="D3144" s="25"/>
      <c r="E3144" s="25"/>
      <c r="F3144" s="26"/>
      <c r="G3144" s="26"/>
      <c r="H3144" s="27"/>
      <c r="I3144" s="25"/>
      <c r="J3144" s="25"/>
      <c r="K3144" s="4"/>
      <c r="L3144" s="4"/>
    </row>
    <row r="3145" spans="1:12" x14ac:dyDescent="0.25">
      <c r="A3145" s="25"/>
      <c r="B3145" s="25"/>
      <c r="C3145" s="25"/>
      <c r="D3145" s="25"/>
      <c r="E3145" s="25"/>
      <c r="F3145" s="26"/>
      <c r="G3145" s="26"/>
      <c r="H3145" s="27"/>
      <c r="I3145" s="25"/>
      <c r="J3145" s="25"/>
      <c r="K3145" s="4"/>
      <c r="L3145" s="4"/>
    </row>
    <row r="3146" spans="1:12" x14ac:dyDescent="0.25">
      <c r="A3146" s="25"/>
      <c r="B3146" s="25"/>
      <c r="C3146" s="25"/>
      <c r="D3146" s="25"/>
      <c r="E3146" s="25"/>
      <c r="F3146" s="26"/>
      <c r="G3146" s="26"/>
      <c r="H3146" s="27"/>
      <c r="I3146" s="25"/>
      <c r="J3146" s="25"/>
      <c r="K3146" s="4"/>
      <c r="L3146" s="4"/>
    </row>
    <row r="3147" spans="1:12" x14ac:dyDescent="0.25">
      <c r="A3147" s="25"/>
      <c r="B3147" s="25"/>
      <c r="C3147" s="25"/>
      <c r="D3147" s="25"/>
      <c r="E3147" s="25"/>
      <c r="F3147" s="26"/>
      <c r="G3147" s="26"/>
      <c r="H3147" s="27"/>
      <c r="I3147" s="25"/>
      <c r="J3147" s="25"/>
      <c r="K3147" s="4"/>
      <c r="L3147" s="4"/>
    </row>
    <row r="3148" spans="1:12" x14ac:dyDescent="0.25">
      <c r="A3148" s="25"/>
      <c r="B3148" s="25"/>
      <c r="C3148" s="25"/>
      <c r="D3148" s="25"/>
      <c r="E3148" s="25"/>
      <c r="F3148" s="26"/>
      <c r="G3148" s="26"/>
      <c r="H3148" s="27"/>
      <c r="I3148" s="25"/>
      <c r="J3148" s="25"/>
      <c r="K3148" s="4"/>
      <c r="L3148" s="4"/>
    </row>
    <row r="3149" spans="1:12" x14ac:dyDescent="0.25">
      <c r="A3149" s="25"/>
      <c r="B3149" s="25"/>
      <c r="C3149" s="25"/>
      <c r="D3149" s="25"/>
      <c r="E3149" s="25"/>
      <c r="F3149" s="26"/>
      <c r="G3149" s="26"/>
      <c r="H3149" s="27"/>
      <c r="I3149" s="25"/>
      <c r="J3149" s="25"/>
      <c r="K3149" s="4"/>
      <c r="L3149" s="4"/>
    </row>
    <row r="3150" spans="1:12" x14ac:dyDescent="0.25">
      <c r="A3150" s="25"/>
      <c r="B3150" s="25"/>
      <c r="C3150" s="25"/>
      <c r="D3150" s="25"/>
      <c r="E3150" s="25"/>
      <c r="F3150" s="26"/>
      <c r="G3150" s="26"/>
      <c r="H3150" s="27"/>
      <c r="I3150" s="25"/>
      <c r="J3150" s="25"/>
      <c r="K3150" s="4"/>
      <c r="L3150" s="4"/>
    </row>
    <row r="3151" spans="1:12" x14ac:dyDescent="0.25">
      <c r="A3151" s="25"/>
      <c r="B3151" s="25"/>
      <c r="C3151" s="25"/>
      <c r="D3151" s="25"/>
      <c r="E3151" s="25"/>
      <c r="F3151" s="26"/>
      <c r="G3151" s="26"/>
      <c r="H3151" s="27"/>
      <c r="I3151" s="25"/>
      <c r="J3151" s="25"/>
      <c r="K3151" s="4"/>
      <c r="L3151" s="4"/>
    </row>
    <row r="3152" spans="1:12" x14ac:dyDescent="0.25">
      <c r="A3152" s="25"/>
      <c r="B3152" s="25"/>
      <c r="C3152" s="25"/>
      <c r="D3152" s="25"/>
      <c r="E3152" s="25"/>
      <c r="F3152" s="26"/>
      <c r="G3152" s="26"/>
      <c r="H3152" s="27"/>
      <c r="I3152" s="25"/>
      <c r="J3152" s="25"/>
      <c r="K3152" s="4"/>
      <c r="L3152" s="4"/>
    </row>
    <row r="3153" spans="1:12" x14ac:dyDescent="0.25">
      <c r="A3153" s="25"/>
      <c r="B3153" s="25"/>
      <c r="C3153" s="25"/>
      <c r="D3153" s="25"/>
      <c r="E3153" s="25"/>
      <c r="F3153" s="26"/>
      <c r="G3153" s="26"/>
      <c r="H3153" s="27"/>
      <c r="I3153" s="25"/>
      <c r="J3153" s="25"/>
      <c r="K3153" s="25"/>
      <c r="L3153" s="4"/>
    </row>
    <row r="3154" spans="1:12" x14ac:dyDescent="0.25">
      <c r="A3154" s="25"/>
      <c r="B3154" s="25"/>
      <c r="C3154" s="25"/>
      <c r="D3154" s="25"/>
      <c r="E3154" s="25"/>
      <c r="F3154" s="26"/>
      <c r="G3154" s="26"/>
      <c r="H3154" s="27"/>
      <c r="I3154" s="25"/>
      <c r="J3154" s="25"/>
      <c r="K3154" s="25"/>
      <c r="L3154" s="4"/>
    </row>
    <row r="3155" spans="1:12" x14ac:dyDescent="0.25">
      <c r="A3155" s="25"/>
      <c r="B3155" s="25"/>
      <c r="C3155" s="25"/>
      <c r="D3155" s="25"/>
      <c r="E3155" s="25"/>
      <c r="F3155" s="26"/>
      <c r="G3155" s="26"/>
      <c r="H3155" s="27"/>
      <c r="I3155" s="25"/>
      <c r="J3155" s="25"/>
      <c r="K3155" s="25"/>
      <c r="L3155" s="4"/>
    </row>
    <row r="3156" spans="1:12" x14ac:dyDescent="0.25">
      <c r="A3156" s="25"/>
      <c r="B3156" s="25"/>
      <c r="C3156" s="25"/>
      <c r="D3156" s="25"/>
      <c r="E3156" s="25"/>
      <c r="F3156" s="26"/>
      <c r="G3156" s="26"/>
      <c r="H3156" s="27"/>
      <c r="I3156" s="25"/>
      <c r="J3156" s="25"/>
      <c r="K3156" s="25"/>
      <c r="L3156" s="4"/>
    </row>
    <row r="3157" spans="1:12" x14ac:dyDescent="0.25">
      <c r="A3157" s="25"/>
      <c r="B3157" s="25"/>
      <c r="C3157" s="25"/>
      <c r="D3157" s="25"/>
      <c r="E3157" s="25"/>
      <c r="F3157" s="26"/>
      <c r="G3157" s="26"/>
      <c r="H3157" s="27"/>
      <c r="I3157" s="25"/>
      <c r="J3157" s="25"/>
      <c r="K3157" s="25"/>
      <c r="L3157" s="4"/>
    </row>
    <row r="3158" spans="1:12" x14ac:dyDescent="0.25">
      <c r="A3158" s="25"/>
      <c r="B3158" s="25"/>
      <c r="C3158" s="25"/>
      <c r="D3158" s="25"/>
      <c r="E3158" s="25"/>
      <c r="F3158" s="26"/>
      <c r="G3158" s="26"/>
      <c r="H3158" s="27"/>
      <c r="I3158" s="25"/>
      <c r="J3158" s="25"/>
      <c r="K3158" s="25"/>
      <c r="L3158" s="4"/>
    </row>
    <row r="3159" spans="1:12" x14ac:dyDescent="0.25">
      <c r="A3159" s="25"/>
      <c r="B3159" s="25"/>
      <c r="C3159" s="25"/>
      <c r="D3159" s="25"/>
      <c r="E3159" s="25"/>
      <c r="F3159" s="26"/>
      <c r="G3159" s="26"/>
      <c r="H3159" s="27"/>
      <c r="I3159" s="25"/>
      <c r="J3159" s="25"/>
      <c r="K3159" s="25"/>
      <c r="L3159" s="4"/>
    </row>
    <row r="3160" spans="1:12" x14ac:dyDescent="0.25">
      <c r="A3160" s="25"/>
      <c r="B3160" s="25"/>
      <c r="C3160" s="25"/>
      <c r="D3160" s="25"/>
      <c r="E3160" s="25"/>
      <c r="F3160" s="26"/>
      <c r="G3160" s="26"/>
      <c r="H3160" s="27"/>
      <c r="I3160" s="25"/>
      <c r="J3160" s="25"/>
      <c r="K3160" s="25"/>
      <c r="L3160" s="4"/>
    </row>
    <row r="3161" spans="1:12" x14ac:dyDescent="0.25">
      <c r="A3161" s="25"/>
      <c r="B3161" s="25"/>
      <c r="C3161" s="25"/>
      <c r="D3161" s="25"/>
      <c r="E3161" s="25"/>
      <c r="F3161" s="26"/>
      <c r="G3161" s="26"/>
      <c r="H3161" s="27"/>
      <c r="I3161" s="25"/>
      <c r="J3161" s="25"/>
      <c r="K3161" s="25"/>
      <c r="L3161" s="4"/>
    </row>
    <row r="3162" spans="1:12" x14ac:dyDescent="0.25">
      <c r="A3162" s="25"/>
      <c r="B3162" s="25"/>
      <c r="C3162" s="25"/>
      <c r="D3162" s="25"/>
      <c r="E3162" s="25"/>
      <c r="F3162" s="26"/>
      <c r="G3162" s="26"/>
      <c r="H3162" s="27"/>
      <c r="I3162" s="25"/>
      <c r="J3162" s="25"/>
      <c r="K3162" s="25"/>
      <c r="L3162" s="4"/>
    </row>
    <row r="3163" spans="1:12" x14ac:dyDescent="0.25">
      <c r="A3163" s="25"/>
      <c r="B3163" s="25"/>
      <c r="C3163" s="25"/>
      <c r="D3163" s="25"/>
      <c r="E3163" s="25"/>
      <c r="F3163" s="26"/>
      <c r="G3163" s="26"/>
      <c r="H3163" s="27"/>
      <c r="I3163" s="25"/>
      <c r="J3163" s="25"/>
      <c r="K3163" s="25"/>
      <c r="L3163" s="4"/>
    </row>
    <row r="3164" spans="1:12" x14ac:dyDescent="0.25">
      <c r="A3164" s="25"/>
      <c r="B3164" s="25"/>
      <c r="C3164" s="25"/>
      <c r="D3164" s="25"/>
      <c r="E3164" s="25"/>
      <c r="F3164" s="26"/>
      <c r="G3164" s="26"/>
      <c r="H3164" s="27"/>
      <c r="I3164" s="25"/>
      <c r="J3164" s="25"/>
      <c r="K3164" s="25"/>
      <c r="L3164" s="4"/>
    </row>
    <row r="3165" spans="1:12" x14ac:dyDescent="0.25">
      <c r="A3165" s="25"/>
      <c r="B3165" s="25"/>
      <c r="C3165" s="25"/>
      <c r="D3165" s="25"/>
      <c r="E3165" s="25"/>
      <c r="F3165" s="26"/>
      <c r="G3165" s="26"/>
      <c r="H3165" s="27"/>
      <c r="I3165" s="25"/>
      <c r="J3165" s="25"/>
      <c r="K3165" s="25"/>
      <c r="L3165" s="4"/>
    </row>
    <row r="3166" spans="1:12" x14ac:dyDescent="0.25">
      <c r="A3166" s="25"/>
      <c r="B3166" s="25"/>
      <c r="C3166" s="25"/>
      <c r="D3166" s="25"/>
      <c r="E3166" s="25"/>
      <c r="F3166" s="26"/>
      <c r="G3166" s="26"/>
      <c r="H3166" s="27"/>
      <c r="I3166" s="25"/>
      <c r="J3166" s="25"/>
      <c r="K3166" s="25"/>
      <c r="L3166" s="4"/>
    </row>
    <row r="3167" spans="1:12" x14ac:dyDescent="0.25">
      <c r="A3167" s="25"/>
      <c r="B3167" s="25"/>
      <c r="C3167" s="25"/>
      <c r="D3167" s="25"/>
      <c r="E3167" s="25"/>
      <c r="F3167" s="26"/>
      <c r="G3167" s="26"/>
      <c r="H3167" s="27"/>
      <c r="I3167" s="25"/>
      <c r="J3167" s="25"/>
      <c r="K3167" s="25"/>
      <c r="L3167" s="4"/>
    </row>
    <row r="3168" spans="1:12" x14ac:dyDescent="0.25">
      <c r="A3168" s="25"/>
      <c r="B3168" s="25"/>
      <c r="C3168" s="25"/>
      <c r="D3168" s="25"/>
      <c r="E3168" s="25"/>
      <c r="F3168" s="26"/>
      <c r="G3168" s="26"/>
      <c r="H3168" s="27"/>
      <c r="I3168" s="25"/>
      <c r="J3168" s="25"/>
      <c r="K3168" s="25"/>
      <c r="L3168" s="4"/>
    </row>
    <row r="3169" spans="1:12" x14ac:dyDescent="0.25">
      <c r="A3169" s="25"/>
      <c r="B3169" s="25"/>
      <c r="C3169" s="25"/>
      <c r="D3169" s="25"/>
      <c r="E3169" s="25"/>
      <c r="F3169" s="26"/>
      <c r="G3169" s="26"/>
      <c r="H3169" s="27"/>
      <c r="I3169" s="25"/>
      <c r="J3169" s="25"/>
      <c r="K3169" s="4"/>
      <c r="L3169" s="4"/>
    </row>
    <row r="3170" spans="1:12" x14ac:dyDescent="0.25">
      <c r="A3170" s="25"/>
      <c r="B3170" s="25"/>
      <c r="C3170" s="25"/>
      <c r="D3170" s="25"/>
      <c r="E3170" s="25"/>
      <c r="F3170" s="26"/>
      <c r="G3170" s="26"/>
      <c r="H3170" s="27"/>
      <c r="I3170" s="25"/>
      <c r="J3170" s="25"/>
      <c r="K3170" s="4"/>
      <c r="L3170" s="4"/>
    </row>
    <row r="3171" spans="1:12" x14ac:dyDescent="0.25">
      <c r="A3171" s="25"/>
      <c r="B3171" s="25"/>
      <c r="C3171" s="25"/>
      <c r="D3171" s="25"/>
      <c r="E3171" s="25"/>
      <c r="F3171" s="26"/>
      <c r="G3171" s="26"/>
      <c r="H3171" s="27"/>
      <c r="I3171" s="25"/>
      <c r="J3171" s="25"/>
      <c r="K3171" s="4"/>
      <c r="L3171" s="4"/>
    </row>
    <row r="3172" spans="1:12" x14ac:dyDescent="0.25">
      <c r="A3172" s="25"/>
      <c r="B3172" s="25"/>
      <c r="C3172" s="25"/>
      <c r="D3172" s="25"/>
      <c r="E3172" s="25"/>
      <c r="F3172" s="26"/>
      <c r="G3172" s="26"/>
      <c r="H3172" s="27"/>
      <c r="I3172" s="25"/>
      <c r="J3172" s="25"/>
      <c r="K3172" s="4"/>
      <c r="L3172" s="4"/>
    </row>
    <row r="3173" spans="1:12" x14ac:dyDescent="0.25">
      <c r="A3173" s="25"/>
      <c r="B3173" s="25"/>
      <c r="C3173" s="25"/>
      <c r="D3173" s="25"/>
      <c r="E3173" s="25"/>
      <c r="F3173" s="26"/>
      <c r="G3173" s="26"/>
      <c r="H3173" s="27"/>
      <c r="I3173" s="25"/>
      <c r="J3173" s="25"/>
      <c r="K3173" s="4"/>
      <c r="L3173" s="4"/>
    </row>
    <row r="3174" spans="1:12" x14ac:dyDescent="0.25">
      <c r="A3174" s="25"/>
      <c r="B3174" s="25"/>
      <c r="C3174" s="25"/>
      <c r="D3174" s="25"/>
      <c r="E3174" s="25"/>
      <c r="F3174" s="26"/>
      <c r="G3174" s="26"/>
      <c r="H3174" s="27"/>
      <c r="I3174" s="25"/>
      <c r="J3174" s="25"/>
      <c r="K3174" s="4"/>
      <c r="L3174" s="4"/>
    </row>
    <row r="3175" spans="1:12" x14ac:dyDescent="0.25">
      <c r="A3175" s="25"/>
      <c r="B3175" s="25"/>
      <c r="C3175" s="25"/>
      <c r="D3175" s="25"/>
      <c r="E3175" s="25"/>
      <c r="F3175" s="26"/>
      <c r="G3175" s="26"/>
      <c r="H3175" s="27"/>
      <c r="I3175" s="25"/>
      <c r="J3175" s="25"/>
      <c r="K3175" s="4"/>
      <c r="L3175" s="4"/>
    </row>
    <row r="3176" spans="1:12" x14ac:dyDescent="0.25">
      <c r="A3176" s="25"/>
      <c r="B3176" s="25"/>
      <c r="C3176" s="25"/>
      <c r="D3176" s="25"/>
      <c r="E3176" s="25"/>
      <c r="F3176" s="26"/>
      <c r="G3176" s="26"/>
      <c r="H3176" s="27"/>
      <c r="I3176" s="25"/>
      <c r="J3176" s="25"/>
      <c r="K3176" s="4"/>
      <c r="L3176" s="4"/>
    </row>
    <row r="3177" spans="1:12" x14ac:dyDescent="0.25">
      <c r="A3177" s="25"/>
      <c r="B3177" s="25"/>
      <c r="C3177" s="25"/>
      <c r="D3177" s="25"/>
      <c r="E3177" s="25"/>
      <c r="F3177" s="26"/>
      <c r="G3177" s="26"/>
      <c r="H3177" s="27"/>
      <c r="I3177" s="25"/>
      <c r="J3177" s="25"/>
      <c r="K3177" s="4"/>
      <c r="L3177" s="4"/>
    </row>
    <row r="3178" spans="1:12" x14ac:dyDescent="0.25">
      <c r="A3178" s="25"/>
      <c r="B3178" s="25"/>
      <c r="C3178" s="25"/>
      <c r="D3178" s="25"/>
      <c r="E3178" s="25"/>
      <c r="F3178" s="26"/>
      <c r="G3178" s="26"/>
      <c r="H3178" s="27"/>
      <c r="I3178" s="25"/>
      <c r="J3178" s="25"/>
      <c r="K3178" s="4"/>
      <c r="L3178" s="4"/>
    </row>
    <row r="3179" spans="1:12" x14ac:dyDescent="0.25">
      <c r="A3179" s="25"/>
      <c r="B3179" s="25"/>
      <c r="C3179" s="25"/>
      <c r="D3179" s="25"/>
      <c r="E3179" s="25"/>
      <c r="F3179" s="26"/>
      <c r="G3179" s="26"/>
      <c r="H3179" s="27"/>
      <c r="I3179" s="25"/>
      <c r="J3179" s="25"/>
      <c r="K3179" s="4"/>
      <c r="L3179" s="4"/>
    </row>
    <row r="3180" spans="1:12" x14ac:dyDescent="0.25">
      <c r="A3180" s="25"/>
      <c r="B3180" s="25"/>
      <c r="C3180" s="25"/>
      <c r="D3180" s="25"/>
      <c r="E3180" s="25"/>
      <c r="F3180" s="26"/>
      <c r="G3180" s="26"/>
      <c r="H3180" s="27"/>
      <c r="I3180" s="25"/>
      <c r="J3180" s="25"/>
      <c r="K3180" s="4"/>
      <c r="L3180" s="4"/>
    </row>
    <row r="3181" spans="1:12" x14ac:dyDescent="0.25">
      <c r="A3181" s="25"/>
      <c r="B3181" s="25"/>
      <c r="C3181" s="25"/>
      <c r="D3181" s="25"/>
      <c r="E3181" s="25"/>
      <c r="F3181" s="26"/>
      <c r="G3181" s="26"/>
      <c r="H3181" s="27"/>
      <c r="I3181" s="25"/>
      <c r="J3181" s="25"/>
      <c r="K3181" s="4"/>
      <c r="L3181" s="4"/>
    </row>
    <row r="3182" spans="1:12" x14ac:dyDescent="0.25">
      <c r="A3182" s="25"/>
      <c r="B3182" s="25"/>
      <c r="C3182" s="25"/>
      <c r="D3182" s="25"/>
      <c r="E3182" s="25"/>
      <c r="F3182" s="26"/>
      <c r="G3182" s="26"/>
      <c r="H3182" s="27"/>
      <c r="I3182" s="25"/>
      <c r="J3182" s="25"/>
      <c r="K3182" s="4"/>
      <c r="L3182" s="4"/>
    </row>
    <row r="3183" spans="1:12" x14ac:dyDescent="0.25">
      <c r="A3183" s="25"/>
      <c r="B3183" s="25"/>
      <c r="C3183" s="25"/>
      <c r="D3183" s="25"/>
      <c r="E3183" s="25"/>
      <c r="F3183" s="26"/>
      <c r="G3183" s="26"/>
      <c r="H3183" s="27"/>
      <c r="I3183" s="25"/>
      <c r="J3183" s="25"/>
      <c r="K3183" s="4"/>
      <c r="L3183" s="4"/>
    </row>
    <row r="3184" spans="1:12" x14ac:dyDescent="0.25">
      <c r="A3184" s="25"/>
      <c r="B3184" s="25"/>
      <c r="C3184" s="25"/>
      <c r="D3184" s="25"/>
      <c r="E3184" s="25"/>
      <c r="F3184" s="26"/>
      <c r="G3184" s="26"/>
      <c r="H3184" s="27"/>
      <c r="I3184" s="25"/>
      <c r="J3184" s="25"/>
      <c r="K3184" s="4"/>
      <c r="L3184" s="4"/>
    </row>
    <row r="3185" spans="1:12" x14ac:dyDescent="0.25">
      <c r="A3185" s="25"/>
      <c r="B3185" s="25"/>
      <c r="C3185" s="25"/>
      <c r="D3185" s="25"/>
      <c r="E3185" s="25"/>
      <c r="F3185" s="26"/>
      <c r="G3185" s="26"/>
      <c r="H3185" s="27"/>
      <c r="I3185" s="25"/>
      <c r="J3185" s="25"/>
      <c r="K3185" s="4"/>
      <c r="L3185" s="4"/>
    </row>
    <row r="3186" spans="1:12" x14ac:dyDescent="0.25">
      <c r="A3186" s="25"/>
      <c r="B3186" s="25"/>
      <c r="C3186" s="25"/>
      <c r="D3186" s="25"/>
      <c r="E3186" s="25"/>
      <c r="F3186" s="26"/>
      <c r="G3186" s="26"/>
      <c r="H3186" s="27"/>
      <c r="I3186" s="25"/>
      <c r="J3186" s="25"/>
      <c r="K3186" s="4"/>
      <c r="L3186" s="4"/>
    </row>
    <row r="3187" spans="1:12" x14ac:dyDescent="0.25">
      <c r="A3187" s="25"/>
      <c r="B3187" s="25"/>
      <c r="C3187" s="25"/>
      <c r="D3187" s="25"/>
      <c r="E3187" s="25"/>
      <c r="F3187" s="26"/>
      <c r="G3187" s="26"/>
      <c r="H3187" s="27"/>
      <c r="I3187" s="25"/>
      <c r="J3187" s="25"/>
      <c r="K3187" s="4"/>
      <c r="L3187" s="4"/>
    </row>
    <row r="3188" spans="1:12" x14ac:dyDescent="0.25">
      <c r="A3188" s="25"/>
      <c r="B3188" s="25"/>
      <c r="C3188" s="25"/>
      <c r="D3188" s="25"/>
      <c r="E3188" s="25"/>
      <c r="F3188" s="26"/>
      <c r="G3188" s="26"/>
      <c r="H3188" s="27"/>
      <c r="I3188" s="25"/>
      <c r="J3188" s="25"/>
      <c r="K3188" s="4"/>
      <c r="L3188" s="4"/>
    </row>
    <row r="3189" spans="1:12" x14ac:dyDescent="0.25">
      <c r="A3189" s="25"/>
      <c r="B3189" s="25"/>
      <c r="C3189" s="25"/>
      <c r="D3189" s="25"/>
      <c r="E3189" s="25"/>
      <c r="F3189" s="26"/>
      <c r="G3189" s="26"/>
      <c r="H3189" s="27"/>
      <c r="I3189" s="25"/>
      <c r="J3189" s="25"/>
      <c r="K3189" s="4"/>
      <c r="L3189" s="4"/>
    </row>
    <row r="3190" spans="1:12" x14ac:dyDescent="0.25">
      <c r="A3190" s="25"/>
      <c r="B3190" s="25"/>
      <c r="C3190" s="25"/>
      <c r="D3190" s="25"/>
      <c r="E3190" s="25"/>
      <c r="F3190" s="26"/>
      <c r="G3190" s="26"/>
      <c r="H3190" s="27"/>
      <c r="I3190" s="25"/>
      <c r="J3190" s="25"/>
      <c r="K3190" s="4"/>
      <c r="L3190" s="4"/>
    </row>
    <row r="3191" spans="1:12" x14ac:dyDescent="0.25">
      <c r="A3191" s="25"/>
      <c r="B3191" s="25"/>
      <c r="C3191" s="25"/>
      <c r="D3191" s="25"/>
      <c r="E3191" s="25"/>
      <c r="F3191" s="26"/>
      <c r="G3191" s="26"/>
      <c r="H3191" s="27"/>
      <c r="I3191" s="25"/>
      <c r="J3191" s="25"/>
      <c r="K3191" s="4"/>
      <c r="L3191" s="4"/>
    </row>
    <row r="3192" spans="1:12" x14ac:dyDescent="0.25">
      <c r="A3192" s="25"/>
      <c r="B3192" s="25"/>
      <c r="C3192" s="25"/>
      <c r="D3192" s="25"/>
      <c r="E3192" s="25"/>
      <c r="F3192" s="26"/>
      <c r="G3192" s="26"/>
      <c r="H3192" s="27"/>
      <c r="I3192" s="25"/>
      <c r="J3192" s="25"/>
      <c r="K3192" s="4"/>
      <c r="L3192" s="4"/>
    </row>
    <row r="3193" spans="1:12" x14ac:dyDescent="0.25">
      <c r="A3193" s="25"/>
      <c r="B3193" s="25"/>
      <c r="C3193" s="25"/>
      <c r="D3193" s="25"/>
      <c r="E3193" s="25"/>
      <c r="F3193" s="26"/>
      <c r="G3193" s="26"/>
      <c r="H3193" s="27"/>
      <c r="I3193" s="25"/>
      <c r="J3193" s="25"/>
      <c r="K3193" s="4"/>
      <c r="L3193" s="4"/>
    </row>
    <row r="3194" spans="1:12" x14ac:dyDescent="0.25">
      <c r="A3194" s="25"/>
      <c r="B3194" s="25"/>
      <c r="C3194" s="25"/>
      <c r="D3194" s="25"/>
      <c r="E3194" s="25"/>
      <c r="F3194" s="26"/>
      <c r="G3194" s="26"/>
      <c r="H3194" s="27"/>
      <c r="I3194" s="25"/>
      <c r="J3194" s="25"/>
      <c r="K3194" s="4"/>
      <c r="L3194" s="4"/>
    </row>
    <row r="3195" spans="1:12" x14ac:dyDescent="0.25">
      <c r="A3195" s="25"/>
      <c r="B3195" s="25"/>
      <c r="C3195" s="25"/>
      <c r="D3195" s="25"/>
      <c r="E3195" s="25"/>
      <c r="F3195" s="26"/>
      <c r="G3195" s="26"/>
      <c r="H3195" s="27"/>
      <c r="I3195" s="25"/>
      <c r="J3195" s="25"/>
      <c r="K3195" s="4"/>
      <c r="L3195" s="4"/>
    </row>
    <row r="3196" spans="1:12" x14ac:dyDescent="0.25">
      <c r="A3196" s="7"/>
      <c r="B3196" s="7"/>
      <c r="C3196" s="7"/>
      <c r="D3196" s="7"/>
      <c r="E3196" s="7"/>
      <c r="F3196" s="8"/>
      <c r="G3196" s="8"/>
      <c r="H3196" s="9"/>
      <c r="I3196" s="7"/>
      <c r="J3196" s="7"/>
      <c r="K3196" s="4"/>
    </row>
    <row r="3197" spans="1:12" x14ac:dyDescent="0.25">
      <c r="A3197" s="7"/>
      <c r="B3197" s="7"/>
      <c r="C3197" s="7"/>
      <c r="D3197" s="7"/>
      <c r="E3197" s="7"/>
      <c r="F3197" s="8"/>
      <c r="G3197" s="8"/>
      <c r="H3197" s="9"/>
      <c r="I3197" s="7"/>
      <c r="J3197" s="7"/>
      <c r="K3197" s="4"/>
    </row>
    <row r="3198" spans="1:12" x14ac:dyDescent="0.25">
      <c r="A3198" s="7"/>
      <c r="B3198" s="7"/>
      <c r="C3198" s="7"/>
      <c r="D3198" s="7"/>
      <c r="E3198" s="7"/>
      <c r="F3198" s="8"/>
      <c r="G3198" s="8"/>
      <c r="H3198" s="9"/>
      <c r="I3198" s="7"/>
      <c r="J3198" s="7"/>
      <c r="K3198" s="4"/>
    </row>
    <row r="3199" spans="1:12" x14ac:dyDescent="0.25">
      <c r="A3199" s="7"/>
      <c r="B3199" s="7"/>
      <c r="C3199" s="7"/>
      <c r="D3199" s="7"/>
      <c r="E3199" s="7"/>
      <c r="F3199" s="8"/>
      <c r="G3199" s="8"/>
      <c r="H3199" s="9"/>
      <c r="I3199" s="7"/>
      <c r="J3199" s="7"/>
      <c r="K3199" s="4"/>
    </row>
    <row r="3200" spans="1:12" x14ac:dyDescent="0.25">
      <c r="A3200" s="7"/>
      <c r="B3200" s="7"/>
      <c r="C3200" s="7"/>
      <c r="D3200" s="7"/>
      <c r="E3200" s="7"/>
      <c r="F3200" s="8"/>
      <c r="G3200" s="8"/>
      <c r="H3200" s="9"/>
      <c r="I3200" s="7"/>
      <c r="J3200" s="7"/>
      <c r="K3200" s="4"/>
    </row>
    <row r="3201" spans="1:11" x14ac:dyDescent="0.25">
      <c r="A3201" s="7"/>
      <c r="B3201" s="7"/>
      <c r="C3201" s="7"/>
      <c r="D3201" s="7"/>
      <c r="E3201" s="7"/>
      <c r="F3201" s="8"/>
      <c r="G3201" s="8"/>
      <c r="H3201" s="9"/>
      <c r="I3201" s="7"/>
      <c r="J3201" s="7"/>
      <c r="K3201" s="4"/>
    </row>
    <row r="3202" spans="1:11" x14ac:dyDescent="0.25">
      <c r="A3202" s="7"/>
      <c r="B3202" s="7"/>
      <c r="C3202" s="7"/>
      <c r="D3202" s="7"/>
      <c r="E3202" s="7"/>
      <c r="F3202" s="8"/>
      <c r="G3202" s="8"/>
      <c r="H3202" s="9"/>
      <c r="I3202" s="7"/>
      <c r="K3202" s="4"/>
    </row>
    <row r="3203" spans="1:11" x14ac:dyDescent="0.25">
      <c r="A3203" s="7"/>
      <c r="B3203" s="7"/>
      <c r="C3203" s="7"/>
      <c r="D3203" s="7"/>
      <c r="E3203" s="7"/>
      <c r="F3203" s="8"/>
      <c r="G3203" s="8"/>
      <c r="H3203" s="9"/>
      <c r="I3203" s="7"/>
      <c r="K3203" s="4"/>
    </row>
    <row r="3204" spans="1:11" x14ac:dyDescent="0.25">
      <c r="A3204" s="7"/>
      <c r="B3204" s="7"/>
      <c r="C3204" s="7"/>
      <c r="D3204" s="7"/>
      <c r="E3204" s="7"/>
      <c r="F3204" s="8"/>
      <c r="G3204" s="8"/>
      <c r="H3204" s="9"/>
      <c r="I3204" s="7"/>
      <c r="K3204" s="4"/>
    </row>
    <row r="3205" spans="1:11" x14ac:dyDescent="0.25">
      <c r="A3205" s="7"/>
      <c r="B3205" s="7"/>
      <c r="C3205" s="7"/>
      <c r="D3205" s="7"/>
      <c r="E3205" s="7"/>
      <c r="F3205" s="8"/>
      <c r="G3205" s="8"/>
      <c r="H3205" s="9"/>
      <c r="I3205" s="7"/>
      <c r="K3205" s="4"/>
    </row>
    <row r="3206" spans="1:11" x14ac:dyDescent="0.25">
      <c r="A3206" s="7"/>
      <c r="B3206" s="7"/>
      <c r="C3206" s="7"/>
      <c r="D3206" s="7"/>
      <c r="E3206" s="7"/>
      <c r="F3206" s="8"/>
      <c r="G3206" s="8"/>
      <c r="H3206" s="9"/>
      <c r="I3206" s="7"/>
      <c r="K3206" s="4"/>
    </row>
    <row r="3207" spans="1:11" x14ac:dyDescent="0.25">
      <c r="A3207" s="7"/>
      <c r="B3207" s="7"/>
      <c r="C3207" s="7"/>
      <c r="D3207" s="7"/>
      <c r="E3207" s="7"/>
      <c r="F3207" s="8"/>
      <c r="G3207" s="8"/>
      <c r="H3207" s="9"/>
      <c r="I3207" s="7"/>
      <c r="K3207" s="4"/>
    </row>
    <row r="3208" spans="1:11" x14ac:dyDescent="0.25">
      <c r="A3208" s="7"/>
      <c r="B3208" s="7"/>
      <c r="C3208" s="7"/>
      <c r="D3208" s="7"/>
      <c r="E3208" s="7"/>
      <c r="F3208" s="8"/>
      <c r="G3208" s="8"/>
      <c r="H3208" s="9"/>
      <c r="I3208" s="7"/>
      <c r="K3208" s="4"/>
    </row>
    <row r="3209" spans="1:11" x14ac:dyDescent="0.25">
      <c r="A3209" s="7"/>
      <c r="B3209" s="7"/>
      <c r="C3209" s="7"/>
      <c r="D3209" s="7"/>
      <c r="E3209" s="7"/>
      <c r="F3209" s="8"/>
      <c r="G3209" s="8"/>
      <c r="H3209" s="9"/>
      <c r="I3209" s="7"/>
      <c r="K3209" s="4"/>
    </row>
    <row r="3210" spans="1:11" x14ac:dyDescent="0.25">
      <c r="A3210" s="7"/>
      <c r="B3210" s="7"/>
      <c r="C3210" s="7"/>
      <c r="D3210" s="7"/>
      <c r="E3210" s="7"/>
      <c r="F3210" s="8"/>
      <c r="G3210" s="8"/>
      <c r="H3210" s="9"/>
      <c r="I3210" s="7"/>
      <c r="K3210" s="4"/>
    </row>
    <row r="3211" spans="1:11" x14ac:dyDescent="0.25">
      <c r="A3211" s="7"/>
      <c r="B3211" s="7"/>
      <c r="C3211" s="7"/>
      <c r="D3211" s="7"/>
      <c r="E3211" s="7"/>
      <c r="F3211" s="8"/>
      <c r="G3211" s="8"/>
      <c r="H3211" s="9"/>
      <c r="I3211" s="7"/>
      <c r="K3211" s="4"/>
    </row>
    <row r="3212" spans="1:11" x14ac:dyDescent="0.25">
      <c r="A3212" s="7"/>
      <c r="B3212" s="7"/>
      <c r="C3212" s="7"/>
      <c r="D3212" s="7"/>
      <c r="E3212" s="7"/>
      <c r="F3212" s="8"/>
      <c r="G3212" s="8"/>
      <c r="H3212" s="9"/>
      <c r="I3212" s="7"/>
      <c r="K3212" s="4"/>
    </row>
    <row r="3213" spans="1:11" x14ac:dyDescent="0.25">
      <c r="A3213" s="7"/>
      <c r="B3213" s="7"/>
      <c r="C3213" s="7"/>
      <c r="D3213" s="7"/>
      <c r="E3213" s="7"/>
      <c r="F3213" s="8"/>
      <c r="G3213" s="8"/>
      <c r="H3213" s="9"/>
      <c r="I3213" s="7"/>
      <c r="K3213" s="4"/>
    </row>
    <row r="3214" spans="1:11" x14ac:dyDescent="0.25">
      <c r="A3214" s="7"/>
      <c r="B3214" s="7"/>
      <c r="C3214" s="7"/>
      <c r="D3214" s="7"/>
      <c r="E3214" s="7"/>
      <c r="F3214" s="8"/>
      <c r="G3214" s="8"/>
      <c r="H3214" s="9"/>
      <c r="I3214" s="7"/>
      <c r="K3214" s="4"/>
    </row>
    <row r="3215" spans="1:11" x14ac:dyDescent="0.25">
      <c r="A3215" s="7"/>
      <c r="B3215" s="7"/>
      <c r="C3215" s="7"/>
      <c r="D3215" s="7"/>
      <c r="E3215" s="7"/>
      <c r="F3215" s="8"/>
      <c r="G3215" s="8"/>
      <c r="H3215" s="9"/>
      <c r="I3215" s="7"/>
      <c r="K3215" s="4"/>
    </row>
    <row r="3216" spans="1:11" x14ac:dyDescent="0.25">
      <c r="A3216" s="7"/>
      <c r="B3216" s="7"/>
      <c r="C3216" s="7"/>
      <c r="D3216" s="7"/>
      <c r="E3216" s="7"/>
      <c r="F3216" s="8"/>
      <c r="G3216" s="8"/>
      <c r="H3216" s="9"/>
      <c r="I3216" s="7"/>
      <c r="K3216" s="4"/>
    </row>
    <row r="3217" spans="1:11" x14ac:dyDescent="0.25">
      <c r="A3217" s="7"/>
      <c r="B3217" s="7"/>
      <c r="C3217" s="7"/>
      <c r="D3217" s="7"/>
      <c r="E3217" s="7"/>
      <c r="F3217" s="8"/>
      <c r="G3217" s="8"/>
      <c r="H3217" s="9"/>
      <c r="I3217" s="7"/>
      <c r="K3217" s="4"/>
    </row>
    <row r="3218" spans="1:11" x14ac:dyDescent="0.25">
      <c r="A3218" s="7"/>
      <c r="B3218" s="7"/>
      <c r="C3218" s="7"/>
      <c r="D3218" s="7"/>
      <c r="E3218" s="7"/>
      <c r="F3218" s="8"/>
      <c r="G3218" s="8"/>
      <c r="H3218" s="9"/>
      <c r="I3218" s="7"/>
      <c r="K3218" s="4"/>
    </row>
    <row r="3219" spans="1:11" x14ac:dyDescent="0.25">
      <c r="A3219" s="7"/>
      <c r="B3219" s="7"/>
      <c r="C3219" s="7"/>
      <c r="D3219" s="7"/>
      <c r="E3219" s="7"/>
      <c r="F3219" s="8"/>
      <c r="G3219" s="8"/>
      <c r="H3219" s="9"/>
      <c r="I3219" s="7"/>
      <c r="K3219" s="4"/>
    </row>
    <row r="3220" spans="1:11" x14ac:dyDescent="0.25">
      <c r="A3220" s="7"/>
      <c r="B3220" s="7"/>
      <c r="C3220" s="7"/>
      <c r="D3220" s="7"/>
      <c r="E3220" s="7"/>
      <c r="F3220" s="8"/>
      <c r="G3220" s="8"/>
      <c r="H3220" s="9"/>
      <c r="I3220" s="7"/>
      <c r="K3220" s="4"/>
    </row>
    <row r="3221" spans="1:11" x14ac:dyDescent="0.25">
      <c r="A3221" s="7"/>
      <c r="B3221" s="7"/>
      <c r="C3221" s="7"/>
      <c r="D3221" s="7"/>
      <c r="E3221" s="7"/>
      <c r="F3221" s="8"/>
      <c r="G3221" s="8"/>
      <c r="H3221" s="9"/>
      <c r="I3221" s="7"/>
      <c r="K3221" s="4"/>
    </row>
    <row r="3222" spans="1:11" x14ac:dyDescent="0.25">
      <c r="A3222" s="7"/>
      <c r="B3222" s="7"/>
      <c r="C3222" s="7"/>
      <c r="D3222" s="7"/>
      <c r="E3222" s="7"/>
      <c r="F3222" s="8"/>
      <c r="G3222" s="8"/>
      <c r="H3222" s="9"/>
      <c r="I3222" s="7"/>
      <c r="K3222" s="4"/>
    </row>
    <row r="3223" spans="1:11" x14ac:dyDescent="0.25">
      <c r="A3223" s="7"/>
      <c r="B3223" s="7"/>
      <c r="C3223" s="7"/>
      <c r="D3223" s="7"/>
      <c r="E3223" s="7"/>
      <c r="F3223" s="8"/>
      <c r="G3223" s="8"/>
      <c r="H3223" s="9"/>
      <c r="I3223" s="7"/>
      <c r="K3223" s="4"/>
    </row>
    <row r="3224" spans="1:11" x14ac:dyDescent="0.25">
      <c r="A3224" s="7"/>
      <c r="B3224" s="7"/>
      <c r="C3224" s="7"/>
      <c r="D3224" s="7"/>
      <c r="E3224" s="7"/>
      <c r="F3224" s="8"/>
      <c r="G3224" s="8"/>
      <c r="H3224" s="9"/>
      <c r="I3224" s="7"/>
      <c r="K3224" s="4"/>
    </row>
    <row r="3225" spans="1:11" x14ac:dyDescent="0.25">
      <c r="A3225" s="7"/>
      <c r="B3225" s="7"/>
      <c r="C3225" s="7"/>
      <c r="D3225" s="7"/>
      <c r="E3225" s="7"/>
      <c r="F3225" s="8"/>
      <c r="G3225" s="8"/>
      <c r="H3225" s="9"/>
      <c r="I3225" s="7"/>
      <c r="K3225" s="4"/>
    </row>
    <row r="3226" spans="1:11" x14ac:dyDescent="0.25">
      <c r="A3226" s="7"/>
      <c r="B3226" s="7"/>
      <c r="C3226" s="7"/>
      <c r="D3226" s="7"/>
      <c r="E3226" s="7"/>
      <c r="F3226" s="8"/>
      <c r="G3226" s="8"/>
      <c r="H3226" s="9"/>
      <c r="I3226" s="7"/>
      <c r="K3226" s="4"/>
    </row>
    <row r="3227" spans="1:11" x14ac:dyDescent="0.25">
      <c r="A3227" s="7"/>
      <c r="B3227" s="7"/>
      <c r="C3227" s="7"/>
      <c r="D3227" s="7"/>
      <c r="E3227" s="7"/>
      <c r="F3227" s="8"/>
      <c r="G3227" s="8"/>
      <c r="H3227" s="9"/>
      <c r="I3227" s="7"/>
      <c r="K3227" s="4"/>
    </row>
    <row r="3228" spans="1:11" x14ac:dyDescent="0.25">
      <c r="A3228" s="7"/>
      <c r="B3228" s="7"/>
      <c r="C3228" s="7"/>
      <c r="D3228" s="7"/>
      <c r="E3228" s="7"/>
      <c r="F3228" s="8"/>
      <c r="G3228" s="8"/>
      <c r="H3228" s="9"/>
      <c r="I3228" s="7"/>
      <c r="K3228" s="4"/>
    </row>
    <row r="3229" spans="1:11" x14ac:dyDescent="0.25">
      <c r="A3229" s="7"/>
      <c r="B3229" s="7"/>
      <c r="C3229" s="7"/>
      <c r="D3229" s="7"/>
      <c r="E3229" s="7"/>
      <c r="F3229" s="8"/>
      <c r="G3229" s="8"/>
      <c r="H3229" s="9"/>
      <c r="I3229" s="7"/>
      <c r="K3229" s="4"/>
    </row>
    <row r="3230" spans="1:11" x14ac:dyDescent="0.25">
      <c r="A3230" s="7"/>
      <c r="B3230" s="7"/>
      <c r="C3230" s="7"/>
      <c r="D3230" s="7"/>
      <c r="E3230" s="7"/>
      <c r="F3230" s="8"/>
      <c r="G3230" s="8"/>
      <c r="H3230" s="9"/>
      <c r="I3230" s="7"/>
      <c r="K3230" s="4"/>
    </row>
    <row r="3231" spans="1:11" x14ac:dyDescent="0.25">
      <c r="A3231" s="7"/>
      <c r="B3231" s="7"/>
      <c r="C3231" s="7"/>
      <c r="D3231" s="7"/>
      <c r="E3231" s="7"/>
      <c r="F3231" s="8"/>
      <c r="G3231" s="8"/>
      <c r="H3231" s="9"/>
      <c r="I3231" s="7"/>
      <c r="K3231" s="4"/>
    </row>
    <row r="3232" spans="1:11" x14ac:dyDescent="0.25">
      <c r="A3232" s="7"/>
      <c r="B3232" s="7"/>
      <c r="C3232" s="7"/>
      <c r="D3232" s="7"/>
      <c r="E3232" s="7"/>
      <c r="F3232" s="8"/>
      <c r="G3232" s="8"/>
      <c r="H3232" s="9"/>
      <c r="I3232" s="7"/>
      <c r="K3232" s="4"/>
    </row>
    <row r="3233" spans="1:11" x14ac:dyDescent="0.25">
      <c r="A3233" s="7"/>
      <c r="B3233" s="7"/>
      <c r="C3233" s="7"/>
      <c r="D3233" s="7"/>
      <c r="E3233" s="7"/>
      <c r="F3233" s="8"/>
      <c r="G3233" s="8"/>
      <c r="H3233" s="9"/>
      <c r="I3233" s="7"/>
      <c r="K3233" s="4"/>
    </row>
    <row r="3234" spans="1:11" x14ac:dyDescent="0.25">
      <c r="A3234" s="7"/>
      <c r="B3234" s="7"/>
      <c r="C3234" s="7"/>
      <c r="D3234" s="7"/>
      <c r="E3234" s="7"/>
      <c r="F3234" s="8"/>
      <c r="G3234" s="8"/>
      <c r="H3234" s="9"/>
      <c r="I3234" s="7"/>
      <c r="K3234" s="4"/>
    </row>
    <row r="3235" spans="1:11" x14ac:dyDescent="0.25">
      <c r="A3235" s="7"/>
      <c r="B3235" s="7"/>
      <c r="C3235" s="7"/>
      <c r="D3235" s="7"/>
      <c r="E3235" s="7"/>
      <c r="F3235" s="8"/>
      <c r="G3235" s="8"/>
      <c r="H3235" s="9"/>
      <c r="I3235" s="7"/>
      <c r="K3235" s="4"/>
    </row>
    <row r="3236" spans="1:11" x14ac:dyDescent="0.25">
      <c r="A3236" s="7"/>
      <c r="B3236" s="7"/>
      <c r="C3236" s="7"/>
      <c r="D3236" s="7"/>
      <c r="E3236" s="7"/>
      <c r="F3236" s="8"/>
      <c r="G3236" s="8"/>
      <c r="H3236" s="9"/>
      <c r="I3236" s="7"/>
      <c r="K3236" s="4"/>
    </row>
    <row r="3237" spans="1:11" x14ac:dyDescent="0.25">
      <c r="A3237" s="7"/>
      <c r="B3237" s="7"/>
      <c r="C3237" s="7"/>
      <c r="D3237" s="7"/>
      <c r="E3237" s="7"/>
      <c r="F3237" s="8"/>
      <c r="G3237" s="8"/>
      <c r="H3237" s="9"/>
      <c r="I3237" s="7"/>
      <c r="K3237" s="4"/>
    </row>
    <row r="3238" spans="1:11" x14ac:dyDescent="0.25">
      <c r="A3238" s="7"/>
      <c r="B3238" s="7"/>
      <c r="C3238" s="7"/>
      <c r="D3238" s="7"/>
      <c r="E3238" s="7"/>
      <c r="F3238" s="8"/>
      <c r="G3238" s="8"/>
      <c r="H3238" s="9"/>
      <c r="I3238" s="7"/>
      <c r="K3238" s="4"/>
    </row>
    <row r="3239" spans="1:11" x14ac:dyDescent="0.25">
      <c r="A3239" s="7"/>
      <c r="B3239" s="7"/>
      <c r="C3239" s="7"/>
      <c r="D3239" s="7"/>
      <c r="E3239" s="7"/>
      <c r="F3239" s="8"/>
      <c r="G3239" s="8"/>
      <c r="H3239" s="9"/>
      <c r="I3239" s="7"/>
      <c r="K3239" s="4"/>
    </row>
    <row r="3240" spans="1:11" x14ac:dyDescent="0.25">
      <c r="A3240" s="7"/>
      <c r="B3240" s="7"/>
      <c r="C3240" s="7"/>
      <c r="D3240" s="7"/>
      <c r="E3240" s="7"/>
      <c r="F3240" s="8"/>
      <c r="G3240" s="8"/>
      <c r="H3240" s="9"/>
      <c r="I3240" s="7"/>
      <c r="K3240" s="4"/>
    </row>
    <row r="3241" spans="1:11" x14ac:dyDescent="0.25">
      <c r="A3241" s="7"/>
      <c r="B3241" s="7"/>
      <c r="C3241" s="7"/>
      <c r="D3241" s="7"/>
      <c r="E3241" s="7"/>
      <c r="F3241" s="8"/>
      <c r="G3241" s="8"/>
      <c r="H3241" s="9"/>
      <c r="I3241" s="7"/>
      <c r="K3241" s="4"/>
    </row>
    <row r="3242" spans="1:11" x14ac:dyDescent="0.25">
      <c r="A3242" s="7"/>
      <c r="B3242" s="7"/>
      <c r="C3242" s="7"/>
      <c r="D3242" s="7"/>
      <c r="E3242" s="7"/>
      <c r="F3242" s="8"/>
      <c r="G3242" s="8"/>
      <c r="H3242" s="9"/>
      <c r="I3242" s="7"/>
      <c r="K3242" s="4"/>
    </row>
    <row r="3243" spans="1:11" x14ac:dyDescent="0.25">
      <c r="A3243" s="7"/>
      <c r="B3243" s="7"/>
      <c r="C3243" s="7"/>
      <c r="D3243" s="7"/>
      <c r="E3243" s="7"/>
      <c r="F3243" s="8"/>
      <c r="G3243" s="8"/>
      <c r="H3243" s="9"/>
      <c r="I3243" s="7"/>
      <c r="K3243" s="4"/>
    </row>
    <row r="3244" spans="1:11" x14ac:dyDescent="0.25">
      <c r="A3244" s="7"/>
      <c r="B3244" s="7"/>
      <c r="C3244" s="7"/>
      <c r="D3244" s="7"/>
      <c r="E3244" s="7"/>
      <c r="F3244" s="8"/>
      <c r="G3244" s="8"/>
      <c r="H3244" s="9"/>
      <c r="I3244" s="7"/>
      <c r="K3244" s="4"/>
    </row>
    <row r="3245" spans="1:11" x14ac:dyDescent="0.25">
      <c r="A3245" s="7"/>
      <c r="B3245" s="7"/>
      <c r="C3245" s="7"/>
      <c r="D3245" s="7"/>
      <c r="E3245" s="7"/>
      <c r="F3245" s="8"/>
      <c r="G3245" s="8"/>
      <c r="H3245" s="9"/>
      <c r="I3245" s="7"/>
      <c r="K3245" s="4"/>
    </row>
    <row r="3246" spans="1:11" x14ac:dyDescent="0.25">
      <c r="A3246" s="7"/>
      <c r="B3246" s="7"/>
      <c r="C3246" s="7"/>
      <c r="D3246" s="7"/>
      <c r="E3246" s="7"/>
      <c r="F3246" s="8"/>
      <c r="G3246" s="8"/>
      <c r="H3246" s="9"/>
      <c r="I3246" s="7"/>
      <c r="K3246" s="4"/>
    </row>
    <row r="3247" spans="1:11" x14ac:dyDescent="0.25">
      <c r="A3247" s="7"/>
      <c r="B3247" s="7"/>
      <c r="C3247" s="7"/>
      <c r="D3247" s="7"/>
      <c r="E3247" s="7"/>
      <c r="F3247" s="8"/>
      <c r="G3247" s="8"/>
      <c r="H3247" s="9"/>
      <c r="I3247" s="7"/>
      <c r="K3247" s="4"/>
    </row>
    <row r="3248" spans="1:11" x14ac:dyDescent="0.25">
      <c r="A3248" s="7"/>
      <c r="B3248" s="7"/>
      <c r="C3248" s="7"/>
      <c r="D3248" s="7"/>
      <c r="E3248" s="7"/>
      <c r="F3248" s="8"/>
      <c r="G3248" s="8"/>
      <c r="H3248" s="9"/>
      <c r="I3248" s="7"/>
      <c r="K3248" s="4"/>
    </row>
    <row r="3249" spans="1:11" x14ac:dyDescent="0.25">
      <c r="A3249" s="7"/>
      <c r="B3249" s="7"/>
      <c r="C3249" s="7"/>
      <c r="D3249" s="7"/>
      <c r="E3249" s="7"/>
      <c r="F3249" s="8"/>
      <c r="G3249" s="8"/>
      <c r="H3249" s="9"/>
      <c r="I3249" s="7"/>
      <c r="K3249" s="4"/>
    </row>
    <row r="3250" spans="1:11" x14ac:dyDescent="0.25">
      <c r="A3250" s="7"/>
      <c r="B3250" s="7"/>
      <c r="C3250" s="7"/>
      <c r="D3250" s="7"/>
      <c r="E3250" s="7"/>
      <c r="F3250" s="8"/>
      <c r="G3250" s="8"/>
      <c r="H3250" s="9"/>
      <c r="I3250" s="7"/>
      <c r="K3250" s="4"/>
    </row>
    <row r="3251" spans="1:11" x14ac:dyDescent="0.25">
      <c r="A3251" s="7"/>
      <c r="B3251" s="7"/>
      <c r="C3251" s="7"/>
      <c r="D3251" s="7"/>
      <c r="E3251" s="7"/>
      <c r="F3251" s="8"/>
      <c r="G3251" s="8"/>
      <c r="H3251" s="9"/>
      <c r="I3251" s="7"/>
      <c r="K3251" s="4"/>
    </row>
    <row r="3252" spans="1:11" x14ac:dyDescent="0.25">
      <c r="A3252" s="7"/>
      <c r="B3252" s="7"/>
      <c r="C3252" s="7"/>
      <c r="D3252" s="7"/>
      <c r="E3252" s="7"/>
      <c r="F3252" s="8"/>
      <c r="G3252" s="8"/>
      <c r="H3252" s="9"/>
      <c r="I3252" s="7"/>
      <c r="K3252" s="4"/>
    </row>
    <row r="3253" spans="1:11" x14ac:dyDescent="0.25">
      <c r="A3253" s="7"/>
      <c r="B3253" s="7"/>
      <c r="C3253" s="7"/>
      <c r="D3253" s="7"/>
      <c r="E3253" s="7"/>
      <c r="F3253" s="8"/>
      <c r="G3253" s="8"/>
      <c r="H3253" s="9"/>
      <c r="I3253" s="7"/>
      <c r="K3253" s="4"/>
    </row>
    <row r="3254" spans="1:11" x14ac:dyDescent="0.25">
      <c r="A3254" s="7"/>
      <c r="B3254" s="7"/>
      <c r="C3254" s="7"/>
      <c r="D3254" s="7"/>
      <c r="E3254" s="7"/>
      <c r="F3254" s="8"/>
      <c r="G3254" s="8"/>
      <c r="H3254" s="9"/>
      <c r="I3254" s="7"/>
      <c r="K3254" s="4"/>
    </row>
    <row r="3255" spans="1:11" x14ac:dyDescent="0.25">
      <c r="A3255" s="7"/>
      <c r="B3255" s="7"/>
      <c r="C3255" s="7"/>
      <c r="D3255" s="7"/>
      <c r="E3255" s="7"/>
      <c r="F3255" s="8"/>
      <c r="G3255" s="8"/>
      <c r="H3255" s="9"/>
      <c r="I3255" s="7"/>
      <c r="K3255" s="4"/>
    </row>
    <row r="3256" spans="1:11" x14ac:dyDescent="0.25">
      <c r="A3256" s="7"/>
      <c r="B3256" s="7"/>
      <c r="C3256" s="7"/>
      <c r="D3256" s="7"/>
      <c r="E3256" s="7"/>
      <c r="F3256" s="8"/>
      <c r="G3256" s="8"/>
      <c r="H3256" s="9"/>
      <c r="I3256" s="7"/>
      <c r="K3256" s="4"/>
    </row>
    <row r="3257" spans="1:11" x14ac:dyDescent="0.25">
      <c r="A3257" s="7"/>
      <c r="B3257" s="7"/>
      <c r="C3257" s="7"/>
      <c r="D3257" s="7"/>
      <c r="E3257" s="7"/>
      <c r="F3257" s="8"/>
      <c r="G3257" s="8"/>
      <c r="H3257" s="9"/>
      <c r="I3257" s="7"/>
      <c r="K3257" s="4"/>
    </row>
    <row r="3258" spans="1:11" x14ac:dyDescent="0.25">
      <c r="A3258" s="7"/>
      <c r="B3258" s="7"/>
      <c r="C3258" s="7"/>
      <c r="D3258" s="7"/>
      <c r="E3258" s="7"/>
      <c r="F3258" s="8"/>
      <c r="G3258" s="8"/>
      <c r="H3258" s="9"/>
      <c r="I3258" s="7"/>
      <c r="K3258" s="4"/>
    </row>
    <row r="3259" spans="1:11" x14ac:dyDescent="0.25">
      <c r="A3259" s="7"/>
      <c r="B3259" s="7"/>
      <c r="C3259" s="7"/>
      <c r="D3259" s="7"/>
      <c r="E3259" s="7"/>
      <c r="F3259" s="8"/>
      <c r="G3259" s="8"/>
      <c r="H3259" s="9"/>
      <c r="I3259" s="7"/>
      <c r="K3259" s="4"/>
    </row>
    <row r="3260" spans="1:11" x14ac:dyDescent="0.25">
      <c r="A3260" s="7"/>
      <c r="B3260" s="7"/>
      <c r="C3260" s="7"/>
      <c r="D3260" s="7"/>
      <c r="E3260" s="7"/>
      <c r="F3260" s="8"/>
      <c r="G3260" s="8"/>
      <c r="H3260" s="9"/>
      <c r="I3260" s="7"/>
      <c r="K3260" s="4"/>
    </row>
    <row r="3261" spans="1:11" x14ac:dyDescent="0.25">
      <c r="A3261" s="7"/>
      <c r="B3261" s="7"/>
      <c r="C3261" s="7"/>
      <c r="D3261" s="7"/>
      <c r="E3261" s="7"/>
      <c r="F3261" s="8"/>
      <c r="G3261" s="8"/>
      <c r="H3261" s="9"/>
      <c r="I3261" s="7"/>
      <c r="K3261" s="4"/>
    </row>
    <row r="3262" spans="1:11" x14ac:dyDescent="0.25">
      <c r="A3262" s="7"/>
      <c r="B3262" s="7"/>
      <c r="C3262" s="7"/>
      <c r="D3262" s="7"/>
      <c r="E3262" s="7"/>
      <c r="F3262" s="8"/>
      <c r="G3262" s="8"/>
      <c r="H3262" s="9"/>
      <c r="I3262" s="7"/>
      <c r="K3262" s="4"/>
    </row>
    <row r="3263" spans="1:11" x14ac:dyDescent="0.25">
      <c r="A3263" s="7"/>
      <c r="B3263" s="7"/>
      <c r="C3263" s="7"/>
      <c r="D3263" s="7"/>
      <c r="E3263" s="7"/>
      <c r="F3263" s="8"/>
      <c r="G3263" s="8"/>
      <c r="H3263" s="9"/>
      <c r="I3263" s="7"/>
      <c r="K3263" s="4"/>
    </row>
    <row r="3264" spans="1:11" x14ac:dyDescent="0.25">
      <c r="A3264" s="7"/>
      <c r="B3264" s="7"/>
      <c r="C3264" s="7"/>
      <c r="D3264" s="7"/>
      <c r="E3264" s="7"/>
      <c r="F3264" s="8"/>
      <c r="G3264" s="8"/>
      <c r="H3264" s="9"/>
      <c r="I3264" s="7"/>
      <c r="K3264" s="4"/>
    </row>
    <row r="3265" spans="1:11" x14ac:dyDescent="0.25">
      <c r="A3265" s="7"/>
      <c r="B3265" s="7"/>
      <c r="C3265" s="7"/>
      <c r="D3265" s="7"/>
      <c r="E3265" s="7"/>
      <c r="F3265" s="8"/>
      <c r="G3265" s="8"/>
      <c r="H3265" s="9"/>
      <c r="I3265" s="7"/>
      <c r="K3265" s="4"/>
    </row>
    <row r="3266" spans="1:11" x14ac:dyDescent="0.25">
      <c r="A3266" s="7"/>
      <c r="B3266" s="7"/>
      <c r="C3266" s="7"/>
      <c r="D3266" s="7"/>
      <c r="E3266" s="7"/>
      <c r="F3266" s="8"/>
      <c r="G3266" s="8"/>
      <c r="H3266" s="9"/>
      <c r="I3266" s="7"/>
      <c r="K3266" s="4"/>
    </row>
    <row r="3267" spans="1:11" x14ac:dyDescent="0.25">
      <c r="A3267" s="7"/>
      <c r="B3267" s="7"/>
      <c r="C3267" s="7"/>
      <c r="D3267" s="7"/>
      <c r="E3267" s="7"/>
      <c r="F3267" s="8"/>
      <c r="G3267" s="8"/>
      <c r="H3267" s="9"/>
      <c r="I3267" s="7"/>
      <c r="K3267" s="4"/>
    </row>
    <row r="3268" spans="1:11" x14ac:dyDescent="0.25">
      <c r="A3268" s="7"/>
      <c r="B3268" s="7"/>
      <c r="C3268" s="7"/>
      <c r="D3268" s="7"/>
      <c r="E3268" s="7"/>
      <c r="F3268" s="8"/>
      <c r="G3268" s="8"/>
      <c r="H3268" s="9"/>
      <c r="I3268" s="7"/>
      <c r="K3268" s="4"/>
    </row>
    <row r="3269" spans="1:11" x14ac:dyDescent="0.25">
      <c r="A3269" s="7"/>
      <c r="B3269" s="7"/>
      <c r="C3269" s="7"/>
      <c r="D3269" s="7"/>
      <c r="E3269" s="7"/>
      <c r="F3269" s="8"/>
      <c r="G3269" s="8"/>
      <c r="H3269" s="9"/>
      <c r="I3269" s="7"/>
      <c r="K3269" s="4"/>
    </row>
    <row r="3270" spans="1:11" x14ac:dyDescent="0.25">
      <c r="A3270" s="7"/>
      <c r="B3270" s="7"/>
      <c r="C3270" s="7"/>
      <c r="D3270" s="7"/>
      <c r="E3270" s="7"/>
      <c r="F3270" s="8"/>
      <c r="G3270" s="8"/>
      <c r="H3270" s="9"/>
      <c r="I3270" s="7"/>
      <c r="K3270" s="4"/>
    </row>
    <row r="3271" spans="1:11" x14ac:dyDescent="0.25">
      <c r="A3271" s="7"/>
      <c r="B3271" s="7"/>
      <c r="C3271" s="7"/>
      <c r="D3271" s="7"/>
      <c r="E3271" s="7"/>
      <c r="F3271" s="8"/>
      <c r="G3271" s="8"/>
      <c r="H3271" s="9"/>
      <c r="I3271" s="7"/>
      <c r="K3271" s="4"/>
    </row>
    <row r="3272" spans="1:11" x14ac:dyDescent="0.25">
      <c r="A3272" s="7"/>
      <c r="B3272" s="7"/>
      <c r="C3272" s="7"/>
      <c r="D3272" s="7"/>
      <c r="E3272" s="7"/>
      <c r="F3272" s="8"/>
      <c r="G3272" s="8"/>
      <c r="H3272" s="9"/>
      <c r="I3272" s="7"/>
      <c r="K3272" s="4"/>
    </row>
    <row r="3273" spans="1:11" x14ac:dyDescent="0.25">
      <c r="A3273" s="7"/>
      <c r="B3273" s="7"/>
      <c r="C3273" s="7"/>
      <c r="D3273" s="7"/>
      <c r="E3273" s="7"/>
      <c r="F3273" s="8"/>
      <c r="G3273" s="8"/>
      <c r="H3273" s="9"/>
      <c r="I3273" s="7"/>
      <c r="K3273" s="4"/>
    </row>
    <row r="3274" spans="1:11" x14ac:dyDescent="0.25">
      <c r="A3274" s="7"/>
      <c r="B3274" s="7"/>
      <c r="C3274" s="7"/>
      <c r="D3274" s="7"/>
      <c r="E3274" s="7"/>
      <c r="F3274" s="8"/>
      <c r="G3274" s="8"/>
      <c r="H3274" s="9"/>
      <c r="I3274" s="7"/>
      <c r="K3274" s="4"/>
    </row>
    <row r="3275" spans="1:11" x14ac:dyDescent="0.25">
      <c r="A3275" s="7"/>
      <c r="B3275" s="7"/>
      <c r="C3275" s="7"/>
      <c r="D3275" s="7"/>
      <c r="E3275" s="7"/>
      <c r="F3275" s="8"/>
      <c r="G3275" s="8"/>
      <c r="H3275" s="9"/>
      <c r="I3275" s="7"/>
      <c r="K3275" s="4"/>
    </row>
    <row r="3276" spans="1:11" x14ac:dyDescent="0.25">
      <c r="A3276" s="7"/>
      <c r="B3276" s="7"/>
      <c r="C3276" s="7"/>
      <c r="D3276" s="7"/>
      <c r="E3276" s="7"/>
      <c r="F3276" s="8"/>
      <c r="G3276" s="8"/>
      <c r="H3276" s="9"/>
      <c r="I3276" s="7"/>
      <c r="K3276" s="4"/>
    </row>
    <row r="3277" spans="1:11" x14ac:dyDescent="0.25">
      <c r="A3277" s="7"/>
      <c r="B3277" s="7"/>
      <c r="C3277" s="7"/>
      <c r="D3277" s="7"/>
      <c r="E3277" s="7"/>
      <c r="F3277" s="8"/>
      <c r="G3277" s="8"/>
      <c r="H3277" s="9"/>
      <c r="I3277" s="7"/>
      <c r="K3277" s="4"/>
    </row>
    <row r="3278" spans="1:11" x14ac:dyDescent="0.25">
      <c r="A3278" s="7"/>
      <c r="B3278" s="7"/>
      <c r="C3278" s="7"/>
      <c r="D3278" s="7"/>
      <c r="E3278" s="7"/>
      <c r="F3278" s="8"/>
      <c r="G3278" s="8"/>
      <c r="H3278" s="9"/>
      <c r="I3278" s="7"/>
      <c r="K3278" s="4"/>
    </row>
    <row r="3279" spans="1:11" x14ac:dyDescent="0.25">
      <c r="A3279" s="7"/>
      <c r="B3279" s="7"/>
      <c r="C3279" s="7"/>
      <c r="D3279" s="7"/>
      <c r="E3279" s="7"/>
      <c r="F3279" s="8"/>
      <c r="G3279" s="8"/>
      <c r="H3279" s="9"/>
      <c r="I3279" s="7"/>
      <c r="K3279" s="4"/>
    </row>
    <row r="3280" spans="1:11" x14ac:dyDescent="0.25">
      <c r="A3280" s="7"/>
      <c r="B3280" s="7"/>
      <c r="C3280" s="7"/>
      <c r="D3280" s="7"/>
      <c r="E3280" s="7"/>
      <c r="F3280" s="8"/>
      <c r="G3280" s="8"/>
      <c r="H3280" s="9"/>
      <c r="I3280" s="7"/>
      <c r="K3280" s="4"/>
    </row>
    <row r="3281" spans="1:11" x14ac:dyDescent="0.25">
      <c r="A3281" s="7"/>
      <c r="B3281" s="7"/>
      <c r="C3281" s="7"/>
      <c r="D3281" s="7"/>
      <c r="E3281" s="7"/>
      <c r="F3281" s="8"/>
      <c r="G3281" s="8"/>
      <c r="H3281" s="9"/>
      <c r="I3281" s="7"/>
      <c r="K3281" s="4"/>
    </row>
    <row r="3282" spans="1:11" x14ac:dyDescent="0.25">
      <c r="A3282" s="7"/>
      <c r="B3282" s="7"/>
      <c r="C3282" s="7"/>
      <c r="D3282" s="7"/>
      <c r="E3282" s="7"/>
      <c r="F3282" s="8"/>
      <c r="G3282" s="8"/>
      <c r="H3282" s="9"/>
      <c r="I3282" s="7"/>
      <c r="J3282" s="7"/>
      <c r="K3282" s="4"/>
    </row>
    <row r="3283" spans="1:11" x14ac:dyDescent="0.25">
      <c r="A3283" s="7"/>
      <c r="B3283" s="7"/>
      <c r="C3283" s="7"/>
      <c r="D3283" s="7"/>
      <c r="E3283" s="7"/>
      <c r="F3283" s="8"/>
      <c r="G3283" s="8"/>
      <c r="H3283" s="9"/>
      <c r="I3283" s="7"/>
      <c r="J3283" s="7"/>
      <c r="K3283" s="4"/>
    </row>
    <row r="3284" spans="1:11" x14ac:dyDescent="0.25">
      <c r="A3284" s="7"/>
      <c r="B3284" s="7"/>
      <c r="C3284" s="7"/>
      <c r="D3284" s="7"/>
      <c r="E3284" s="7"/>
      <c r="F3284" s="8"/>
      <c r="G3284" s="8"/>
      <c r="H3284" s="9"/>
      <c r="I3284" s="7"/>
      <c r="J3284" s="7"/>
      <c r="K3284" s="4"/>
    </row>
    <row r="3285" spans="1:11" x14ac:dyDescent="0.25">
      <c r="A3285" s="7"/>
      <c r="B3285" s="7"/>
      <c r="C3285" s="7"/>
      <c r="D3285" s="7"/>
      <c r="E3285" s="7"/>
      <c r="F3285" s="8"/>
      <c r="G3285" s="8"/>
      <c r="H3285" s="9"/>
      <c r="I3285" s="7"/>
      <c r="J3285" s="7"/>
      <c r="K3285" s="4"/>
    </row>
    <row r="3286" spans="1:11" x14ac:dyDescent="0.25">
      <c r="A3286" s="7"/>
      <c r="B3286" s="7"/>
      <c r="C3286" s="7"/>
      <c r="D3286" s="7"/>
      <c r="E3286" s="7"/>
      <c r="F3286" s="8"/>
      <c r="G3286" s="8"/>
      <c r="H3286" s="9"/>
      <c r="I3286" s="7"/>
      <c r="J3286" s="7"/>
      <c r="K3286" s="4"/>
    </row>
    <row r="3287" spans="1:11" x14ac:dyDescent="0.25">
      <c r="A3287" s="7"/>
      <c r="B3287" s="7"/>
      <c r="C3287" s="7"/>
      <c r="D3287" s="7"/>
      <c r="E3287" s="7"/>
      <c r="F3287" s="8"/>
      <c r="G3287" s="8"/>
      <c r="H3287" s="9"/>
      <c r="I3287" s="7"/>
      <c r="J3287" s="7"/>
      <c r="K3287" s="4"/>
    </row>
    <row r="3288" spans="1:11" x14ac:dyDescent="0.25">
      <c r="A3288" s="7"/>
      <c r="B3288" s="7"/>
      <c r="C3288" s="7"/>
      <c r="D3288" s="7"/>
      <c r="E3288" s="7"/>
      <c r="F3288" s="8"/>
      <c r="G3288" s="8"/>
      <c r="H3288" s="9"/>
      <c r="I3288" s="7"/>
      <c r="J3288" s="7"/>
      <c r="K3288" s="4"/>
    </row>
    <row r="3289" spans="1:11" x14ac:dyDescent="0.25">
      <c r="A3289" s="7"/>
      <c r="B3289" s="7"/>
      <c r="C3289" s="7"/>
      <c r="D3289" s="7"/>
      <c r="E3289" s="7"/>
      <c r="F3289" s="8"/>
      <c r="G3289" s="8"/>
      <c r="H3289" s="9"/>
      <c r="I3289" s="7"/>
      <c r="J3289" s="7"/>
      <c r="K3289" s="4"/>
    </row>
    <row r="3290" spans="1:11" x14ac:dyDescent="0.25">
      <c r="A3290" s="7"/>
      <c r="B3290" s="7"/>
      <c r="C3290" s="7"/>
      <c r="D3290" s="7"/>
      <c r="E3290" s="7"/>
      <c r="F3290" s="8"/>
      <c r="G3290" s="8"/>
      <c r="H3290" s="9"/>
      <c r="I3290" s="7"/>
      <c r="J3290" s="7"/>
      <c r="K3290" s="4"/>
    </row>
    <row r="3291" spans="1:11" x14ac:dyDescent="0.25">
      <c r="A3291" s="7"/>
      <c r="B3291" s="7"/>
      <c r="C3291" s="7"/>
      <c r="D3291" s="7"/>
      <c r="E3291" s="7"/>
      <c r="F3291" s="8"/>
      <c r="G3291" s="8"/>
      <c r="H3291" s="9"/>
      <c r="I3291" s="7"/>
      <c r="J3291" s="7"/>
      <c r="K3291" s="4"/>
    </row>
    <row r="3292" spans="1:11" x14ac:dyDescent="0.25">
      <c r="A3292" s="7"/>
      <c r="B3292" s="7"/>
      <c r="C3292" s="7"/>
      <c r="D3292" s="7"/>
      <c r="E3292" s="7"/>
      <c r="F3292" s="8"/>
      <c r="G3292" s="8"/>
      <c r="H3292" s="9"/>
      <c r="I3292" s="7"/>
      <c r="J3292" s="7"/>
      <c r="K3292" s="4"/>
    </row>
    <row r="3293" spans="1:11" x14ac:dyDescent="0.25">
      <c r="A3293" s="7"/>
      <c r="B3293" s="7"/>
      <c r="C3293" s="7"/>
      <c r="D3293" s="7"/>
      <c r="E3293" s="7"/>
      <c r="F3293" s="8"/>
      <c r="G3293" s="8"/>
      <c r="H3293" s="9"/>
      <c r="I3293" s="7"/>
      <c r="J3293" s="7"/>
      <c r="K3293" s="4"/>
    </row>
    <row r="3294" spans="1:11" x14ac:dyDescent="0.25">
      <c r="A3294" s="7"/>
      <c r="B3294" s="7"/>
      <c r="C3294" s="7"/>
      <c r="D3294" s="7"/>
      <c r="E3294" s="7"/>
      <c r="F3294" s="8"/>
      <c r="G3294" s="8"/>
      <c r="H3294" s="9"/>
      <c r="I3294" s="7"/>
      <c r="J3294" s="7"/>
      <c r="K3294" s="4"/>
    </row>
    <row r="3295" spans="1:11" x14ac:dyDescent="0.25">
      <c r="A3295" s="7"/>
      <c r="B3295" s="7"/>
      <c r="C3295" s="7"/>
      <c r="D3295" s="7"/>
      <c r="E3295" s="7"/>
      <c r="F3295" s="8"/>
      <c r="G3295" s="8"/>
      <c r="H3295" s="9"/>
      <c r="I3295" s="7"/>
      <c r="J3295" s="7"/>
      <c r="K3295" s="4"/>
    </row>
    <row r="3296" spans="1:11" x14ac:dyDescent="0.25">
      <c r="A3296" s="7"/>
      <c r="B3296" s="7"/>
      <c r="C3296" s="7"/>
      <c r="D3296" s="7"/>
      <c r="E3296" s="7"/>
      <c r="F3296" s="8"/>
      <c r="G3296" s="8"/>
      <c r="H3296" s="9"/>
      <c r="I3296" s="7"/>
      <c r="J3296" s="7"/>
      <c r="K3296" s="4"/>
    </row>
    <row r="3297" spans="1:11" x14ac:dyDescent="0.25">
      <c r="A3297" s="7"/>
      <c r="B3297" s="7"/>
      <c r="C3297" s="7"/>
      <c r="D3297" s="7"/>
      <c r="E3297" s="7"/>
      <c r="F3297" s="8"/>
      <c r="G3297" s="8"/>
      <c r="H3297" s="9"/>
      <c r="I3297" s="7"/>
      <c r="J3297" s="7"/>
      <c r="K3297" s="4"/>
    </row>
    <row r="3298" spans="1:11" x14ac:dyDescent="0.25">
      <c r="A3298" s="7"/>
      <c r="B3298" s="7"/>
      <c r="C3298" s="7"/>
      <c r="D3298" s="7"/>
      <c r="E3298" s="7"/>
      <c r="F3298" s="8"/>
      <c r="G3298" s="8"/>
      <c r="H3298" s="9"/>
      <c r="I3298" s="7"/>
      <c r="K3298" s="4"/>
    </row>
    <row r="3299" spans="1:11" x14ac:dyDescent="0.25">
      <c r="A3299" s="7"/>
      <c r="B3299" s="7"/>
      <c r="C3299" s="7"/>
      <c r="D3299" s="7"/>
      <c r="E3299" s="7"/>
      <c r="F3299" s="8"/>
      <c r="G3299" s="8"/>
      <c r="H3299" s="9"/>
      <c r="I3299" s="7"/>
      <c r="K3299" s="4"/>
    </row>
    <row r="3300" spans="1:11" x14ac:dyDescent="0.25">
      <c r="A3300" s="7"/>
      <c r="B3300" s="7"/>
      <c r="C3300" s="7"/>
      <c r="D3300" s="7"/>
      <c r="E3300" s="7"/>
      <c r="F3300" s="8"/>
      <c r="G3300" s="8"/>
      <c r="H3300" s="9"/>
      <c r="I3300" s="7"/>
      <c r="K3300" s="4"/>
    </row>
    <row r="3301" spans="1:11" x14ac:dyDescent="0.25">
      <c r="A3301" s="7"/>
      <c r="B3301" s="7"/>
      <c r="C3301" s="7"/>
      <c r="D3301" s="7"/>
      <c r="E3301" s="7"/>
      <c r="F3301" s="8"/>
      <c r="G3301" s="8"/>
      <c r="H3301" s="9"/>
      <c r="I3301" s="7"/>
      <c r="K3301" s="4"/>
    </row>
    <row r="3302" spans="1:11" x14ac:dyDescent="0.25">
      <c r="A3302" s="7"/>
      <c r="B3302" s="7"/>
      <c r="C3302" s="7"/>
      <c r="D3302" s="7"/>
      <c r="E3302" s="7"/>
      <c r="F3302" s="8"/>
      <c r="G3302" s="8"/>
      <c r="H3302" s="9"/>
      <c r="I3302" s="7"/>
      <c r="K3302" s="4"/>
    </row>
    <row r="3303" spans="1:11" x14ac:dyDescent="0.25">
      <c r="A3303" s="7"/>
      <c r="B3303" s="7"/>
      <c r="C3303" s="7"/>
      <c r="D3303" s="7"/>
      <c r="E3303" s="7"/>
      <c r="F3303" s="8"/>
      <c r="G3303" s="8"/>
      <c r="H3303" s="9"/>
      <c r="I3303" s="7"/>
      <c r="K3303" s="4"/>
    </row>
    <row r="3304" spans="1:11" x14ac:dyDescent="0.25">
      <c r="A3304" s="7"/>
      <c r="B3304" s="7"/>
      <c r="C3304" s="7"/>
      <c r="D3304" s="7"/>
      <c r="E3304" s="7"/>
      <c r="F3304" s="8"/>
      <c r="G3304" s="8"/>
      <c r="H3304" s="9"/>
      <c r="I3304" s="7"/>
      <c r="K3304" s="4"/>
    </row>
    <row r="3305" spans="1:11" x14ac:dyDescent="0.25">
      <c r="A3305" s="7"/>
      <c r="B3305" s="7"/>
      <c r="C3305" s="7"/>
      <c r="D3305" s="7"/>
      <c r="E3305" s="7"/>
      <c r="F3305" s="8"/>
      <c r="G3305" s="8"/>
      <c r="H3305" s="9"/>
      <c r="I3305" s="7"/>
      <c r="K3305" s="4"/>
    </row>
    <row r="3306" spans="1:11" x14ac:dyDescent="0.25">
      <c r="A3306" s="7"/>
      <c r="B3306" s="7"/>
      <c r="C3306" s="7"/>
      <c r="D3306" s="7"/>
      <c r="E3306" s="7"/>
      <c r="F3306" s="8"/>
      <c r="G3306" s="8"/>
      <c r="H3306" s="9"/>
      <c r="I3306" s="7"/>
      <c r="K3306" s="4"/>
    </row>
    <row r="3307" spans="1:11" x14ac:dyDescent="0.25">
      <c r="A3307" s="7"/>
      <c r="B3307" s="7"/>
      <c r="C3307" s="7"/>
      <c r="D3307" s="7"/>
      <c r="E3307" s="7"/>
      <c r="F3307" s="8"/>
      <c r="G3307" s="8"/>
      <c r="H3307" s="9"/>
      <c r="I3307" s="7"/>
      <c r="K3307" s="4"/>
    </row>
    <row r="3308" spans="1:11" x14ac:dyDescent="0.25">
      <c r="A3308" s="7"/>
      <c r="B3308" s="7"/>
      <c r="C3308" s="7"/>
      <c r="D3308" s="7"/>
      <c r="E3308" s="7"/>
      <c r="F3308" s="8"/>
      <c r="G3308" s="8"/>
      <c r="H3308" s="9"/>
      <c r="I3308" s="7"/>
      <c r="K3308" s="4"/>
    </row>
    <row r="3309" spans="1:11" x14ac:dyDescent="0.25">
      <c r="A3309" s="7"/>
      <c r="B3309" s="7"/>
      <c r="C3309" s="7"/>
      <c r="D3309" s="7"/>
      <c r="E3309" s="7"/>
      <c r="F3309" s="8"/>
      <c r="G3309" s="8"/>
      <c r="H3309" s="9"/>
      <c r="I3309" s="7"/>
      <c r="K3309" s="4"/>
    </row>
    <row r="3310" spans="1:11" x14ac:dyDescent="0.25">
      <c r="A3310" s="7"/>
      <c r="B3310" s="7"/>
      <c r="C3310" s="7"/>
      <c r="D3310" s="7"/>
      <c r="E3310" s="7"/>
      <c r="F3310" s="8"/>
      <c r="G3310" s="8"/>
      <c r="H3310" s="9"/>
      <c r="I3310" s="7"/>
      <c r="K3310" s="4"/>
    </row>
    <row r="3311" spans="1:11" x14ac:dyDescent="0.25">
      <c r="A3311" s="7"/>
      <c r="B3311" s="7"/>
      <c r="C3311" s="7"/>
      <c r="D3311" s="7"/>
      <c r="E3311" s="7"/>
      <c r="F3311" s="8"/>
      <c r="G3311" s="8"/>
      <c r="H3311" s="9"/>
      <c r="I3311" s="7"/>
      <c r="K3311" s="4"/>
    </row>
    <row r="3312" spans="1:11" x14ac:dyDescent="0.25">
      <c r="A3312" s="7"/>
      <c r="B3312" s="7"/>
      <c r="C3312" s="7"/>
      <c r="D3312" s="7"/>
      <c r="E3312" s="7"/>
      <c r="F3312" s="8"/>
      <c r="G3312" s="8"/>
      <c r="H3312" s="9"/>
      <c r="I3312" s="7"/>
      <c r="K3312" s="4"/>
    </row>
    <row r="3313" spans="1:11" x14ac:dyDescent="0.25">
      <c r="A3313" s="7"/>
      <c r="B3313" s="7"/>
      <c r="C3313" s="7"/>
      <c r="D3313" s="7"/>
      <c r="E3313" s="7"/>
      <c r="F3313" s="8"/>
      <c r="G3313" s="8"/>
      <c r="H3313" s="9"/>
      <c r="I3313" s="7"/>
      <c r="K3313" s="4"/>
    </row>
    <row r="3314" spans="1:11" x14ac:dyDescent="0.25">
      <c r="A3314" s="7"/>
      <c r="B3314" s="7"/>
      <c r="C3314" s="7"/>
      <c r="D3314" s="7"/>
      <c r="E3314" s="7"/>
      <c r="F3314" s="8"/>
      <c r="G3314" s="8"/>
      <c r="H3314" s="9"/>
      <c r="I3314" s="7"/>
      <c r="K3314" s="4"/>
    </row>
    <row r="3315" spans="1:11" x14ac:dyDescent="0.25">
      <c r="A3315" s="7"/>
      <c r="B3315" s="7"/>
      <c r="C3315" s="7"/>
      <c r="D3315" s="7"/>
      <c r="E3315" s="7"/>
      <c r="F3315" s="8"/>
      <c r="G3315" s="8"/>
      <c r="H3315" s="9"/>
      <c r="I3315" s="7"/>
      <c r="K3315" s="4"/>
    </row>
    <row r="3316" spans="1:11" x14ac:dyDescent="0.25">
      <c r="A3316" s="7"/>
      <c r="B3316" s="7"/>
      <c r="C3316" s="7"/>
      <c r="D3316" s="7"/>
      <c r="E3316" s="7"/>
      <c r="F3316" s="8"/>
      <c r="G3316" s="8"/>
      <c r="H3316" s="9"/>
      <c r="I3316" s="7"/>
      <c r="K3316" s="4"/>
    </row>
    <row r="3317" spans="1:11" x14ac:dyDescent="0.25">
      <c r="A3317" s="7"/>
      <c r="B3317" s="7"/>
      <c r="C3317" s="7"/>
      <c r="D3317" s="7"/>
      <c r="E3317" s="7"/>
      <c r="F3317" s="8"/>
      <c r="G3317" s="8"/>
      <c r="H3317" s="9"/>
      <c r="I3317" s="7"/>
      <c r="K3317" s="4"/>
    </row>
    <row r="3318" spans="1:11" x14ac:dyDescent="0.25">
      <c r="A3318" s="7"/>
      <c r="B3318" s="7"/>
      <c r="C3318" s="7"/>
      <c r="D3318" s="7"/>
      <c r="E3318" s="7"/>
      <c r="F3318" s="8"/>
      <c r="G3318" s="8"/>
      <c r="H3318" s="9"/>
      <c r="I3318" s="7"/>
      <c r="K3318" s="4"/>
    </row>
    <row r="3319" spans="1:11" x14ac:dyDescent="0.25">
      <c r="A3319" s="7"/>
      <c r="B3319" s="7"/>
      <c r="C3319" s="7"/>
      <c r="D3319" s="7"/>
      <c r="E3319" s="7"/>
      <c r="F3319" s="8"/>
      <c r="G3319" s="8"/>
      <c r="H3319" s="9"/>
      <c r="I3319" s="7"/>
      <c r="K3319" s="4"/>
    </row>
    <row r="3320" spans="1:11" x14ac:dyDescent="0.25">
      <c r="A3320" s="7"/>
      <c r="B3320" s="7"/>
      <c r="C3320" s="7"/>
      <c r="D3320" s="7"/>
      <c r="E3320" s="7"/>
      <c r="F3320" s="8"/>
      <c r="G3320" s="8"/>
      <c r="H3320" s="9"/>
      <c r="I3320" s="7"/>
      <c r="K3320" s="4"/>
    </row>
    <row r="3321" spans="1:11" x14ac:dyDescent="0.25">
      <c r="A3321" s="7"/>
      <c r="B3321" s="7"/>
      <c r="C3321" s="7"/>
      <c r="D3321" s="7"/>
      <c r="E3321" s="7"/>
      <c r="F3321" s="8"/>
      <c r="G3321" s="8"/>
      <c r="H3321" s="9"/>
      <c r="I3321" s="7"/>
      <c r="K3321" s="4"/>
    </row>
  </sheetData>
  <sheetProtection selectLockedCells="1" selectUnlockedCells="1"/>
  <pageMargins left="0.7" right="0.7" top="0.75" bottom="0.75" header="0.51180555555555596" footer="0.51180555555555596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Miguel Bravo Arvelo</cp:lastModifiedBy>
  <dcterms:created xsi:type="dcterms:W3CDTF">2020-05-05T23:14:13Z</dcterms:created>
  <dcterms:modified xsi:type="dcterms:W3CDTF">2020-08-29T21:30:54Z</dcterms:modified>
  <cp:category/>
</cp:coreProperties>
</file>